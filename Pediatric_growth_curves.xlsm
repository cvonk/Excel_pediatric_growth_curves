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Users\Coert\src\Excel_pediatric_growth_curves\"/>
    </mc:Choice>
  </mc:AlternateContent>
  <xr:revisionPtr revIDLastSave="0" documentId="13_ncr:1_{92878C9A-7047-4F80-9BB4-91A641A90526}" xr6:coauthVersionLast="47" xr6:coauthVersionMax="47" xr10:uidLastSave="{00000000-0000-0000-0000-000000000000}"/>
  <bookViews>
    <workbookView xWindow="2004" yWindow="2100" windowWidth="22944" windowHeight="21240" tabRatio="794" xr2:uid="{00000000-000D-0000-FFFF-FFFF00000000}"/>
  </bookViews>
  <sheets>
    <sheet name="README" sheetId="1321" r:id="rId1"/>
    <sheet name="measurements1" sheetId="224" r:id="rId2"/>
    <sheet name="measurements2" sheetId="1315" r:id="rId3"/>
    <sheet name="length(age)" sheetId="1314" r:id="rId4"/>
    <sheet name="weight(age)" sheetId="1313" r:id="rId5"/>
    <sheet name="weight4age" sheetId="1307" state="hidden" r:id="rId6"/>
    <sheet name="length4age" sheetId="1308" state="hidden" r:id="rId7"/>
    <sheet name="bmi4age" sheetId="1311" state="hidden" r:id="rId8"/>
    <sheet name="weight(length)" sheetId="1320" r:id="rId9"/>
    <sheet name="head(age)" sheetId="1319" r:id="rId10"/>
    <sheet name="bmi(age)" sheetId="1318" r:id="rId11"/>
    <sheet name="weight4length" sheetId="1310" state="hidden" r:id="rId12"/>
    <sheet name="head4age" sheetId="1312" state="hidden" r:id="rId13"/>
  </sheets>
  <functionGroups builtInGroupCount="19"/>
  <definedNames>
    <definedName name="age" localSheetId="7">bmi4age!#REF!</definedName>
    <definedName name="age" localSheetId="6">length4age!#REF!</definedName>
    <definedName name="age" localSheetId="5">weight4age!#REF!</definedName>
    <definedName name="birthdate" localSheetId="1">measurements1!$B$2</definedName>
    <definedName name="birthdate" localSheetId="2">measurements2!$B$2</definedName>
    <definedName name="name" localSheetId="1">measurements1!$B$1</definedName>
    <definedName name="name" localSheetId="2">measurements2!$B$1</definedName>
    <definedName name="_xlnm.Print_Area" localSheetId="1">measurements1!$A$4:$B$7</definedName>
    <definedName name="_xlnm.Print_Area" localSheetId="2">measurements2!$A$4:$B$7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1315" l="1"/>
  <c r="B5" i="1315"/>
  <c r="C5" i="1315"/>
  <c r="E5" i="1315"/>
  <c r="F5" i="1315"/>
  <c r="H5" i="1315"/>
  <c r="I5" i="1315"/>
  <c r="J5" i="1315"/>
  <c r="K5" i="1315"/>
  <c r="L5" i="1315"/>
  <c r="N5" i="1315"/>
  <c r="O5" i="1315"/>
  <c r="P5" i="1315" s="1"/>
  <c r="Q5" i="1315"/>
  <c r="B6" i="1315"/>
  <c r="C6" i="1315"/>
  <c r="E6" i="1315"/>
  <c r="F6" i="1315"/>
  <c r="H6" i="1315"/>
  <c r="I6" i="1315"/>
  <c r="J6" i="1315"/>
  <c r="K6" i="1315"/>
  <c r="L6" i="1315"/>
  <c r="N6" i="1315"/>
  <c r="O6" i="1315"/>
  <c r="P6" i="1315" s="1"/>
  <c r="Q6" i="1315"/>
  <c r="K7" i="1315"/>
  <c r="K7" i="224"/>
  <c r="K6" i="224"/>
  <c r="K5" i="224"/>
  <c r="A5" i="224"/>
  <c r="E7" i="1315"/>
  <c r="E5" i="224"/>
  <c r="E6" i="224"/>
  <c r="E7" i="224"/>
  <c r="H7" i="1315"/>
  <c r="H5" i="224"/>
  <c r="H6" i="224"/>
  <c r="H7" i="224"/>
  <c r="Q7" i="1315"/>
  <c r="O7" i="1315"/>
  <c r="P7" i="1315" s="1"/>
  <c r="B7" i="224"/>
  <c r="C7" i="224"/>
  <c r="C6" i="224"/>
  <c r="B6" i="224"/>
  <c r="I6" i="224"/>
  <c r="I7" i="224"/>
  <c r="F6" i="224"/>
  <c r="F7" i="224"/>
  <c r="J7" i="1315"/>
  <c r="C7" i="1315"/>
  <c r="B7" i="1315"/>
  <c r="B5" i="224"/>
  <c r="C5" i="224"/>
  <c r="L5" i="224"/>
  <c r="F5" i="224"/>
  <c r="O5" i="224" l="1"/>
  <c r="P5" i="224" s="1"/>
  <c r="Q5" i="224"/>
  <c r="O6" i="224"/>
  <c r="P6" i="224" s="1"/>
  <c r="Q6" i="224"/>
  <c r="O7" i="224"/>
  <c r="P7" i="224" s="1"/>
  <c r="Q7" i="224"/>
  <c r="F7" i="1315"/>
  <c r="N7" i="1315"/>
  <c r="I7" i="1315"/>
  <c r="L7" i="1315"/>
  <c r="J5" i="224"/>
  <c r="J6" i="224"/>
  <c r="J7" i="224"/>
  <c r="L7" i="224"/>
  <c r="N7" i="224"/>
  <c r="L6" i="224"/>
  <c r="N6" i="224"/>
  <c r="I5" i="224"/>
  <c r="N5" i="224"/>
</calcChain>
</file>

<file path=xl/sharedStrings.xml><?xml version="1.0" encoding="utf-8"?>
<sst xmlns="http://schemas.openxmlformats.org/spreadsheetml/2006/main" count="210" uniqueCount="66">
  <si>
    <t>Born</t>
  </si>
  <si>
    <t>johan</t>
  </si>
  <si>
    <t>Sex</t>
  </si>
  <si>
    <t>L</t>
  </si>
  <si>
    <t>M</t>
  </si>
  <si>
    <t>S</t>
  </si>
  <si>
    <t>P3</t>
  </si>
  <si>
    <t>P5</t>
  </si>
  <si>
    <t>P10</t>
  </si>
  <si>
    <t>P25</t>
  </si>
  <si>
    <t>P50</t>
  </si>
  <si>
    <t>P75</t>
  </si>
  <si>
    <t>P90</t>
  </si>
  <si>
    <t>P95</t>
  </si>
  <si>
    <t>P97</t>
  </si>
  <si>
    <t>ymd</t>
  </si>
  <si>
    <t>bmi</t>
  </si>
  <si>
    <t>%head</t>
  </si>
  <si>
    <t>%bmi</t>
  </si>
  <si>
    <t>%length</t>
  </si>
  <si>
    <t>%weight</t>
  </si>
  <si>
    <t>age</t>
  </si>
  <si>
    <t>weight</t>
  </si>
  <si>
    <t>length</t>
  </si>
  <si>
    <t>w vs l</t>
  </si>
  <si>
    <t>head</t>
  </si>
  <si>
    <t>lb</t>
  </si>
  <si>
    <t>oz</t>
  </si>
  <si>
    <t>inch</t>
  </si>
  <si>
    <t>date</t>
  </si>
  <si>
    <t>dLength</t>
  </si>
  <si>
    <t>dWeight</t>
  </si>
  <si>
    <t>X</t>
  </si>
  <si>
    <t>boy1</t>
  </si>
  <si>
    <t>boy2</t>
  </si>
  <si>
    <t>README</t>
  </si>
  <si>
    <t>Where to enter the data</t>
  </si>
  <si>
    <t>Enter the data in the "measurement" sheets, create more as needed</t>
  </si>
  <si>
    <t>Field B1 holds the name</t>
  </si>
  <si>
    <t>Field B2 holds the birthdate</t>
  </si>
  <si>
    <t>In the white cells under headings date, weight, length, head enter the data points. Leave blank if unknown.</t>
  </si>
  <si>
    <t>The blue shaded cells are calculated values.</t>
  </si>
  <si>
    <t>The charts</t>
  </si>
  <si>
    <t>length(age), shows the length as a function of age</t>
  </si>
  <si>
    <t>bmi(age), shows the BMI as a function of age</t>
  </si>
  <si>
    <t>weight(age), shows the weight as a function of age</t>
  </si>
  <si>
    <t>weigth(length), shows the weight as a function of the length</t>
  </si>
  <si>
    <t>head(age), shows the head circumference as a function of age</t>
  </si>
  <si>
    <t>The procentile curves are based on CDC data for boys.  Feel free to switch to girls of course.</t>
  </si>
  <si>
    <t>To switch to girls, click on a curve and "Select Data", then for each P curve, e.g.:</t>
  </si>
  <si>
    <t>The procentiles are calculated for boys.  To switch to girls, change the first parameter in each function call, e.g.</t>
  </si>
  <si>
    <r>
      <t>=calc_weight4age(</t>
    </r>
    <r>
      <rPr>
        <sz val="10"/>
        <color rgb="FFFF0000"/>
        <rFont val="Courier New"/>
        <family val="3"/>
      </rPr>
      <t>2</t>
    </r>
    <r>
      <rPr>
        <sz val="10"/>
        <rFont val="Courier New"/>
        <family val="3"/>
      </rPr>
      <t>, C5, D5)</t>
    </r>
  </si>
  <si>
    <r>
      <t>Series X values =length4age</t>
    </r>
    <r>
      <rPr>
        <sz val="10"/>
        <color rgb="FFFF0000"/>
        <rFont val="Courier New"/>
        <family val="3"/>
      </rPr>
      <t>_girls</t>
    </r>
    <r>
      <rPr>
        <sz val="10"/>
        <rFont val="Courier New"/>
        <family val="3"/>
      </rPr>
      <t>[X]</t>
    </r>
  </si>
  <si>
    <r>
      <t>Series Y values =length4age</t>
    </r>
    <r>
      <rPr>
        <sz val="10"/>
        <color rgb="FFFF0000"/>
        <rFont val="Courier New"/>
        <family val="3"/>
      </rPr>
      <t>_girls</t>
    </r>
    <r>
      <rPr>
        <sz val="10"/>
        <rFont val="Courier New"/>
        <family val="3"/>
      </rPr>
      <t>[P3]</t>
    </r>
  </si>
  <si>
    <r>
      <t xml:space="preserve">Series name ="P3 </t>
    </r>
    <r>
      <rPr>
        <sz val="10"/>
        <color rgb="FFFF0000"/>
        <rFont val="Courier New"/>
        <family val="3"/>
      </rPr>
      <t>girls</t>
    </r>
    <r>
      <rPr>
        <sz val="10"/>
        <rFont val="Courier New"/>
        <family val="3"/>
      </rPr>
      <t>"</t>
    </r>
  </si>
  <si>
    <t>Discussion</t>
  </si>
  <si>
    <t>Questions? Leave them on the GitHub discussion board for this project.</t>
  </si>
  <si>
    <t>GNU GENERAL PUBLIC LICENSE Version 3, check the file LICENSE for more information</t>
  </si>
  <si>
    <t>All rights reserved. Use of copyright notice does not imply publication.</t>
  </si>
  <si>
    <t>All text above must be included in any redistribution</t>
  </si>
  <si>
    <t>(c) Copyright 2022, Coert Vonk</t>
  </si>
  <si>
    <t>Input is in metric. Imperial units are shown on the right.</t>
  </si>
  <si>
    <t>BMI should only be calculated for ages 2 and up.</t>
  </si>
  <si>
    <t>Make sure there are no empty dates in the table, otherwise the graphs will start at 1.</t>
  </si>
  <si>
    <t>Percentiles are based on data from the U.S. Center for Disease Control and Prevention.</t>
  </si>
  <si>
    <t>src: https://github.com/cvonk/Excel_pediatric_growth_curves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</si>
</sst>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0\ &quot;lb&quot;"/>
    <numFmt numFmtId="166" formatCode="0.0\ &quot;oz&quot;"/>
    <numFmt numFmtId="167" formatCode="0.0\ &quot;cm&quot;"/>
    <numFmt numFmtId="168" formatCode="[$-409]d\-mmm\-yyyy;@"/>
    <numFmt numFmtId="169" formatCode="0\ &quot;%&quot;"/>
    <numFmt numFmtId="170" formatCode="0.000\ &quot;kg&quot;"/>
    <numFmt numFmtId="171" formatCode="0.0\ &quot;''&quot;"/>
    <numFmt numFmtId="172" formatCode="0.0%"/>
    <numFmt numFmtId="173" formatCode="&quot;Born on &quot;[$-409]mmmm\ d\,\ yyyy;@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24"/>
      <color indexed="62"/>
      <name val="Comic Sans MS"/>
      <family val="4"/>
    </font>
    <font>
      <sz val="16"/>
      <color indexed="62"/>
      <name val="Comic Sans MS"/>
      <family val="4"/>
    </font>
    <font>
      <b/>
      <sz val="10"/>
      <color indexed="26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22"/>
      <name val="Arial"/>
      <family val="2"/>
    </font>
    <font>
      <sz val="10"/>
      <name val="Courier New"/>
      <family val="3"/>
    </font>
    <font>
      <sz val="10"/>
      <color rgb="FFFF0000"/>
      <name val="Courier New"/>
      <family val="3"/>
    </font>
    <font>
      <sz val="10"/>
      <color theme="0" tint="-0.499984740745262"/>
      <name val="Arial"/>
      <family val="2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ck">
        <color indexed="4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168" fontId="0" fillId="0" borderId="0" xfId="0" applyNumberFormat="1"/>
    <xf numFmtId="167" fontId="0" fillId="0" borderId="0" xfId="0" applyNumberFormat="1"/>
    <xf numFmtId="169" fontId="0" fillId="0" borderId="0" xfId="0" applyNumberFormat="1"/>
    <xf numFmtId="170" fontId="0" fillId="0" borderId="0" xfId="0" applyNumberFormat="1"/>
    <xf numFmtId="171" fontId="0" fillId="0" borderId="0" xfId="0" applyNumberFormat="1"/>
    <xf numFmtId="164" fontId="0" fillId="0" borderId="0" xfId="0" applyNumberFormat="1"/>
    <xf numFmtId="0" fontId="3" fillId="3" borderId="2" xfId="0" applyFont="1" applyFill="1" applyBorder="1" applyAlignment="1">
      <alignment horizontal="center" wrapText="1"/>
    </xf>
    <xf numFmtId="172" fontId="0" fillId="0" borderId="0" xfId="0" applyNumberFormat="1"/>
    <xf numFmtId="0" fontId="1" fillId="0" borderId="0" xfId="1"/>
    <xf numFmtId="0" fontId="1" fillId="0" borderId="0" xfId="0" applyFont="1"/>
    <xf numFmtId="168" fontId="5" fillId="2" borderId="2" xfId="0" applyNumberFormat="1" applyFont="1" applyFill="1" applyBorder="1" applyAlignment="1"/>
    <xf numFmtId="2" fontId="0" fillId="0" borderId="0" xfId="0" applyNumberFormat="1"/>
    <xf numFmtId="0" fontId="3" fillId="3" borderId="2" xfId="0" applyFont="1" applyFill="1" applyBorder="1" applyAlignment="1">
      <alignment horizontal="center" wrapText="1"/>
    </xf>
    <xf numFmtId="168" fontId="5" fillId="2" borderId="2" xfId="0" applyNumberFormat="1" applyFont="1" applyFill="1" applyBorder="1"/>
    <xf numFmtId="0" fontId="0" fillId="0" borderId="0" xfId="0"/>
    <xf numFmtId="168" fontId="1" fillId="0" borderId="0" xfId="0" applyNumberFormat="1" applyFont="1" applyFill="1" applyBorder="1"/>
    <xf numFmtId="170" fontId="2" fillId="0" borderId="1" xfId="0" applyNumberFormat="1" applyFont="1" applyFill="1" applyBorder="1"/>
    <xf numFmtId="167" fontId="2" fillId="0" borderId="1" xfId="0" applyNumberFormat="1" applyFont="1" applyFill="1" applyBorder="1"/>
    <xf numFmtId="167" fontId="2" fillId="0" borderId="0" xfId="0" applyNumberFormat="1" applyFont="1" applyFill="1"/>
    <xf numFmtId="0" fontId="8" fillId="4" borderId="0" xfId="0" applyFont="1" applyFill="1" applyBorder="1" applyAlignment="1">
      <alignment horizontal="center"/>
    </xf>
    <xf numFmtId="169" fontId="8" fillId="4" borderId="1" xfId="0" applyNumberFormat="1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169" fontId="8" fillId="4" borderId="0" xfId="0" applyNumberFormat="1" applyFont="1" applyFill="1" applyBorder="1" applyAlignment="1">
      <alignment horizontal="center"/>
    </xf>
    <xf numFmtId="171" fontId="8" fillId="4" borderId="1" xfId="0" applyNumberFormat="1" applyFont="1" applyFill="1" applyBorder="1" applyAlignment="1">
      <alignment horizontal="center"/>
    </xf>
    <xf numFmtId="0" fontId="0" fillId="0" borderId="0" xfId="0"/>
    <xf numFmtId="168" fontId="6" fillId="0" borderId="0" xfId="0" applyNumberFormat="1" applyFont="1" applyFill="1" applyBorder="1"/>
    <xf numFmtId="170" fontId="7" fillId="5" borderId="0" xfId="0" applyNumberFormat="1" applyFont="1" applyFill="1" applyBorder="1" applyAlignment="1">
      <alignment horizontal="right"/>
    </xf>
    <xf numFmtId="2" fontId="7" fillId="5" borderId="0" xfId="0" applyNumberFormat="1" applyFont="1" applyFill="1" applyBorder="1" applyAlignment="1">
      <alignment horizontal="right"/>
    </xf>
    <xf numFmtId="170" fontId="7" fillId="0" borderId="0" xfId="0" applyNumberFormat="1" applyFont="1" applyFill="1" applyBorder="1"/>
    <xf numFmtId="170" fontId="7" fillId="5" borderId="0" xfId="0" applyNumberFormat="1" applyFont="1" applyFill="1" applyBorder="1"/>
    <xf numFmtId="9" fontId="7" fillId="5" borderId="0" xfId="0" applyNumberFormat="1" applyFont="1" applyFill="1" applyBorder="1"/>
    <xf numFmtId="167" fontId="7" fillId="0" borderId="0" xfId="0" applyNumberFormat="1" applyFont="1" applyFill="1" applyBorder="1"/>
    <xf numFmtId="167" fontId="7" fillId="5" borderId="0" xfId="0" applyNumberFormat="1" applyFont="1" applyFill="1" applyBorder="1"/>
    <xf numFmtId="164" fontId="7" fillId="5" borderId="0" xfId="0" applyNumberFormat="1" applyFont="1" applyFill="1" applyBorder="1"/>
    <xf numFmtId="165" fontId="7" fillId="5" borderId="0" xfId="0" applyNumberFormat="1" applyFont="1" applyFill="1" applyBorder="1" applyAlignment="1">
      <alignment horizontal="right"/>
    </xf>
    <xf numFmtId="166" fontId="7" fillId="5" borderId="0" xfId="0" applyNumberFormat="1" applyFont="1" applyFill="1" applyBorder="1" applyAlignment="1">
      <alignment horizontal="right"/>
    </xf>
    <xf numFmtId="171" fontId="7" fillId="5" borderId="0" xfId="0" applyNumberFormat="1" applyFont="1" applyFill="1" applyBorder="1"/>
    <xf numFmtId="167" fontId="2" fillId="5" borderId="0" xfId="0" applyNumberFormat="1" applyFont="1" applyFill="1" applyBorder="1"/>
    <xf numFmtId="0" fontId="10" fillId="0" borderId="0" xfId="0" applyFont="1"/>
    <xf numFmtId="0" fontId="9" fillId="0" borderId="0" xfId="0" applyFont="1"/>
    <xf numFmtId="0" fontId="11" fillId="0" borderId="0" xfId="0" quotePrefix="1" applyFont="1" applyAlignment="1">
      <alignment horizontal="left" indent="1"/>
    </xf>
    <xf numFmtId="0" fontId="11" fillId="0" borderId="0" xfId="0" applyFont="1" applyAlignment="1">
      <alignment horizontal="left" indent="2"/>
    </xf>
    <xf numFmtId="0" fontId="13" fillId="0" borderId="0" xfId="0" applyFont="1"/>
    <xf numFmtId="170" fontId="2" fillId="5" borderId="4" xfId="0" applyNumberFormat="1" applyFont="1" applyFill="1" applyBorder="1" applyAlignment="1">
      <alignment horizontal="right"/>
    </xf>
    <xf numFmtId="2" fontId="2" fillId="5" borderId="3" xfId="0" applyNumberFormat="1" applyFont="1" applyFill="1" applyBorder="1" applyAlignment="1">
      <alignment horizontal="right"/>
    </xf>
    <xf numFmtId="170" fontId="2" fillId="5" borderId="0" xfId="0" applyNumberFormat="1" applyFont="1" applyFill="1" applyBorder="1"/>
    <xf numFmtId="9" fontId="2" fillId="5" borderId="3" xfId="0" applyNumberFormat="1" applyFont="1" applyFill="1" applyBorder="1"/>
    <xf numFmtId="167" fontId="2" fillId="5" borderId="0" xfId="0" applyNumberFormat="1" applyFont="1" applyFill="1"/>
    <xf numFmtId="9" fontId="2" fillId="5" borderId="0" xfId="0" applyNumberFormat="1" applyFont="1" applyFill="1"/>
    <xf numFmtId="9" fontId="2" fillId="5" borderId="4" xfId="0" applyNumberFormat="1" applyFont="1" applyFill="1" applyBorder="1"/>
    <xf numFmtId="164" fontId="2" fillId="5" borderId="0" xfId="0" applyNumberFormat="1" applyFont="1" applyFill="1"/>
    <xf numFmtId="165" fontId="2" fillId="5" borderId="1" xfId="0" applyNumberFormat="1" applyFont="1" applyFill="1" applyBorder="1" applyAlignment="1">
      <alignment horizontal="right"/>
    </xf>
    <xf numFmtId="166" fontId="2" fillId="5" borderId="0" xfId="0" applyNumberFormat="1" applyFont="1" applyFill="1" applyAlignment="1">
      <alignment horizontal="right"/>
    </xf>
    <xf numFmtId="171" fontId="2" fillId="5" borderId="1" xfId="0" applyNumberFormat="1" applyFont="1" applyFill="1" applyBorder="1"/>
    <xf numFmtId="0" fontId="14" fillId="0" borderId="0" xfId="0" applyFont="1"/>
    <xf numFmtId="0" fontId="3" fillId="3" borderId="2" xfId="0" applyNumberFormat="1" applyFont="1" applyFill="1" applyBorder="1" applyAlignment="1">
      <alignment horizontal="center" wrapText="1"/>
    </xf>
    <xf numFmtId="0" fontId="0" fillId="0" borderId="0" xfId="0" applyNumberFormat="1" applyAlignment="1"/>
    <xf numFmtId="173" fontId="4" fillId="2" borderId="0" xfId="0" applyNumberFormat="1" applyFont="1" applyFill="1" applyAlignment="1">
      <alignment horizontal="center" wrapText="1"/>
    </xf>
    <xf numFmtId="173" fontId="0" fillId="0" borderId="0" xfId="0" applyNumberFormat="1"/>
  </cellXfs>
  <cellStyles count="2">
    <cellStyle name="Normal" xfId="0" builtinId="0"/>
    <cellStyle name="Normal 2" xfId="1" xr:uid="{56A162B9-4D9B-46CC-806C-B826736481CB}"/>
  </cellStyles>
  <dxfs count="45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1" formatCode="0.0\ &quot;''&quot;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6" formatCode="0.0\ &quot;oz&quot;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5" formatCode="0\ &quot;lb&quot;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7" formatCode="0.0\ &quot;cm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7" formatCode="0.0\ &quot;cm&quot;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7" formatCode="0.0\ &quot;cm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0" formatCode="0.000\ &quot;kg&quot;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0" formatCode="0.000\ &quot;kg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0" formatCode="0.000\ &quot;kg&quot;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[$-409]d\-mmm\-yyyy;@"/>
      <fill>
        <patternFill patternType="none">
          <fgColor indexed="64"/>
          <bgColor indexed="65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71" formatCode="0.0\ &quot;''&quot;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66" formatCode="0.0\ &quot;oz&quot;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65" formatCode="0\ &quot;lb&quot;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3" formatCode="0%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67" formatCode="0.0\ &quot;cm&quot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3" formatCode="0%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64" formatCode="0.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3" formatCode="0%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3" formatCode="0%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67" formatCode="0.0\ &quot;cm&quot;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67" formatCode="0.0\ &quot;cm&quot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3" formatCode="0%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70" formatCode="0.000\ &quot;kg&quot;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70" formatCode="0.000\ &quot;kg&quot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70" formatCode="0.000\ &quot;kg&quot;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409]d\-mmm\-yyyy;@"/>
      <fill>
        <patternFill patternType="none">
          <fgColor indexed="64"/>
          <bgColor auto="1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C0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8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chartsheet" Target="chartsheets/sheet5.xml"/><Relationship Id="rId5" Type="http://schemas.openxmlformats.org/officeDocument/2006/relationships/chartsheet" Target="chartsheets/sheet2.xml"/><Relationship Id="rId15" Type="http://schemas.openxmlformats.org/officeDocument/2006/relationships/styles" Target="styles.xml"/><Relationship Id="rId10" Type="http://schemas.openxmlformats.org/officeDocument/2006/relationships/chartsheet" Target="chartsheets/sheet4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3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length(age)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measurements1!$B$1</c:f>
              <c:strCache>
                <c:ptCount val="1"/>
                <c:pt idx="0">
                  <c:v>boy1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measurements1!$C$5:$C$7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measurements1!$G$5:$G$7</c:f>
              <c:numCache>
                <c:formatCode>0.0\ "cm"</c:formatCode>
                <c:ptCount val="3"/>
                <c:pt idx="0">
                  <c:v>50</c:v>
                </c:pt>
                <c:pt idx="1">
                  <c:v>75</c:v>
                </c:pt>
                <c:pt idx="2">
                  <c:v>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D4-42C4-8832-000CFFD1EC4E}"/>
            </c:ext>
          </c:extLst>
        </c:ser>
        <c:ser>
          <c:idx val="10"/>
          <c:order val="1"/>
          <c:tx>
            <c:strRef>
              <c:f>measurements2!$B$1</c:f>
              <c:strCache>
                <c:ptCount val="1"/>
                <c:pt idx="0">
                  <c:v>boy2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measurements2!$C$5:$C$7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measurements2!$G$5:$G$7</c:f>
              <c:numCache>
                <c:formatCode>0.0\ "cm"</c:formatCode>
                <c:ptCount val="3"/>
                <c:pt idx="0">
                  <c:v>48</c:v>
                </c:pt>
                <c:pt idx="1">
                  <c:v>73</c:v>
                </c:pt>
                <c:pt idx="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CF-4C74-9CD0-4870949C7952}"/>
            </c:ext>
          </c:extLst>
        </c:ser>
        <c:ser>
          <c:idx val="1"/>
          <c:order val="2"/>
          <c:tx>
            <c:v>P3 boys</c:v>
          </c:tx>
          <c:spPr>
            <a:ln w="635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length4age!$B$2:$B$242</c:f>
              <c:numCache>
                <c:formatCode>0.00</c:formatCode>
                <c:ptCount val="241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2.0416666666666665</c:v>
                </c:pt>
                <c:pt idx="25">
                  <c:v>2.125</c:v>
                </c:pt>
                <c:pt idx="26">
                  <c:v>2.2083333333333335</c:v>
                </c:pt>
                <c:pt idx="27">
                  <c:v>2.2916666666666665</c:v>
                </c:pt>
                <c:pt idx="28">
                  <c:v>2.375</c:v>
                </c:pt>
                <c:pt idx="29">
                  <c:v>2.4583333333333335</c:v>
                </c:pt>
                <c:pt idx="30">
                  <c:v>2.5416666666666665</c:v>
                </c:pt>
                <c:pt idx="31">
                  <c:v>2.625</c:v>
                </c:pt>
                <c:pt idx="32">
                  <c:v>2.7083333333333335</c:v>
                </c:pt>
                <c:pt idx="33">
                  <c:v>2.7916666666666665</c:v>
                </c:pt>
                <c:pt idx="34">
                  <c:v>2.875</c:v>
                </c:pt>
                <c:pt idx="35">
                  <c:v>2.9583333333333335</c:v>
                </c:pt>
                <c:pt idx="36">
                  <c:v>3.0416666666666665</c:v>
                </c:pt>
                <c:pt idx="37">
                  <c:v>3.125</c:v>
                </c:pt>
                <c:pt idx="38">
                  <c:v>3.2083333333333335</c:v>
                </c:pt>
                <c:pt idx="39">
                  <c:v>3.2916666666666665</c:v>
                </c:pt>
                <c:pt idx="40">
                  <c:v>3.375</c:v>
                </c:pt>
                <c:pt idx="41">
                  <c:v>3.4583333333333335</c:v>
                </c:pt>
                <c:pt idx="42">
                  <c:v>3.5416666666666665</c:v>
                </c:pt>
                <c:pt idx="43">
                  <c:v>3.625</c:v>
                </c:pt>
                <c:pt idx="44">
                  <c:v>3.7083333333333335</c:v>
                </c:pt>
                <c:pt idx="45">
                  <c:v>3.7916666666666665</c:v>
                </c:pt>
                <c:pt idx="46">
                  <c:v>3.875</c:v>
                </c:pt>
                <c:pt idx="47">
                  <c:v>3.9583333333333335</c:v>
                </c:pt>
                <c:pt idx="48">
                  <c:v>4.041666666666667</c:v>
                </c:pt>
                <c:pt idx="49">
                  <c:v>4.125</c:v>
                </c:pt>
                <c:pt idx="50">
                  <c:v>4.208333333333333</c:v>
                </c:pt>
                <c:pt idx="51">
                  <c:v>4.291666666666667</c:v>
                </c:pt>
                <c:pt idx="52">
                  <c:v>4.375</c:v>
                </c:pt>
                <c:pt idx="53">
                  <c:v>4.458333333333333</c:v>
                </c:pt>
                <c:pt idx="54">
                  <c:v>4.541666666666667</c:v>
                </c:pt>
                <c:pt idx="55">
                  <c:v>4.625</c:v>
                </c:pt>
                <c:pt idx="56">
                  <c:v>4.708333333333333</c:v>
                </c:pt>
                <c:pt idx="57">
                  <c:v>4.791666666666667</c:v>
                </c:pt>
                <c:pt idx="58">
                  <c:v>4.875</c:v>
                </c:pt>
                <c:pt idx="59">
                  <c:v>4.958333333333333</c:v>
                </c:pt>
                <c:pt idx="60">
                  <c:v>5.041666666666667</c:v>
                </c:pt>
                <c:pt idx="61">
                  <c:v>5.125</c:v>
                </c:pt>
                <c:pt idx="62">
                  <c:v>5.208333333333333</c:v>
                </c:pt>
                <c:pt idx="63">
                  <c:v>5.291666666666667</c:v>
                </c:pt>
                <c:pt idx="64">
                  <c:v>5.375</c:v>
                </c:pt>
                <c:pt idx="65">
                  <c:v>5.458333333333333</c:v>
                </c:pt>
                <c:pt idx="66">
                  <c:v>5.541666666666667</c:v>
                </c:pt>
                <c:pt idx="67">
                  <c:v>5.625</c:v>
                </c:pt>
                <c:pt idx="68">
                  <c:v>5.708333333333333</c:v>
                </c:pt>
                <c:pt idx="69">
                  <c:v>5.791666666666667</c:v>
                </c:pt>
                <c:pt idx="70">
                  <c:v>5.875</c:v>
                </c:pt>
                <c:pt idx="71">
                  <c:v>5.958333333333333</c:v>
                </c:pt>
                <c:pt idx="72">
                  <c:v>6.041666666666667</c:v>
                </c:pt>
                <c:pt idx="73">
                  <c:v>6.125</c:v>
                </c:pt>
                <c:pt idx="74">
                  <c:v>6.208333333333333</c:v>
                </c:pt>
                <c:pt idx="75">
                  <c:v>6.291666666666667</c:v>
                </c:pt>
                <c:pt idx="76">
                  <c:v>6.375</c:v>
                </c:pt>
                <c:pt idx="77">
                  <c:v>6.458333333333333</c:v>
                </c:pt>
                <c:pt idx="78">
                  <c:v>6.541666666666667</c:v>
                </c:pt>
                <c:pt idx="79">
                  <c:v>6.625</c:v>
                </c:pt>
                <c:pt idx="80">
                  <c:v>6.708333333333333</c:v>
                </c:pt>
                <c:pt idx="81">
                  <c:v>6.791666666666667</c:v>
                </c:pt>
                <c:pt idx="82">
                  <c:v>6.875</c:v>
                </c:pt>
                <c:pt idx="83">
                  <c:v>6.958333333333333</c:v>
                </c:pt>
                <c:pt idx="84">
                  <c:v>7.041666666666667</c:v>
                </c:pt>
                <c:pt idx="85">
                  <c:v>7.125</c:v>
                </c:pt>
                <c:pt idx="86">
                  <c:v>7.208333333333333</c:v>
                </c:pt>
                <c:pt idx="87">
                  <c:v>7.291666666666667</c:v>
                </c:pt>
                <c:pt idx="88">
                  <c:v>7.375</c:v>
                </c:pt>
                <c:pt idx="89">
                  <c:v>7.458333333333333</c:v>
                </c:pt>
                <c:pt idx="90">
                  <c:v>7.541666666666667</c:v>
                </c:pt>
                <c:pt idx="91">
                  <c:v>7.625</c:v>
                </c:pt>
                <c:pt idx="92">
                  <c:v>7.708333333333333</c:v>
                </c:pt>
                <c:pt idx="93">
                  <c:v>7.791666666666667</c:v>
                </c:pt>
                <c:pt idx="94">
                  <c:v>7.875</c:v>
                </c:pt>
                <c:pt idx="95">
                  <c:v>7.958333333333333</c:v>
                </c:pt>
                <c:pt idx="96">
                  <c:v>8.0416666666666661</c:v>
                </c:pt>
                <c:pt idx="97">
                  <c:v>8.125</c:v>
                </c:pt>
                <c:pt idx="98">
                  <c:v>8.2083333333333339</c:v>
                </c:pt>
                <c:pt idx="99">
                  <c:v>8.2916666666666661</c:v>
                </c:pt>
                <c:pt idx="100">
                  <c:v>8.375</c:v>
                </c:pt>
                <c:pt idx="101">
                  <c:v>8.4583333333333339</c:v>
                </c:pt>
                <c:pt idx="102">
                  <c:v>8.5416666666666661</c:v>
                </c:pt>
                <c:pt idx="103">
                  <c:v>8.625</c:v>
                </c:pt>
                <c:pt idx="104">
                  <c:v>8.7083333333333339</c:v>
                </c:pt>
                <c:pt idx="105">
                  <c:v>8.7916666666666661</c:v>
                </c:pt>
                <c:pt idx="106">
                  <c:v>8.875</c:v>
                </c:pt>
                <c:pt idx="107">
                  <c:v>8.9583333333333339</c:v>
                </c:pt>
                <c:pt idx="108">
                  <c:v>9.0416666666666661</c:v>
                </c:pt>
                <c:pt idx="109">
                  <c:v>9.125</c:v>
                </c:pt>
                <c:pt idx="110">
                  <c:v>9.2083333333333339</c:v>
                </c:pt>
                <c:pt idx="111">
                  <c:v>9.2916666666666661</c:v>
                </c:pt>
                <c:pt idx="112">
                  <c:v>9.375</c:v>
                </c:pt>
                <c:pt idx="113">
                  <c:v>9.4583333333333339</c:v>
                </c:pt>
                <c:pt idx="114">
                  <c:v>9.5416666666666661</c:v>
                </c:pt>
                <c:pt idx="115">
                  <c:v>9.625</c:v>
                </c:pt>
                <c:pt idx="116">
                  <c:v>9.7083333333333339</c:v>
                </c:pt>
                <c:pt idx="117">
                  <c:v>9.7916666666666661</c:v>
                </c:pt>
                <c:pt idx="118">
                  <c:v>9.875</c:v>
                </c:pt>
                <c:pt idx="119">
                  <c:v>9.9583333333333339</c:v>
                </c:pt>
                <c:pt idx="120">
                  <c:v>10.041666666666666</c:v>
                </c:pt>
                <c:pt idx="121">
                  <c:v>10.125</c:v>
                </c:pt>
                <c:pt idx="122">
                  <c:v>10.208333333333334</c:v>
                </c:pt>
                <c:pt idx="123">
                  <c:v>10.291666666666666</c:v>
                </c:pt>
                <c:pt idx="124">
                  <c:v>10.375</c:v>
                </c:pt>
                <c:pt idx="125">
                  <c:v>10.458333333333334</c:v>
                </c:pt>
                <c:pt idx="126">
                  <c:v>10.541666666666666</c:v>
                </c:pt>
                <c:pt idx="127">
                  <c:v>10.625</c:v>
                </c:pt>
                <c:pt idx="128">
                  <c:v>10.708333333333334</c:v>
                </c:pt>
                <c:pt idx="129">
                  <c:v>10.791666666666666</c:v>
                </c:pt>
                <c:pt idx="130">
                  <c:v>10.875</c:v>
                </c:pt>
                <c:pt idx="131">
                  <c:v>10.958333333333334</c:v>
                </c:pt>
                <c:pt idx="132">
                  <c:v>11.041666666666666</c:v>
                </c:pt>
                <c:pt idx="133">
                  <c:v>11.125</c:v>
                </c:pt>
                <c:pt idx="134">
                  <c:v>11.208333333333334</c:v>
                </c:pt>
                <c:pt idx="135">
                  <c:v>11.291666666666666</c:v>
                </c:pt>
                <c:pt idx="136">
                  <c:v>11.375</c:v>
                </c:pt>
                <c:pt idx="137">
                  <c:v>11.458333333333334</c:v>
                </c:pt>
                <c:pt idx="138">
                  <c:v>11.541666666666666</c:v>
                </c:pt>
                <c:pt idx="139">
                  <c:v>11.625</c:v>
                </c:pt>
                <c:pt idx="140">
                  <c:v>11.708333333333334</c:v>
                </c:pt>
                <c:pt idx="141">
                  <c:v>11.791666666666666</c:v>
                </c:pt>
                <c:pt idx="142">
                  <c:v>11.875</c:v>
                </c:pt>
                <c:pt idx="143">
                  <c:v>11.958333333333334</c:v>
                </c:pt>
                <c:pt idx="144">
                  <c:v>12.041666666666666</c:v>
                </c:pt>
                <c:pt idx="145">
                  <c:v>12.125</c:v>
                </c:pt>
                <c:pt idx="146">
                  <c:v>12.208333333333334</c:v>
                </c:pt>
                <c:pt idx="147">
                  <c:v>12.291666666666666</c:v>
                </c:pt>
                <c:pt idx="148">
                  <c:v>12.375</c:v>
                </c:pt>
                <c:pt idx="149">
                  <c:v>12.458333333333334</c:v>
                </c:pt>
                <c:pt idx="150">
                  <c:v>12.541666666666666</c:v>
                </c:pt>
                <c:pt idx="151">
                  <c:v>12.625</c:v>
                </c:pt>
                <c:pt idx="152">
                  <c:v>12.708333333333334</c:v>
                </c:pt>
                <c:pt idx="153">
                  <c:v>12.791666666666666</c:v>
                </c:pt>
                <c:pt idx="154">
                  <c:v>12.875</c:v>
                </c:pt>
                <c:pt idx="155">
                  <c:v>12.958333333333334</c:v>
                </c:pt>
                <c:pt idx="156">
                  <c:v>13.041666666666666</c:v>
                </c:pt>
                <c:pt idx="157">
                  <c:v>13.125</c:v>
                </c:pt>
                <c:pt idx="158">
                  <c:v>13.208333333333334</c:v>
                </c:pt>
                <c:pt idx="159">
                  <c:v>13.291666666666666</c:v>
                </c:pt>
                <c:pt idx="160">
                  <c:v>13.375</c:v>
                </c:pt>
                <c:pt idx="161">
                  <c:v>13.458333333333334</c:v>
                </c:pt>
                <c:pt idx="162">
                  <c:v>13.541666666666666</c:v>
                </c:pt>
                <c:pt idx="163">
                  <c:v>13.625</c:v>
                </c:pt>
                <c:pt idx="164">
                  <c:v>13.708333333333334</c:v>
                </c:pt>
                <c:pt idx="165">
                  <c:v>13.791666666666666</c:v>
                </c:pt>
                <c:pt idx="166">
                  <c:v>13.875</c:v>
                </c:pt>
                <c:pt idx="167">
                  <c:v>13.958333333333334</c:v>
                </c:pt>
                <c:pt idx="168">
                  <c:v>14.041666666666666</c:v>
                </c:pt>
                <c:pt idx="169">
                  <c:v>14.125</c:v>
                </c:pt>
                <c:pt idx="170">
                  <c:v>14.208333333333334</c:v>
                </c:pt>
                <c:pt idx="171">
                  <c:v>14.291666666666666</c:v>
                </c:pt>
                <c:pt idx="172">
                  <c:v>14.375</c:v>
                </c:pt>
                <c:pt idx="173">
                  <c:v>14.458333333333334</c:v>
                </c:pt>
                <c:pt idx="174">
                  <c:v>14.541666666666666</c:v>
                </c:pt>
                <c:pt idx="175">
                  <c:v>14.625</c:v>
                </c:pt>
                <c:pt idx="176">
                  <c:v>14.708333333333334</c:v>
                </c:pt>
                <c:pt idx="177">
                  <c:v>14.791666666666666</c:v>
                </c:pt>
                <c:pt idx="178">
                  <c:v>14.875</c:v>
                </c:pt>
                <c:pt idx="179">
                  <c:v>14.958333333333334</c:v>
                </c:pt>
                <c:pt idx="180">
                  <c:v>15.041666666666666</c:v>
                </c:pt>
                <c:pt idx="181">
                  <c:v>15.125</c:v>
                </c:pt>
                <c:pt idx="182">
                  <c:v>15.208333333333334</c:v>
                </c:pt>
                <c:pt idx="183">
                  <c:v>15.291666666666666</c:v>
                </c:pt>
                <c:pt idx="184">
                  <c:v>15.375</c:v>
                </c:pt>
                <c:pt idx="185">
                  <c:v>15.458333333333334</c:v>
                </c:pt>
                <c:pt idx="186">
                  <c:v>15.541666666666666</c:v>
                </c:pt>
                <c:pt idx="187">
                  <c:v>15.625</c:v>
                </c:pt>
                <c:pt idx="188">
                  <c:v>15.708333333333334</c:v>
                </c:pt>
                <c:pt idx="189">
                  <c:v>15.791666666666666</c:v>
                </c:pt>
                <c:pt idx="190">
                  <c:v>15.875</c:v>
                </c:pt>
                <c:pt idx="191">
                  <c:v>15.958333333333334</c:v>
                </c:pt>
                <c:pt idx="192">
                  <c:v>16.041666666666668</c:v>
                </c:pt>
                <c:pt idx="193">
                  <c:v>16.125</c:v>
                </c:pt>
                <c:pt idx="194">
                  <c:v>16.208333333333332</c:v>
                </c:pt>
                <c:pt idx="195">
                  <c:v>16.291666666666668</c:v>
                </c:pt>
                <c:pt idx="196">
                  <c:v>16.375</c:v>
                </c:pt>
                <c:pt idx="197">
                  <c:v>16.458333333333332</c:v>
                </c:pt>
                <c:pt idx="198">
                  <c:v>16.541666666666668</c:v>
                </c:pt>
                <c:pt idx="199">
                  <c:v>16.625</c:v>
                </c:pt>
                <c:pt idx="200">
                  <c:v>16.708333333333332</c:v>
                </c:pt>
                <c:pt idx="201">
                  <c:v>16.791666666666668</c:v>
                </c:pt>
                <c:pt idx="202">
                  <c:v>16.875</c:v>
                </c:pt>
                <c:pt idx="203">
                  <c:v>16.958333333333332</c:v>
                </c:pt>
                <c:pt idx="204">
                  <c:v>17.041666666666668</c:v>
                </c:pt>
                <c:pt idx="205">
                  <c:v>17.125</c:v>
                </c:pt>
                <c:pt idx="206">
                  <c:v>17.208333333333332</c:v>
                </c:pt>
                <c:pt idx="207">
                  <c:v>17.291666666666668</c:v>
                </c:pt>
                <c:pt idx="208">
                  <c:v>17.375</c:v>
                </c:pt>
                <c:pt idx="209">
                  <c:v>17.458333333333332</c:v>
                </c:pt>
                <c:pt idx="210">
                  <c:v>17.541666666666668</c:v>
                </c:pt>
                <c:pt idx="211">
                  <c:v>17.625</c:v>
                </c:pt>
                <c:pt idx="212">
                  <c:v>17.708333333333332</c:v>
                </c:pt>
                <c:pt idx="213">
                  <c:v>17.791666666666668</c:v>
                </c:pt>
                <c:pt idx="214">
                  <c:v>17.875</c:v>
                </c:pt>
                <c:pt idx="215">
                  <c:v>17.958333333333332</c:v>
                </c:pt>
                <c:pt idx="216">
                  <c:v>18.041666666666668</c:v>
                </c:pt>
                <c:pt idx="217">
                  <c:v>18.125</c:v>
                </c:pt>
                <c:pt idx="218">
                  <c:v>18.208333333333332</c:v>
                </c:pt>
                <c:pt idx="219">
                  <c:v>18.291666666666668</c:v>
                </c:pt>
                <c:pt idx="220">
                  <c:v>18.375</c:v>
                </c:pt>
                <c:pt idx="221">
                  <c:v>18.458333333333332</c:v>
                </c:pt>
                <c:pt idx="222">
                  <c:v>18.541666666666668</c:v>
                </c:pt>
                <c:pt idx="223">
                  <c:v>18.625</c:v>
                </c:pt>
                <c:pt idx="224">
                  <c:v>18.708333333333332</c:v>
                </c:pt>
                <c:pt idx="225">
                  <c:v>18.791666666666668</c:v>
                </c:pt>
                <c:pt idx="226">
                  <c:v>18.875</c:v>
                </c:pt>
                <c:pt idx="227">
                  <c:v>18.958333333333332</c:v>
                </c:pt>
                <c:pt idx="228">
                  <c:v>19.041666666666668</c:v>
                </c:pt>
                <c:pt idx="229">
                  <c:v>19.125</c:v>
                </c:pt>
                <c:pt idx="230">
                  <c:v>19.208333333333332</c:v>
                </c:pt>
                <c:pt idx="231">
                  <c:v>19.291666666666668</c:v>
                </c:pt>
                <c:pt idx="232">
                  <c:v>19.375</c:v>
                </c:pt>
                <c:pt idx="233">
                  <c:v>19.458333333333332</c:v>
                </c:pt>
                <c:pt idx="234">
                  <c:v>19.541666666666668</c:v>
                </c:pt>
                <c:pt idx="235">
                  <c:v>19.625</c:v>
                </c:pt>
                <c:pt idx="236">
                  <c:v>19.708333333333332</c:v>
                </c:pt>
                <c:pt idx="237">
                  <c:v>19.791666666666668</c:v>
                </c:pt>
                <c:pt idx="238">
                  <c:v>19.875</c:v>
                </c:pt>
                <c:pt idx="239">
                  <c:v>19.958333333333332</c:v>
                </c:pt>
                <c:pt idx="240">
                  <c:v>20</c:v>
                </c:pt>
              </c:numCache>
            </c:numRef>
          </c:xVal>
          <c:yVal>
            <c:numRef>
              <c:f>length4age!$F$2:$F$242</c:f>
              <c:numCache>
                <c:formatCode>General</c:formatCode>
                <c:ptCount val="241"/>
                <c:pt idx="0">
                  <c:v>44.925097797605353</c:v>
                </c:pt>
                <c:pt idx="1">
                  <c:v>47.978123728908649</c:v>
                </c:pt>
                <c:pt idx="2">
                  <c:v>52.198594690099661</c:v>
                </c:pt>
                <c:pt idx="3">
                  <c:v>55.263217798862705</c:v>
                </c:pt>
                <c:pt idx="4">
                  <c:v>57.730492934740617</c:v>
                </c:pt>
                <c:pt idx="5">
                  <c:v>59.82568616226726</c:v>
                </c:pt>
                <c:pt idx="6">
                  <c:v>61.663837089626462</c:v>
                </c:pt>
                <c:pt idx="7">
                  <c:v>63.31224238885401</c:v>
                </c:pt>
                <c:pt idx="8">
                  <c:v>64.813954198834708</c:v>
                </c:pt>
                <c:pt idx="9">
                  <c:v>66.198325697870573</c:v>
                </c:pt>
                <c:pt idx="10">
                  <c:v>67.486348240987056</c:v>
                </c:pt>
                <c:pt idx="11">
                  <c:v>68.693603040502978</c:v>
                </c:pt>
                <c:pt idx="12">
                  <c:v>69.832001433940945</c:v>
                </c:pt>
                <c:pt idx="13">
                  <c:v>70.910878237182771</c:v>
                </c:pt>
                <c:pt idx="14">
                  <c:v>71.937697206936903</c:v>
                </c:pt>
                <c:pt idx="15">
                  <c:v>72.918530248955292</c:v>
                </c:pt>
                <c:pt idx="16">
                  <c:v>73.858390600827363</c:v>
                </c:pt>
                <c:pt idx="17">
                  <c:v>74.761470752353262</c:v>
                </c:pt>
                <c:pt idx="18">
                  <c:v>75.631316453640025</c:v>
                </c:pt>
                <c:pt idx="19">
                  <c:v>76.47095627901038</c:v>
                </c:pt>
                <c:pt idx="20">
                  <c:v>77.28300000897994</c:v>
                </c:pt>
                <c:pt idx="21">
                  <c:v>78.06971428782964</c:v>
                </c:pt>
                <c:pt idx="22">
                  <c:v>78.833081717215393</c:v>
                </c:pt>
                <c:pt idx="23">
                  <c:v>79.574845558029224</c:v>
                </c:pt>
                <c:pt idx="24">
                  <c:v>80.260370739999999</c:v>
                </c:pt>
                <c:pt idx="25">
                  <c:v>81.005293699999996</c:v>
                </c:pt>
                <c:pt idx="26">
                  <c:v>81.734157400000001</c:v>
                </c:pt>
                <c:pt idx="27">
                  <c:v>82.448456480000004</c:v>
                </c:pt>
                <c:pt idx="28">
                  <c:v>83.149449820000001</c:v>
                </c:pt>
                <c:pt idx="29">
                  <c:v>83.838193989999994</c:v>
                </c:pt>
                <c:pt idx="30">
                  <c:v>84.515582769999995</c:v>
                </c:pt>
                <c:pt idx="31">
                  <c:v>85.182380190000003</c:v>
                </c:pt>
                <c:pt idx="32">
                  <c:v>85.839250109999995</c:v>
                </c:pt>
                <c:pt idx="33">
                  <c:v>86.486782759999997</c:v>
                </c:pt>
                <c:pt idx="34">
                  <c:v>87.125518619999994</c:v>
                </c:pt>
                <c:pt idx="35">
                  <c:v>87.755967990000002</c:v>
                </c:pt>
                <c:pt idx="36">
                  <c:v>88.378636510000007</c:v>
                </c:pt>
                <c:pt idx="37">
                  <c:v>88.932970859999998</c:v>
                </c:pt>
                <c:pt idx="38">
                  <c:v>89.479162939999995</c:v>
                </c:pt>
                <c:pt idx="39">
                  <c:v>90.017657040000003</c:v>
                </c:pt>
                <c:pt idx="40">
                  <c:v>90.54890623</c:v>
                </c:pt>
                <c:pt idx="41">
                  <c:v>91.073374259999994</c:v>
                </c:pt>
                <c:pt idx="42">
                  <c:v>91.591523679999995</c:v>
                </c:pt>
                <c:pt idx="43">
                  <c:v>92.103820519999999</c:v>
                </c:pt>
                <c:pt idx="44">
                  <c:v>92.610729500000005</c:v>
                </c:pt>
                <c:pt idx="45">
                  <c:v>93.112711739999995</c:v>
                </c:pt>
                <c:pt idx="46">
                  <c:v>93.610222620000002</c:v>
                </c:pt>
                <c:pt idx="47">
                  <c:v>94.103709719999998</c:v>
                </c:pt>
                <c:pt idx="48">
                  <c:v>94.593610929999997</c:v>
                </c:pt>
                <c:pt idx="49">
                  <c:v>95.080352629999993</c:v>
                </c:pt>
                <c:pt idx="50">
                  <c:v>95.564348050000007</c:v>
                </c:pt>
                <c:pt idx="51">
                  <c:v>96.045997479999997</c:v>
                </c:pt>
                <c:pt idx="52">
                  <c:v>96.525677130000005</c:v>
                </c:pt>
                <c:pt idx="53">
                  <c:v>97.003758329999997</c:v>
                </c:pt>
                <c:pt idx="54">
                  <c:v>97.480583550000006</c:v>
                </c:pt>
                <c:pt idx="55">
                  <c:v>97.956478619999999</c:v>
                </c:pt>
                <c:pt idx="56">
                  <c:v>98.431747680000001</c:v>
                </c:pt>
                <c:pt idx="57">
                  <c:v>98.906672540000002</c:v>
                </c:pt>
                <c:pt idx="58">
                  <c:v>99.381511799999998</c:v>
                </c:pt>
                <c:pt idx="59">
                  <c:v>99.856500010000005</c:v>
                </c:pt>
                <c:pt idx="60">
                  <c:v>100.331847</c:v>
                </c:pt>
                <c:pt idx="61">
                  <c:v>100.8077371</c:v>
                </c:pt>
                <c:pt idx="62">
                  <c:v>101.2843288</c:v>
                </c:pt>
                <c:pt idx="63">
                  <c:v>101.7617545</c:v>
                </c:pt>
                <c:pt idx="64">
                  <c:v>102.2401199</c:v>
                </c:pt>
                <c:pt idx="65">
                  <c:v>102.719504</c:v>
                </c:pt>
                <c:pt idx="66">
                  <c:v>103.19995950000001</c:v>
                </c:pt>
                <c:pt idx="67">
                  <c:v>103.6815122</c:v>
                </c:pt>
                <c:pt idx="68">
                  <c:v>104.164162</c:v>
                </c:pt>
                <c:pt idx="69">
                  <c:v>104.6478827</c:v>
                </c:pt>
                <c:pt idx="70">
                  <c:v>105.13262210000001</c:v>
                </c:pt>
                <c:pt idx="71">
                  <c:v>105.6183068</c:v>
                </c:pt>
                <c:pt idx="72">
                  <c:v>106.1048359</c:v>
                </c:pt>
                <c:pt idx="73">
                  <c:v>106.59208700000001</c:v>
                </c:pt>
                <c:pt idx="74">
                  <c:v>107.0799166</c:v>
                </c:pt>
                <c:pt idx="75">
                  <c:v>107.5681606</c:v>
                </c:pt>
                <c:pt idx="76">
                  <c:v>108.0566359</c:v>
                </c:pt>
                <c:pt idx="77">
                  <c:v>108.54514229999999</c:v>
                </c:pt>
                <c:pt idx="78">
                  <c:v>109.0334636</c:v>
                </c:pt>
                <c:pt idx="79">
                  <c:v>109.52136950000001</c:v>
                </c:pt>
                <c:pt idx="80">
                  <c:v>110.00861740000001</c:v>
                </c:pt>
                <c:pt idx="81">
                  <c:v>110.49495450000001</c:v>
                </c:pt>
                <c:pt idx="82">
                  <c:v>110.9801192</c:v>
                </c:pt>
                <c:pt idx="83">
                  <c:v>111.4638437</c:v>
                </c:pt>
                <c:pt idx="84">
                  <c:v>111.9458554</c:v>
                </c:pt>
                <c:pt idx="85">
                  <c:v>112.4258796</c:v>
                </c:pt>
                <c:pt idx="86">
                  <c:v>112.9036412</c:v>
                </c:pt>
                <c:pt idx="87">
                  <c:v>113.37886640000001</c:v>
                </c:pt>
                <c:pt idx="88">
                  <c:v>113.8512827</c:v>
                </c:pt>
                <c:pt idx="89">
                  <c:v>114.3206308</c:v>
                </c:pt>
                <c:pt idx="90">
                  <c:v>114.78665220000001</c:v>
                </c:pt>
                <c:pt idx="91">
                  <c:v>115.24910010000001</c:v>
                </c:pt>
                <c:pt idx="92">
                  <c:v>115.7077388</c:v>
                </c:pt>
                <c:pt idx="93">
                  <c:v>116.16234609999999</c:v>
                </c:pt>
                <c:pt idx="94">
                  <c:v>116.6127146</c:v>
                </c:pt>
                <c:pt idx="95">
                  <c:v>117.0586529</c:v>
                </c:pt>
                <c:pt idx="96">
                  <c:v>117.49998789999999</c:v>
                </c:pt>
                <c:pt idx="97">
                  <c:v>117.9365657</c:v>
                </c:pt>
                <c:pt idx="98">
                  <c:v>118.36825260000001</c:v>
                </c:pt>
                <c:pt idx="99">
                  <c:v>118.794937</c:v>
                </c:pt>
                <c:pt idx="100">
                  <c:v>119.2165297</c:v>
                </c:pt>
                <c:pt idx="101">
                  <c:v>119.6329654</c:v>
                </c:pt>
                <c:pt idx="102">
                  <c:v>120.0442031</c:v>
                </c:pt>
                <c:pt idx="103">
                  <c:v>120.450227</c:v>
                </c:pt>
                <c:pt idx="104">
                  <c:v>120.8510473</c:v>
                </c:pt>
                <c:pt idx="105">
                  <c:v>121.2467001</c:v>
                </c:pt>
                <c:pt idx="106">
                  <c:v>121.6372483</c:v>
                </c:pt>
                <c:pt idx="107">
                  <c:v>122.0227817</c:v>
                </c:pt>
                <c:pt idx="108">
                  <c:v>122.4034171</c:v>
                </c:pt>
                <c:pt idx="109">
                  <c:v>122.77929829999999</c:v>
                </c:pt>
                <c:pt idx="110">
                  <c:v>123.1505962</c:v>
                </c:pt>
                <c:pt idx="111">
                  <c:v>123.5175084</c:v>
                </c:pt>
                <c:pt idx="112">
                  <c:v>123.8802592</c:v>
                </c:pt>
                <c:pt idx="113">
                  <c:v>124.23909930000001</c:v>
                </c:pt>
                <c:pt idx="114">
                  <c:v>124.5943049</c:v>
                </c:pt>
                <c:pt idx="115">
                  <c:v>124.9461775</c:v>
                </c:pt>
                <c:pt idx="116">
                  <c:v>125.2950434</c:v>
                </c:pt>
                <c:pt idx="117">
                  <c:v>125.6412524</c:v>
                </c:pt>
                <c:pt idx="118">
                  <c:v>125.9851773</c:v>
                </c:pt>
                <c:pt idx="119">
                  <c:v>126.32721309999999</c:v>
                </c:pt>
                <c:pt idx="120">
                  <c:v>126.6677753</c:v>
                </c:pt>
                <c:pt idx="121">
                  <c:v>127.0072991</c:v>
                </c:pt>
                <c:pt idx="122">
                  <c:v>127.34623809999999</c:v>
                </c:pt>
                <c:pt idx="123">
                  <c:v>127.68506240000001</c:v>
                </c:pt>
                <c:pt idx="124">
                  <c:v>128.02425719999999</c:v>
                </c:pt>
                <c:pt idx="125">
                  <c:v>128.3643208</c:v>
                </c:pt>
                <c:pt idx="126">
                  <c:v>128.70576270000001</c:v>
                </c:pt>
                <c:pt idx="127">
                  <c:v>129.04910150000001</c:v>
                </c:pt>
                <c:pt idx="128">
                  <c:v>129.39486199999999</c:v>
                </c:pt>
                <c:pt idx="129">
                  <c:v>129.74357319999999</c:v>
                </c:pt>
                <c:pt idx="130">
                  <c:v>130.095765</c:v>
                </c:pt>
                <c:pt idx="131">
                  <c:v>130.4519655</c:v>
                </c:pt>
                <c:pt idx="132">
                  <c:v>130.81269760000001</c:v>
                </c:pt>
                <c:pt idx="133">
                  <c:v>131.17847560000001</c:v>
                </c:pt>
                <c:pt idx="134">
                  <c:v>131.5498015</c:v>
                </c:pt>
                <c:pt idx="135">
                  <c:v>131.92716160000001</c:v>
                </c:pt>
                <c:pt idx="136">
                  <c:v>132.31102200000001</c:v>
                </c:pt>
                <c:pt idx="137">
                  <c:v>132.70182510000001</c:v>
                </c:pt>
                <c:pt idx="138">
                  <c:v>133.09998540000001</c:v>
                </c:pt>
                <c:pt idx="139">
                  <c:v>133.50588529999999</c:v>
                </c:pt>
                <c:pt idx="140">
                  <c:v>133.91987140000001</c:v>
                </c:pt>
                <c:pt idx="141">
                  <c:v>134.34225000000001</c:v>
                </c:pt>
                <c:pt idx="142">
                  <c:v>134.77328399999999</c:v>
                </c:pt>
                <c:pt idx="143">
                  <c:v>135.21318869999999</c:v>
                </c:pt>
                <c:pt idx="144">
                  <c:v>135.6621289</c:v>
                </c:pt>
                <c:pt idx="145">
                  <c:v>136.12021559999999</c:v>
                </c:pt>
                <c:pt idx="146">
                  <c:v>136.5875035</c:v>
                </c:pt>
                <c:pt idx="147">
                  <c:v>137.06398830000001</c:v>
                </c:pt>
                <c:pt idx="148">
                  <c:v>137.5496052</c:v>
                </c:pt>
                <c:pt idx="149">
                  <c:v>138.0442266</c:v>
                </c:pt>
                <c:pt idx="150">
                  <c:v>138.54766169999999</c:v>
                </c:pt>
                <c:pt idx="151">
                  <c:v>139.0596548</c:v>
                </c:pt>
                <c:pt idx="152">
                  <c:v>139.57988549999999</c:v>
                </c:pt>
                <c:pt idx="153">
                  <c:v>140.1079685</c:v>
                </c:pt>
                <c:pt idx="154">
                  <c:v>140.64345359999999</c:v>
                </c:pt>
                <c:pt idx="155">
                  <c:v>141.1858268</c:v>
                </c:pt>
                <c:pt idx="156">
                  <c:v>141.73451159999999</c:v>
                </c:pt>
                <c:pt idx="157">
                  <c:v>142.28887119999999</c:v>
                </c:pt>
                <c:pt idx="158">
                  <c:v>142.84820769999999</c:v>
                </c:pt>
                <c:pt idx="159">
                  <c:v>143.4117718</c:v>
                </c:pt>
                <c:pt idx="160">
                  <c:v>143.9787585</c:v>
                </c:pt>
                <c:pt idx="161">
                  <c:v>144.5483179</c:v>
                </c:pt>
                <c:pt idx="162">
                  <c:v>145.11955520000001</c:v>
                </c:pt>
                <c:pt idx="163">
                  <c:v>145.6915401</c:v>
                </c:pt>
                <c:pt idx="164">
                  <c:v>146.26331189999999</c:v>
                </c:pt>
                <c:pt idx="165">
                  <c:v>146.83388679999999</c:v>
                </c:pt>
                <c:pt idx="166">
                  <c:v>147.40226569999999</c:v>
                </c:pt>
                <c:pt idx="167">
                  <c:v>147.9674393</c:v>
                </c:pt>
                <c:pt idx="168">
                  <c:v>148.52840889999999</c:v>
                </c:pt>
                <c:pt idx="169">
                  <c:v>149.08417890000001</c:v>
                </c:pt>
                <c:pt idx="170">
                  <c:v>149.6337753</c:v>
                </c:pt>
                <c:pt idx="171">
                  <c:v>150.1762526</c:v>
                </c:pt>
                <c:pt idx="172">
                  <c:v>150.71070130000001</c:v>
                </c:pt>
                <c:pt idx="173">
                  <c:v>151.23625659999999</c:v>
                </c:pt>
                <c:pt idx="174">
                  <c:v>151.7521046</c:v>
                </c:pt>
                <c:pt idx="175">
                  <c:v>152.25748870000001</c:v>
                </c:pt>
                <c:pt idx="176">
                  <c:v>152.75171510000001</c:v>
                </c:pt>
                <c:pt idx="177">
                  <c:v>153.2341567</c:v>
                </c:pt>
                <c:pt idx="178">
                  <c:v>153.7042563</c:v>
                </c:pt>
                <c:pt idx="179">
                  <c:v>154.16152880000001</c:v>
                </c:pt>
                <c:pt idx="180">
                  <c:v>154.60556220000001</c:v>
                </c:pt>
                <c:pt idx="181">
                  <c:v>155.03601750000001</c:v>
                </c:pt>
                <c:pt idx="182">
                  <c:v>155.452628</c:v>
                </c:pt>
                <c:pt idx="183">
                  <c:v>155.8551976</c:v>
                </c:pt>
                <c:pt idx="184">
                  <c:v>156.24359799999999</c:v>
                </c:pt>
                <c:pt idx="185">
                  <c:v>156.61776620000001</c:v>
                </c:pt>
                <c:pt idx="186">
                  <c:v>156.9777005</c:v>
                </c:pt>
                <c:pt idx="187">
                  <c:v>157.32345649999999</c:v>
                </c:pt>
                <c:pt idx="188">
                  <c:v>157.6551432</c:v>
                </c:pt>
                <c:pt idx="189">
                  <c:v>157.97291659999999</c:v>
                </c:pt>
                <c:pt idx="190">
                  <c:v>158.27697929999999</c:v>
                </c:pt>
                <c:pt idx="191">
                  <c:v>158.5675712</c:v>
                </c:pt>
                <c:pt idx="192">
                  <c:v>158.8449655</c:v>
                </c:pt>
                <c:pt idx="193">
                  <c:v>159.1094689</c:v>
                </c:pt>
                <c:pt idx="194">
                  <c:v>159.36141119999999</c:v>
                </c:pt>
                <c:pt idx="195">
                  <c:v>159.6011441</c:v>
                </c:pt>
                <c:pt idx="196">
                  <c:v>159.82903690000001</c:v>
                </c:pt>
                <c:pt idx="197">
                  <c:v>160.04547249999999</c:v>
                </c:pt>
                <c:pt idx="198">
                  <c:v>160.25084409999999</c:v>
                </c:pt>
                <c:pt idx="199">
                  <c:v>160.4455519</c:v>
                </c:pt>
                <c:pt idx="200">
                  <c:v>160.63000049999999</c:v>
                </c:pt>
                <c:pt idx="201">
                  <c:v>160.8045956</c:v>
                </c:pt>
                <c:pt idx="202">
                  <c:v>160.9697424</c:v>
                </c:pt>
                <c:pt idx="203">
                  <c:v>161.12584330000001</c:v>
                </c:pt>
                <c:pt idx="204">
                  <c:v>161.27329549999999</c:v>
                </c:pt>
                <c:pt idx="205">
                  <c:v>161.4124903</c:v>
                </c:pt>
                <c:pt idx="206">
                  <c:v>161.54381119999999</c:v>
                </c:pt>
                <c:pt idx="207">
                  <c:v>161.6676329</c:v>
                </c:pt>
                <c:pt idx="208">
                  <c:v>161.7843202</c:v>
                </c:pt>
                <c:pt idx="209">
                  <c:v>161.89422730000001</c:v>
                </c:pt>
                <c:pt idx="210">
                  <c:v>161.99769760000001</c:v>
                </c:pt>
                <c:pt idx="211">
                  <c:v>162.09506239999999</c:v>
                </c:pt>
                <c:pt idx="212">
                  <c:v>162.18664140000001</c:v>
                </c:pt>
                <c:pt idx="213">
                  <c:v>162.27274199999999</c:v>
                </c:pt>
                <c:pt idx="214">
                  <c:v>162.35365920000001</c:v>
                </c:pt>
                <c:pt idx="215">
                  <c:v>162.429676</c:v>
                </c:pt>
                <c:pt idx="216">
                  <c:v>162.50106299999999</c:v>
                </c:pt>
                <c:pt idx="217">
                  <c:v>162.5680787</c:v>
                </c:pt>
                <c:pt idx="218">
                  <c:v>162.63096970000001</c:v>
                </c:pt>
                <c:pt idx="219">
                  <c:v>162.68997100000001</c:v>
                </c:pt>
                <c:pt idx="220">
                  <c:v>162.74530609999999</c:v>
                </c:pt>
                <c:pt idx="221">
                  <c:v>162.7971876</c:v>
                </c:pt>
                <c:pt idx="222">
                  <c:v>162.8458172</c:v>
                </c:pt>
                <c:pt idx="223">
                  <c:v>162.8913862</c:v>
                </c:pt>
                <c:pt idx="224">
                  <c:v>162.93407590000001</c:v>
                </c:pt>
                <c:pt idx="225">
                  <c:v>162.97405810000001</c:v>
                </c:pt>
                <c:pt idx="226">
                  <c:v>163.01149509999999</c:v>
                </c:pt>
                <c:pt idx="227">
                  <c:v>163.04654049999999</c:v>
                </c:pt>
                <c:pt idx="228">
                  <c:v>163.07933919999999</c:v>
                </c:pt>
                <c:pt idx="229">
                  <c:v>163.11002830000001</c:v>
                </c:pt>
                <c:pt idx="230">
                  <c:v>163.1387368</c:v>
                </c:pt>
                <c:pt idx="231">
                  <c:v>163.16558660000001</c:v>
                </c:pt>
                <c:pt idx="232">
                  <c:v>163.19069250000001</c:v>
                </c:pt>
                <c:pt idx="233">
                  <c:v>163.21416249999999</c:v>
                </c:pt>
                <c:pt idx="234">
                  <c:v>163.2360985</c:v>
                </c:pt>
                <c:pt idx="235">
                  <c:v>163.25659640000001</c:v>
                </c:pt>
                <c:pt idx="236">
                  <c:v>163.27574609999999</c:v>
                </c:pt>
                <c:pt idx="237">
                  <c:v>163.2936325</c:v>
                </c:pt>
                <c:pt idx="238">
                  <c:v>163.31033529999999</c:v>
                </c:pt>
                <c:pt idx="239">
                  <c:v>163.32592930000001</c:v>
                </c:pt>
                <c:pt idx="240">
                  <c:v>163.33333260000001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50-4504-82E8-CD672D813146}"/>
            </c:ext>
          </c:extLst>
        </c:ser>
        <c:ser>
          <c:idx val="2"/>
          <c:order val="3"/>
          <c:tx>
            <c:v>P5 boys</c:v>
          </c:tx>
          <c:spPr>
            <a:ln w="6350" cap="rnd">
              <a:solidFill>
                <a:srgbClr val="00B0F0">
                  <a:alpha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length4age!$B$2:$B$242</c:f>
              <c:numCache>
                <c:formatCode>0.00</c:formatCode>
                <c:ptCount val="241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2.0416666666666665</c:v>
                </c:pt>
                <c:pt idx="25">
                  <c:v>2.125</c:v>
                </c:pt>
                <c:pt idx="26">
                  <c:v>2.2083333333333335</c:v>
                </c:pt>
                <c:pt idx="27">
                  <c:v>2.2916666666666665</c:v>
                </c:pt>
                <c:pt idx="28">
                  <c:v>2.375</c:v>
                </c:pt>
                <c:pt idx="29">
                  <c:v>2.4583333333333335</c:v>
                </c:pt>
                <c:pt idx="30">
                  <c:v>2.5416666666666665</c:v>
                </c:pt>
                <c:pt idx="31">
                  <c:v>2.625</c:v>
                </c:pt>
                <c:pt idx="32">
                  <c:v>2.7083333333333335</c:v>
                </c:pt>
                <c:pt idx="33">
                  <c:v>2.7916666666666665</c:v>
                </c:pt>
                <c:pt idx="34">
                  <c:v>2.875</c:v>
                </c:pt>
                <c:pt idx="35">
                  <c:v>2.9583333333333335</c:v>
                </c:pt>
                <c:pt idx="36">
                  <c:v>3.0416666666666665</c:v>
                </c:pt>
                <c:pt idx="37">
                  <c:v>3.125</c:v>
                </c:pt>
                <c:pt idx="38">
                  <c:v>3.2083333333333335</c:v>
                </c:pt>
                <c:pt idx="39">
                  <c:v>3.2916666666666665</c:v>
                </c:pt>
                <c:pt idx="40">
                  <c:v>3.375</c:v>
                </c:pt>
                <c:pt idx="41">
                  <c:v>3.4583333333333335</c:v>
                </c:pt>
                <c:pt idx="42">
                  <c:v>3.5416666666666665</c:v>
                </c:pt>
                <c:pt idx="43">
                  <c:v>3.625</c:v>
                </c:pt>
                <c:pt idx="44">
                  <c:v>3.7083333333333335</c:v>
                </c:pt>
                <c:pt idx="45">
                  <c:v>3.7916666666666665</c:v>
                </c:pt>
                <c:pt idx="46">
                  <c:v>3.875</c:v>
                </c:pt>
                <c:pt idx="47">
                  <c:v>3.9583333333333335</c:v>
                </c:pt>
                <c:pt idx="48">
                  <c:v>4.041666666666667</c:v>
                </c:pt>
                <c:pt idx="49">
                  <c:v>4.125</c:v>
                </c:pt>
                <c:pt idx="50">
                  <c:v>4.208333333333333</c:v>
                </c:pt>
                <c:pt idx="51">
                  <c:v>4.291666666666667</c:v>
                </c:pt>
                <c:pt idx="52">
                  <c:v>4.375</c:v>
                </c:pt>
                <c:pt idx="53">
                  <c:v>4.458333333333333</c:v>
                </c:pt>
                <c:pt idx="54">
                  <c:v>4.541666666666667</c:v>
                </c:pt>
                <c:pt idx="55">
                  <c:v>4.625</c:v>
                </c:pt>
                <c:pt idx="56">
                  <c:v>4.708333333333333</c:v>
                </c:pt>
                <c:pt idx="57">
                  <c:v>4.791666666666667</c:v>
                </c:pt>
                <c:pt idx="58">
                  <c:v>4.875</c:v>
                </c:pt>
                <c:pt idx="59">
                  <c:v>4.958333333333333</c:v>
                </c:pt>
                <c:pt idx="60">
                  <c:v>5.041666666666667</c:v>
                </c:pt>
                <c:pt idx="61">
                  <c:v>5.125</c:v>
                </c:pt>
                <c:pt idx="62">
                  <c:v>5.208333333333333</c:v>
                </c:pt>
                <c:pt idx="63">
                  <c:v>5.291666666666667</c:v>
                </c:pt>
                <c:pt idx="64">
                  <c:v>5.375</c:v>
                </c:pt>
                <c:pt idx="65">
                  <c:v>5.458333333333333</c:v>
                </c:pt>
                <c:pt idx="66">
                  <c:v>5.541666666666667</c:v>
                </c:pt>
                <c:pt idx="67">
                  <c:v>5.625</c:v>
                </c:pt>
                <c:pt idx="68">
                  <c:v>5.708333333333333</c:v>
                </c:pt>
                <c:pt idx="69">
                  <c:v>5.791666666666667</c:v>
                </c:pt>
                <c:pt idx="70">
                  <c:v>5.875</c:v>
                </c:pt>
                <c:pt idx="71">
                  <c:v>5.958333333333333</c:v>
                </c:pt>
                <c:pt idx="72">
                  <c:v>6.041666666666667</c:v>
                </c:pt>
                <c:pt idx="73">
                  <c:v>6.125</c:v>
                </c:pt>
                <c:pt idx="74">
                  <c:v>6.208333333333333</c:v>
                </c:pt>
                <c:pt idx="75">
                  <c:v>6.291666666666667</c:v>
                </c:pt>
                <c:pt idx="76">
                  <c:v>6.375</c:v>
                </c:pt>
                <c:pt idx="77">
                  <c:v>6.458333333333333</c:v>
                </c:pt>
                <c:pt idx="78">
                  <c:v>6.541666666666667</c:v>
                </c:pt>
                <c:pt idx="79">
                  <c:v>6.625</c:v>
                </c:pt>
                <c:pt idx="80">
                  <c:v>6.708333333333333</c:v>
                </c:pt>
                <c:pt idx="81">
                  <c:v>6.791666666666667</c:v>
                </c:pt>
                <c:pt idx="82">
                  <c:v>6.875</c:v>
                </c:pt>
                <c:pt idx="83">
                  <c:v>6.958333333333333</c:v>
                </c:pt>
                <c:pt idx="84">
                  <c:v>7.041666666666667</c:v>
                </c:pt>
                <c:pt idx="85">
                  <c:v>7.125</c:v>
                </c:pt>
                <c:pt idx="86">
                  <c:v>7.208333333333333</c:v>
                </c:pt>
                <c:pt idx="87">
                  <c:v>7.291666666666667</c:v>
                </c:pt>
                <c:pt idx="88">
                  <c:v>7.375</c:v>
                </c:pt>
                <c:pt idx="89">
                  <c:v>7.458333333333333</c:v>
                </c:pt>
                <c:pt idx="90">
                  <c:v>7.541666666666667</c:v>
                </c:pt>
                <c:pt idx="91">
                  <c:v>7.625</c:v>
                </c:pt>
                <c:pt idx="92">
                  <c:v>7.708333333333333</c:v>
                </c:pt>
                <c:pt idx="93">
                  <c:v>7.791666666666667</c:v>
                </c:pt>
                <c:pt idx="94">
                  <c:v>7.875</c:v>
                </c:pt>
                <c:pt idx="95">
                  <c:v>7.958333333333333</c:v>
                </c:pt>
                <c:pt idx="96">
                  <c:v>8.0416666666666661</c:v>
                </c:pt>
                <c:pt idx="97">
                  <c:v>8.125</c:v>
                </c:pt>
                <c:pt idx="98">
                  <c:v>8.2083333333333339</c:v>
                </c:pt>
                <c:pt idx="99">
                  <c:v>8.2916666666666661</c:v>
                </c:pt>
                <c:pt idx="100">
                  <c:v>8.375</c:v>
                </c:pt>
                <c:pt idx="101">
                  <c:v>8.4583333333333339</c:v>
                </c:pt>
                <c:pt idx="102">
                  <c:v>8.5416666666666661</c:v>
                </c:pt>
                <c:pt idx="103">
                  <c:v>8.625</c:v>
                </c:pt>
                <c:pt idx="104">
                  <c:v>8.7083333333333339</c:v>
                </c:pt>
                <c:pt idx="105">
                  <c:v>8.7916666666666661</c:v>
                </c:pt>
                <c:pt idx="106">
                  <c:v>8.875</c:v>
                </c:pt>
                <c:pt idx="107">
                  <c:v>8.9583333333333339</c:v>
                </c:pt>
                <c:pt idx="108">
                  <c:v>9.0416666666666661</c:v>
                </c:pt>
                <c:pt idx="109">
                  <c:v>9.125</c:v>
                </c:pt>
                <c:pt idx="110">
                  <c:v>9.2083333333333339</c:v>
                </c:pt>
                <c:pt idx="111">
                  <c:v>9.2916666666666661</c:v>
                </c:pt>
                <c:pt idx="112">
                  <c:v>9.375</c:v>
                </c:pt>
                <c:pt idx="113">
                  <c:v>9.4583333333333339</c:v>
                </c:pt>
                <c:pt idx="114">
                  <c:v>9.5416666666666661</c:v>
                </c:pt>
                <c:pt idx="115">
                  <c:v>9.625</c:v>
                </c:pt>
                <c:pt idx="116">
                  <c:v>9.7083333333333339</c:v>
                </c:pt>
                <c:pt idx="117">
                  <c:v>9.7916666666666661</c:v>
                </c:pt>
                <c:pt idx="118">
                  <c:v>9.875</c:v>
                </c:pt>
                <c:pt idx="119">
                  <c:v>9.9583333333333339</c:v>
                </c:pt>
                <c:pt idx="120">
                  <c:v>10.041666666666666</c:v>
                </c:pt>
                <c:pt idx="121">
                  <c:v>10.125</c:v>
                </c:pt>
                <c:pt idx="122">
                  <c:v>10.208333333333334</c:v>
                </c:pt>
                <c:pt idx="123">
                  <c:v>10.291666666666666</c:v>
                </c:pt>
                <c:pt idx="124">
                  <c:v>10.375</c:v>
                </c:pt>
                <c:pt idx="125">
                  <c:v>10.458333333333334</c:v>
                </c:pt>
                <c:pt idx="126">
                  <c:v>10.541666666666666</c:v>
                </c:pt>
                <c:pt idx="127">
                  <c:v>10.625</c:v>
                </c:pt>
                <c:pt idx="128">
                  <c:v>10.708333333333334</c:v>
                </c:pt>
                <c:pt idx="129">
                  <c:v>10.791666666666666</c:v>
                </c:pt>
                <c:pt idx="130">
                  <c:v>10.875</c:v>
                </c:pt>
                <c:pt idx="131">
                  <c:v>10.958333333333334</c:v>
                </c:pt>
                <c:pt idx="132">
                  <c:v>11.041666666666666</c:v>
                </c:pt>
                <c:pt idx="133">
                  <c:v>11.125</c:v>
                </c:pt>
                <c:pt idx="134">
                  <c:v>11.208333333333334</c:v>
                </c:pt>
                <c:pt idx="135">
                  <c:v>11.291666666666666</c:v>
                </c:pt>
                <c:pt idx="136">
                  <c:v>11.375</c:v>
                </c:pt>
                <c:pt idx="137">
                  <c:v>11.458333333333334</c:v>
                </c:pt>
                <c:pt idx="138">
                  <c:v>11.541666666666666</c:v>
                </c:pt>
                <c:pt idx="139">
                  <c:v>11.625</c:v>
                </c:pt>
                <c:pt idx="140">
                  <c:v>11.708333333333334</c:v>
                </c:pt>
                <c:pt idx="141">
                  <c:v>11.791666666666666</c:v>
                </c:pt>
                <c:pt idx="142">
                  <c:v>11.875</c:v>
                </c:pt>
                <c:pt idx="143">
                  <c:v>11.958333333333334</c:v>
                </c:pt>
                <c:pt idx="144">
                  <c:v>12.041666666666666</c:v>
                </c:pt>
                <c:pt idx="145">
                  <c:v>12.125</c:v>
                </c:pt>
                <c:pt idx="146">
                  <c:v>12.208333333333334</c:v>
                </c:pt>
                <c:pt idx="147">
                  <c:v>12.291666666666666</c:v>
                </c:pt>
                <c:pt idx="148">
                  <c:v>12.375</c:v>
                </c:pt>
                <c:pt idx="149">
                  <c:v>12.458333333333334</c:v>
                </c:pt>
                <c:pt idx="150">
                  <c:v>12.541666666666666</c:v>
                </c:pt>
                <c:pt idx="151">
                  <c:v>12.625</c:v>
                </c:pt>
                <c:pt idx="152">
                  <c:v>12.708333333333334</c:v>
                </c:pt>
                <c:pt idx="153">
                  <c:v>12.791666666666666</c:v>
                </c:pt>
                <c:pt idx="154">
                  <c:v>12.875</c:v>
                </c:pt>
                <c:pt idx="155">
                  <c:v>12.958333333333334</c:v>
                </c:pt>
                <c:pt idx="156">
                  <c:v>13.041666666666666</c:v>
                </c:pt>
                <c:pt idx="157">
                  <c:v>13.125</c:v>
                </c:pt>
                <c:pt idx="158">
                  <c:v>13.208333333333334</c:v>
                </c:pt>
                <c:pt idx="159">
                  <c:v>13.291666666666666</c:v>
                </c:pt>
                <c:pt idx="160">
                  <c:v>13.375</c:v>
                </c:pt>
                <c:pt idx="161">
                  <c:v>13.458333333333334</c:v>
                </c:pt>
                <c:pt idx="162">
                  <c:v>13.541666666666666</c:v>
                </c:pt>
                <c:pt idx="163">
                  <c:v>13.625</c:v>
                </c:pt>
                <c:pt idx="164">
                  <c:v>13.708333333333334</c:v>
                </c:pt>
                <c:pt idx="165">
                  <c:v>13.791666666666666</c:v>
                </c:pt>
                <c:pt idx="166">
                  <c:v>13.875</c:v>
                </c:pt>
                <c:pt idx="167">
                  <c:v>13.958333333333334</c:v>
                </c:pt>
                <c:pt idx="168">
                  <c:v>14.041666666666666</c:v>
                </c:pt>
                <c:pt idx="169">
                  <c:v>14.125</c:v>
                </c:pt>
                <c:pt idx="170">
                  <c:v>14.208333333333334</c:v>
                </c:pt>
                <c:pt idx="171">
                  <c:v>14.291666666666666</c:v>
                </c:pt>
                <c:pt idx="172">
                  <c:v>14.375</c:v>
                </c:pt>
                <c:pt idx="173">
                  <c:v>14.458333333333334</c:v>
                </c:pt>
                <c:pt idx="174">
                  <c:v>14.541666666666666</c:v>
                </c:pt>
                <c:pt idx="175">
                  <c:v>14.625</c:v>
                </c:pt>
                <c:pt idx="176">
                  <c:v>14.708333333333334</c:v>
                </c:pt>
                <c:pt idx="177">
                  <c:v>14.791666666666666</c:v>
                </c:pt>
                <c:pt idx="178">
                  <c:v>14.875</c:v>
                </c:pt>
                <c:pt idx="179">
                  <c:v>14.958333333333334</c:v>
                </c:pt>
                <c:pt idx="180">
                  <c:v>15.041666666666666</c:v>
                </c:pt>
                <c:pt idx="181">
                  <c:v>15.125</c:v>
                </c:pt>
                <c:pt idx="182">
                  <c:v>15.208333333333334</c:v>
                </c:pt>
                <c:pt idx="183">
                  <c:v>15.291666666666666</c:v>
                </c:pt>
                <c:pt idx="184">
                  <c:v>15.375</c:v>
                </c:pt>
                <c:pt idx="185">
                  <c:v>15.458333333333334</c:v>
                </c:pt>
                <c:pt idx="186">
                  <c:v>15.541666666666666</c:v>
                </c:pt>
                <c:pt idx="187">
                  <c:v>15.625</c:v>
                </c:pt>
                <c:pt idx="188">
                  <c:v>15.708333333333334</c:v>
                </c:pt>
                <c:pt idx="189">
                  <c:v>15.791666666666666</c:v>
                </c:pt>
                <c:pt idx="190">
                  <c:v>15.875</c:v>
                </c:pt>
                <c:pt idx="191">
                  <c:v>15.958333333333334</c:v>
                </c:pt>
                <c:pt idx="192">
                  <c:v>16.041666666666668</c:v>
                </c:pt>
                <c:pt idx="193">
                  <c:v>16.125</c:v>
                </c:pt>
                <c:pt idx="194">
                  <c:v>16.208333333333332</c:v>
                </c:pt>
                <c:pt idx="195">
                  <c:v>16.291666666666668</c:v>
                </c:pt>
                <c:pt idx="196">
                  <c:v>16.375</c:v>
                </c:pt>
                <c:pt idx="197">
                  <c:v>16.458333333333332</c:v>
                </c:pt>
                <c:pt idx="198">
                  <c:v>16.541666666666668</c:v>
                </c:pt>
                <c:pt idx="199">
                  <c:v>16.625</c:v>
                </c:pt>
                <c:pt idx="200">
                  <c:v>16.708333333333332</c:v>
                </c:pt>
                <c:pt idx="201">
                  <c:v>16.791666666666668</c:v>
                </c:pt>
                <c:pt idx="202">
                  <c:v>16.875</c:v>
                </c:pt>
                <c:pt idx="203">
                  <c:v>16.958333333333332</c:v>
                </c:pt>
                <c:pt idx="204">
                  <c:v>17.041666666666668</c:v>
                </c:pt>
                <c:pt idx="205">
                  <c:v>17.125</c:v>
                </c:pt>
                <c:pt idx="206">
                  <c:v>17.208333333333332</c:v>
                </c:pt>
                <c:pt idx="207">
                  <c:v>17.291666666666668</c:v>
                </c:pt>
                <c:pt idx="208">
                  <c:v>17.375</c:v>
                </c:pt>
                <c:pt idx="209">
                  <c:v>17.458333333333332</c:v>
                </c:pt>
                <c:pt idx="210">
                  <c:v>17.541666666666668</c:v>
                </c:pt>
                <c:pt idx="211">
                  <c:v>17.625</c:v>
                </c:pt>
                <c:pt idx="212">
                  <c:v>17.708333333333332</c:v>
                </c:pt>
                <c:pt idx="213">
                  <c:v>17.791666666666668</c:v>
                </c:pt>
                <c:pt idx="214">
                  <c:v>17.875</c:v>
                </c:pt>
                <c:pt idx="215">
                  <c:v>17.958333333333332</c:v>
                </c:pt>
                <c:pt idx="216">
                  <c:v>18.041666666666668</c:v>
                </c:pt>
                <c:pt idx="217">
                  <c:v>18.125</c:v>
                </c:pt>
                <c:pt idx="218">
                  <c:v>18.208333333333332</c:v>
                </c:pt>
                <c:pt idx="219">
                  <c:v>18.291666666666668</c:v>
                </c:pt>
                <c:pt idx="220">
                  <c:v>18.375</c:v>
                </c:pt>
                <c:pt idx="221">
                  <c:v>18.458333333333332</c:v>
                </c:pt>
                <c:pt idx="222">
                  <c:v>18.541666666666668</c:v>
                </c:pt>
                <c:pt idx="223">
                  <c:v>18.625</c:v>
                </c:pt>
                <c:pt idx="224">
                  <c:v>18.708333333333332</c:v>
                </c:pt>
                <c:pt idx="225">
                  <c:v>18.791666666666668</c:v>
                </c:pt>
                <c:pt idx="226">
                  <c:v>18.875</c:v>
                </c:pt>
                <c:pt idx="227">
                  <c:v>18.958333333333332</c:v>
                </c:pt>
                <c:pt idx="228">
                  <c:v>19.041666666666668</c:v>
                </c:pt>
                <c:pt idx="229">
                  <c:v>19.125</c:v>
                </c:pt>
                <c:pt idx="230">
                  <c:v>19.208333333333332</c:v>
                </c:pt>
                <c:pt idx="231">
                  <c:v>19.291666666666668</c:v>
                </c:pt>
                <c:pt idx="232">
                  <c:v>19.375</c:v>
                </c:pt>
                <c:pt idx="233">
                  <c:v>19.458333333333332</c:v>
                </c:pt>
                <c:pt idx="234">
                  <c:v>19.541666666666668</c:v>
                </c:pt>
                <c:pt idx="235">
                  <c:v>19.625</c:v>
                </c:pt>
                <c:pt idx="236">
                  <c:v>19.708333333333332</c:v>
                </c:pt>
                <c:pt idx="237">
                  <c:v>19.791666666666668</c:v>
                </c:pt>
                <c:pt idx="238">
                  <c:v>19.875</c:v>
                </c:pt>
                <c:pt idx="239">
                  <c:v>19.958333333333332</c:v>
                </c:pt>
                <c:pt idx="240">
                  <c:v>20</c:v>
                </c:pt>
              </c:numCache>
            </c:numRef>
          </c:xVal>
          <c:yVal>
            <c:numRef>
              <c:f>length4age!$G$2:$G$242</c:f>
              <c:numCache>
                <c:formatCode>General</c:formatCode>
                <c:ptCount val="241"/>
                <c:pt idx="0">
                  <c:v>45.568409099795254</c:v>
                </c:pt>
                <c:pt idx="1">
                  <c:v>48.558092059196404</c:v>
                </c:pt>
                <c:pt idx="2">
                  <c:v>52.726106586903313</c:v>
                </c:pt>
                <c:pt idx="3">
                  <c:v>55.773450500641502</c:v>
                </c:pt>
                <c:pt idx="4">
                  <c:v>58.237443394804437</c:v>
                </c:pt>
                <c:pt idx="5">
                  <c:v>60.336469051774216</c:v>
                </c:pt>
                <c:pt idx="6">
                  <c:v>62.18260806633846</c:v>
                </c:pt>
                <c:pt idx="7">
                  <c:v>63.84166130643861</c:v>
                </c:pt>
                <c:pt idx="8">
                  <c:v>65.355838489116351</c:v>
                </c:pt>
                <c:pt idx="9">
                  <c:v>66.753979847186642</c:v>
                </c:pt>
                <c:pt idx="10">
                  <c:v>68.056745547791365</c:v>
                </c:pt>
                <c:pt idx="11">
                  <c:v>69.279492190657123</c:v>
                </c:pt>
                <c:pt idx="12">
                  <c:v>70.433974308649198</c:v>
                </c:pt>
                <c:pt idx="13">
                  <c:v>71.529412041233186</c:v>
                </c:pt>
                <c:pt idx="14">
                  <c:v>72.573183808992027</c:v>
                </c:pt>
                <c:pt idx="15">
                  <c:v>73.571296311911937</c:v>
                </c:pt>
                <c:pt idx="16">
                  <c:v>74.52871189639967</c:v>
                </c:pt>
                <c:pt idx="17">
                  <c:v>75.449582585613101</c:v>
                </c:pt>
                <c:pt idx="18">
                  <c:v>76.337421395813166</c:v>
                </c:pt>
                <c:pt idx="19">
                  <c:v>77.19523001883644</c:v>
                </c:pt>
                <c:pt idx="20">
                  <c:v>78.025595839738173</c:v>
                </c:pt>
                <c:pt idx="21">
                  <c:v>78.830766611303261</c:v>
                </c:pt>
                <c:pt idx="22">
                  <c:v>79.612708816061044</c:v>
                </c:pt>
                <c:pt idx="23">
                  <c:v>80.373152854481901</c:v>
                </c:pt>
                <c:pt idx="24">
                  <c:v>81.088684889999996</c:v>
                </c:pt>
                <c:pt idx="25">
                  <c:v>81.834452020000001</c:v>
                </c:pt>
                <c:pt idx="26">
                  <c:v>82.564061120000005</c:v>
                </c:pt>
                <c:pt idx="27">
                  <c:v>83.278985820000003</c:v>
                </c:pt>
                <c:pt idx="28">
                  <c:v>83.980452619999994</c:v>
                </c:pt>
                <c:pt idx="29">
                  <c:v>84.669484490000002</c:v>
                </c:pt>
                <c:pt idx="30">
                  <c:v>85.346943300000007</c:v>
                </c:pt>
                <c:pt idx="31">
                  <c:v>86.013565540000002</c:v>
                </c:pt>
                <c:pt idx="32">
                  <c:v>86.669993320000003</c:v>
                </c:pt>
                <c:pt idx="33">
                  <c:v>87.316801549999994</c:v>
                </c:pt>
                <c:pt idx="34">
                  <c:v>87.954521619999994</c:v>
                </c:pt>
                <c:pt idx="35">
                  <c:v>88.583661280000001</c:v>
                </c:pt>
                <c:pt idx="36">
                  <c:v>89.204726109999996</c:v>
                </c:pt>
                <c:pt idx="37">
                  <c:v>89.773011060000002</c:v>
                </c:pt>
                <c:pt idx="38">
                  <c:v>90.333058140000006</c:v>
                </c:pt>
                <c:pt idx="39">
                  <c:v>90.885320309999997</c:v>
                </c:pt>
                <c:pt idx="40">
                  <c:v>91.430254860000005</c:v>
                </c:pt>
                <c:pt idx="41">
                  <c:v>91.968323620000007</c:v>
                </c:pt>
                <c:pt idx="42">
                  <c:v>92.499985800000005</c:v>
                </c:pt>
                <c:pt idx="43">
                  <c:v>93.025699759999995</c:v>
                </c:pt>
                <c:pt idx="44">
                  <c:v>93.545919780000006</c:v>
                </c:pt>
                <c:pt idx="45">
                  <c:v>94.061094220000001</c:v>
                </c:pt>
                <c:pt idx="46">
                  <c:v>94.571663760000007</c:v>
                </c:pt>
                <c:pt idx="47">
                  <c:v>95.078059749999994</c:v>
                </c:pt>
                <c:pt idx="48">
                  <c:v>95.580702729999999</c:v>
                </c:pt>
                <c:pt idx="49">
                  <c:v>96.080000909999995</c:v>
                </c:pt>
                <c:pt idx="50">
                  <c:v>96.576348879999998</c:v>
                </c:pt>
                <c:pt idx="51">
                  <c:v>97.070127240000005</c:v>
                </c:pt>
                <c:pt idx="52">
                  <c:v>97.56169654</c:v>
                </c:pt>
                <c:pt idx="53">
                  <c:v>98.05140652</c:v>
                </c:pt>
                <c:pt idx="54">
                  <c:v>98.539583660000005</c:v>
                </c:pt>
                <c:pt idx="55">
                  <c:v>99.026537000000005</c:v>
                </c:pt>
                <c:pt idx="56">
                  <c:v>99.512555219999996</c:v>
                </c:pt>
                <c:pt idx="57">
                  <c:v>99.997906049999997</c:v>
                </c:pt>
                <c:pt idx="58">
                  <c:v>100.4828356</c:v>
                </c:pt>
                <c:pt idx="59">
                  <c:v>100.9675675</c:v>
                </c:pt>
                <c:pt idx="60">
                  <c:v>101.4523027</c:v>
                </c:pt>
                <c:pt idx="61">
                  <c:v>101.9372185</c:v>
                </c:pt>
                <c:pt idx="62">
                  <c:v>102.4224687</c:v>
                </c:pt>
                <c:pt idx="63">
                  <c:v>102.90818299999999</c:v>
                </c:pt>
                <c:pt idx="64">
                  <c:v>103.3944666</c:v>
                </c:pt>
                <c:pt idx="65">
                  <c:v>103.88140060000001</c:v>
                </c:pt>
                <c:pt idx="66">
                  <c:v>104.36904180000001</c:v>
                </c:pt>
                <c:pt idx="67">
                  <c:v>104.8574227</c:v>
                </c:pt>
                <c:pt idx="68">
                  <c:v>105.34655189999999</c:v>
                </c:pt>
                <c:pt idx="69">
                  <c:v>105.8364145</c:v>
                </c:pt>
                <c:pt idx="70">
                  <c:v>106.32697210000001</c:v>
                </c:pt>
                <c:pt idx="71">
                  <c:v>106.8181654</c:v>
                </c:pt>
                <c:pt idx="72">
                  <c:v>107.30991160000001</c:v>
                </c:pt>
                <c:pt idx="73">
                  <c:v>107.8021076</c:v>
                </c:pt>
                <c:pt idx="74">
                  <c:v>108.2946307</c:v>
                </c:pt>
                <c:pt idx="75">
                  <c:v>108.7873391</c:v>
                </c:pt>
                <c:pt idx="76">
                  <c:v>109.2800738</c:v>
                </c:pt>
                <c:pt idx="77">
                  <c:v>109.7726591</c:v>
                </c:pt>
                <c:pt idx="78">
                  <c:v>110.2649049</c:v>
                </c:pt>
                <c:pt idx="79">
                  <c:v>110.7566073</c:v>
                </c:pt>
                <c:pt idx="80">
                  <c:v>111.247551</c:v>
                </c:pt>
                <c:pt idx="81">
                  <c:v>111.73751040000001</c:v>
                </c:pt>
                <c:pt idx="82">
                  <c:v>112.2262515</c:v>
                </c:pt>
                <c:pt idx="83">
                  <c:v>112.71353379999999</c:v>
                </c:pt>
                <c:pt idx="84">
                  <c:v>113.1991118</c:v>
                </c:pt>
                <c:pt idx="85">
                  <c:v>113.6827373</c:v>
                </c:pt>
                <c:pt idx="86">
                  <c:v>114.1641607</c:v>
                </c:pt>
                <c:pt idx="87">
                  <c:v>114.6431334</c:v>
                </c:pt>
                <c:pt idx="88">
                  <c:v>115.1194078</c:v>
                </c:pt>
                <c:pt idx="89">
                  <c:v>115.5927447</c:v>
                </c:pt>
                <c:pt idx="90">
                  <c:v>116.0629074</c:v>
                </c:pt>
                <c:pt idx="91">
                  <c:v>116.52966859999999</c:v>
                </c:pt>
                <c:pt idx="92">
                  <c:v>116.9928104</c:v>
                </c:pt>
                <c:pt idx="93">
                  <c:v>117.4521263</c:v>
                </c:pt>
                <c:pt idx="94">
                  <c:v>117.9074226</c:v>
                </c:pt>
                <c:pt idx="95">
                  <c:v>118.35852010000001</c:v>
                </c:pt>
                <c:pt idx="96">
                  <c:v>118.8052553</c:v>
                </c:pt>
                <c:pt idx="97">
                  <c:v>119.2474816</c:v>
                </c:pt>
                <c:pt idx="98">
                  <c:v>119.6850711</c:v>
                </c:pt>
                <c:pt idx="99">
                  <c:v>120.1179149</c:v>
                </c:pt>
                <c:pt idx="100">
                  <c:v>120.54592479999999</c:v>
                </c:pt>
                <c:pt idx="101">
                  <c:v>120.9690339</c:v>
                </c:pt>
                <c:pt idx="102">
                  <c:v>121.3871973</c:v>
                </c:pt>
                <c:pt idx="103">
                  <c:v>121.8003934</c:v>
                </c:pt>
                <c:pt idx="104">
                  <c:v>122.20862390000001</c:v>
                </c:pt>
                <c:pt idx="105">
                  <c:v>122.6119145</c:v>
                </c:pt>
                <c:pt idx="106">
                  <c:v>123.0103156</c:v>
                </c:pt>
                <c:pt idx="107">
                  <c:v>123.40390240000001</c:v>
                </c:pt>
                <c:pt idx="108">
                  <c:v>123.79277519999999</c:v>
                </c:pt>
                <c:pt idx="109">
                  <c:v>124.17705960000001</c:v>
                </c:pt>
                <c:pt idx="110">
                  <c:v>124.5569064</c:v>
                </c:pt>
                <c:pt idx="111">
                  <c:v>124.9324922</c:v>
                </c:pt>
                <c:pt idx="112">
                  <c:v>125.3040185</c:v>
                </c:pt>
                <c:pt idx="113">
                  <c:v>125.6717122</c:v>
                </c:pt>
                <c:pt idx="114">
                  <c:v>126.035825</c:v>
                </c:pt>
                <c:pt idx="115">
                  <c:v>126.3966334</c:v>
                </c:pt>
                <c:pt idx="116">
                  <c:v>126.7544381</c:v>
                </c:pt>
                <c:pt idx="117">
                  <c:v>127.1095636</c:v>
                </c:pt>
                <c:pt idx="118">
                  <c:v>127.4623576</c:v>
                </c:pt>
                <c:pt idx="119">
                  <c:v>127.8131904</c:v>
                </c:pt>
                <c:pt idx="120">
                  <c:v>128.16245420000001</c:v>
                </c:pt>
                <c:pt idx="121">
                  <c:v>128.5105623</c:v>
                </c:pt>
                <c:pt idx="122">
                  <c:v>128.85794799999999</c:v>
                </c:pt>
                <c:pt idx="123">
                  <c:v>129.2050634</c:v>
                </c:pt>
                <c:pt idx="124">
                  <c:v>129.5523785</c:v>
                </c:pt>
                <c:pt idx="125">
                  <c:v>129.90037950000001</c:v>
                </c:pt>
                <c:pt idx="126">
                  <c:v>130.2495672</c:v>
                </c:pt>
                <c:pt idx="127">
                  <c:v>130.60045550000001</c:v>
                </c:pt>
                <c:pt idx="128">
                  <c:v>130.9535693</c:v>
                </c:pt>
                <c:pt idx="129">
                  <c:v>131.30944199999999</c:v>
                </c:pt>
                <c:pt idx="130">
                  <c:v>131.6686134</c:v>
                </c:pt>
                <c:pt idx="131">
                  <c:v>132.03162699999999</c:v>
                </c:pt>
                <c:pt idx="132">
                  <c:v>132.39902670000001</c:v>
                </c:pt>
                <c:pt idx="133">
                  <c:v>132.771354</c:v>
                </c:pt>
                <c:pt idx="134">
                  <c:v>133.14914419999999</c:v>
                </c:pt>
                <c:pt idx="135">
                  <c:v>133.53292260000001</c:v>
                </c:pt>
                <c:pt idx="136">
                  <c:v>133.9232006</c:v>
                </c:pt>
                <c:pt idx="137">
                  <c:v>134.3204714</c:v>
                </c:pt>
                <c:pt idx="138">
                  <c:v>134.72520549999999</c:v>
                </c:pt>
                <c:pt idx="139">
                  <c:v>135.13784580000001</c:v>
                </c:pt>
                <c:pt idx="140">
                  <c:v>135.5588028</c:v>
                </c:pt>
                <c:pt idx="141">
                  <c:v>135.98845009999999</c:v>
                </c:pt>
                <c:pt idx="142">
                  <c:v>136.42711850000001</c:v>
                </c:pt>
                <c:pt idx="143">
                  <c:v>136.8750919</c:v>
                </c:pt>
                <c:pt idx="144">
                  <c:v>137.3326017</c:v>
                </c:pt>
                <c:pt idx="145">
                  <c:v>137.79982219999999</c:v>
                </c:pt>
                <c:pt idx="146">
                  <c:v>138.27686610000001</c:v>
                </c:pt>
                <c:pt idx="147">
                  <c:v>138.7637799</c:v>
                </c:pt>
                <c:pt idx="148">
                  <c:v>139.26054020000001</c:v>
                </c:pt>
                <c:pt idx="149">
                  <c:v>139.7670498</c:v>
                </c:pt>
                <c:pt idx="150">
                  <c:v>140.28313460000001</c:v>
                </c:pt>
                <c:pt idx="151">
                  <c:v>140.8085414</c:v>
                </c:pt>
                <c:pt idx="152">
                  <c:v>141.3429356</c:v>
                </c:pt>
                <c:pt idx="153">
                  <c:v>141.88590020000001</c:v>
                </c:pt>
                <c:pt idx="154">
                  <c:v>142.43693540000001</c:v>
                </c:pt>
                <c:pt idx="155">
                  <c:v>142.99545910000001</c:v>
                </c:pt>
                <c:pt idx="156">
                  <c:v>143.5608087</c:v>
                </c:pt>
                <c:pt idx="157">
                  <c:v>144.1322433</c:v>
                </c:pt>
                <c:pt idx="158">
                  <c:v>144.70894659999999</c:v>
                </c:pt>
                <c:pt idx="159">
                  <c:v>145.29003460000001</c:v>
                </c:pt>
                <c:pt idx="160">
                  <c:v>145.87455790000001</c:v>
                </c:pt>
                <c:pt idx="161">
                  <c:v>146.46151169999999</c:v>
                </c:pt>
                <c:pt idx="162">
                  <c:v>147.04984210000001</c:v>
                </c:pt>
                <c:pt idx="163">
                  <c:v>147.63845670000001</c:v>
                </c:pt>
                <c:pt idx="164">
                  <c:v>148.22623400000001</c:v>
                </c:pt>
                <c:pt idx="165">
                  <c:v>148.8120346</c:v>
                </c:pt>
                <c:pt idx="166">
                  <c:v>149.394712</c:v>
                </c:pt>
                <c:pt idx="167">
                  <c:v>149.97312260000001</c:v>
                </c:pt>
                <c:pt idx="168">
                  <c:v>150.54614309999999</c:v>
                </c:pt>
                <c:pt idx="169">
                  <c:v>151.1126739</c:v>
                </c:pt>
                <c:pt idx="170">
                  <c:v>151.67165439999999</c:v>
                </c:pt>
                <c:pt idx="171">
                  <c:v>152.22207180000001</c:v>
                </c:pt>
                <c:pt idx="172">
                  <c:v>152.76297009999999</c:v>
                </c:pt>
                <c:pt idx="173">
                  <c:v>153.2934582</c:v>
                </c:pt>
                <c:pt idx="174">
                  <c:v>153.81271630000001</c:v>
                </c:pt>
                <c:pt idx="175">
                  <c:v>154.3200013</c:v>
                </c:pt>
                <c:pt idx="176">
                  <c:v>154.814651</c:v>
                </c:pt>
                <c:pt idx="177">
                  <c:v>155.2960861</c:v>
                </c:pt>
                <c:pt idx="178">
                  <c:v>155.76381230000001</c:v>
                </c:pt>
                <c:pt idx="179">
                  <c:v>156.2174196</c:v>
                </c:pt>
                <c:pt idx="180">
                  <c:v>156.6565818</c:v>
                </c:pt>
                <c:pt idx="181">
                  <c:v>157.0810539</c:v>
                </c:pt>
                <c:pt idx="182">
                  <c:v>157.49066959999999</c:v>
                </c:pt>
                <c:pt idx="183">
                  <c:v>157.8853369</c:v>
                </c:pt>
                <c:pt idx="184">
                  <c:v>158.2650343</c:v>
                </c:pt>
                <c:pt idx="185">
                  <c:v>158.6298055</c:v>
                </c:pt>
                <c:pt idx="186">
                  <c:v>158.97975439999999</c:v>
                </c:pt>
                <c:pt idx="187">
                  <c:v>159.31504000000001</c:v>
                </c:pt>
                <c:pt idx="188">
                  <c:v>159.63587029999999</c:v>
                </c:pt>
                <c:pt idx="189">
                  <c:v>159.94249679999999</c:v>
                </c:pt>
                <c:pt idx="190">
                  <c:v>160.23521020000001</c:v>
                </c:pt>
                <c:pt idx="191">
                  <c:v>160.5143338</c:v>
                </c:pt>
                <c:pt idx="192">
                  <c:v>160.7802183</c:v>
                </c:pt>
                <c:pt idx="193">
                  <c:v>161.0332391</c:v>
                </c:pt>
                <c:pt idx="194">
                  <c:v>161.2737894</c:v>
                </c:pt>
                <c:pt idx="195">
                  <c:v>161.50227720000001</c:v>
                </c:pt>
                <c:pt idx="196">
                  <c:v>161.7191211</c:v>
                </c:pt>
                <c:pt idx="197">
                  <c:v>161.92474730000001</c:v>
                </c:pt>
                <c:pt idx="198">
                  <c:v>162.11958569999999</c:v>
                </c:pt>
                <c:pt idx="199">
                  <c:v>162.3040676</c:v>
                </c:pt>
                <c:pt idx="200">
                  <c:v>162.4786229</c:v>
                </c:pt>
                <c:pt idx="201">
                  <c:v>162.64367799999999</c:v>
                </c:pt>
                <c:pt idx="202">
                  <c:v>162.7996536</c:v>
                </c:pt>
                <c:pt idx="203">
                  <c:v>162.9469636</c:v>
                </c:pt>
                <c:pt idx="204">
                  <c:v>163.0860132</c:v>
                </c:pt>
                <c:pt idx="205">
                  <c:v>163.21719759999999</c:v>
                </c:pt>
                <c:pt idx="206">
                  <c:v>163.3409016</c:v>
                </c:pt>
                <c:pt idx="207">
                  <c:v>163.45749839999999</c:v>
                </c:pt>
                <c:pt idx="208">
                  <c:v>163.56734890000001</c:v>
                </c:pt>
                <c:pt idx="209">
                  <c:v>163.67080189999999</c:v>
                </c:pt>
                <c:pt idx="210">
                  <c:v>163.7681929</c:v>
                </c:pt>
                <c:pt idx="211">
                  <c:v>163.8598446</c:v>
                </c:pt>
                <c:pt idx="212">
                  <c:v>163.9460665</c:v>
                </c:pt>
                <c:pt idx="213">
                  <c:v>164.02715499999999</c:v>
                </c:pt>
                <c:pt idx="214">
                  <c:v>164.10339350000001</c:v>
                </c:pt>
                <c:pt idx="215">
                  <c:v>164.17505270000001</c:v>
                </c:pt>
                <c:pt idx="216">
                  <c:v>164.24239040000001</c:v>
                </c:pt>
                <c:pt idx="217">
                  <c:v>164.30565229999999</c:v>
                </c:pt>
                <c:pt idx="218">
                  <c:v>164.365072</c:v>
                </c:pt>
                <c:pt idx="219">
                  <c:v>164.42087140000001</c:v>
                </c:pt>
                <c:pt idx="220">
                  <c:v>164.47326100000001</c:v>
                </c:pt>
                <c:pt idx="221">
                  <c:v>164.52244060000001</c:v>
                </c:pt>
                <c:pt idx="222">
                  <c:v>164.56859919999999</c:v>
                </c:pt>
                <c:pt idx="223">
                  <c:v>164.61191579999999</c:v>
                </c:pt>
                <c:pt idx="224">
                  <c:v>164.65255959999999</c:v>
                </c:pt>
                <c:pt idx="225">
                  <c:v>164.6906907</c:v>
                </c:pt>
                <c:pt idx="226">
                  <c:v>164.72646</c:v>
                </c:pt>
                <c:pt idx="227">
                  <c:v>164.76001020000001</c:v>
                </c:pt>
                <c:pt idx="228">
                  <c:v>164.79147560000001</c:v>
                </c:pt>
                <c:pt idx="229">
                  <c:v>164.8209832</c:v>
                </c:pt>
                <c:pt idx="230">
                  <c:v>164.8486523</c:v>
                </c:pt>
                <c:pt idx="231">
                  <c:v>164.8745955</c:v>
                </c:pt>
                <c:pt idx="232">
                  <c:v>164.8989187</c:v>
                </c:pt>
                <c:pt idx="233">
                  <c:v>164.92172149999999</c:v>
                </c:pt>
                <c:pt idx="234">
                  <c:v>164.9430978</c:v>
                </c:pt>
                <c:pt idx="235">
                  <c:v>164.96313570000001</c:v>
                </c:pt>
                <c:pt idx="236">
                  <c:v>164.9819181</c:v>
                </c:pt>
                <c:pt idx="237">
                  <c:v>164.99952289999999</c:v>
                </c:pt>
                <c:pt idx="238">
                  <c:v>165.0160233</c:v>
                </c:pt>
                <c:pt idx="239">
                  <c:v>165.031488</c:v>
                </c:pt>
                <c:pt idx="240">
                  <c:v>165.0388523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50-4504-82E8-CD672D813146}"/>
            </c:ext>
          </c:extLst>
        </c:ser>
        <c:ser>
          <c:idx val="3"/>
          <c:order val="4"/>
          <c:tx>
            <c:v>P10 boys</c:v>
          </c:tx>
          <c:spPr>
            <a:ln w="6350" cap="rnd">
              <a:solidFill>
                <a:srgbClr val="00B0F0">
                  <a:alpha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length4age!$B$2:$B$242</c:f>
              <c:numCache>
                <c:formatCode>0.00</c:formatCode>
                <c:ptCount val="241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2.0416666666666665</c:v>
                </c:pt>
                <c:pt idx="25">
                  <c:v>2.125</c:v>
                </c:pt>
                <c:pt idx="26">
                  <c:v>2.2083333333333335</c:v>
                </c:pt>
                <c:pt idx="27">
                  <c:v>2.2916666666666665</c:v>
                </c:pt>
                <c:pt idx="28">
                  <c:v>2.375</c:v>
                </c:pt>
                <c:pt idx="29">
                  <c:v>2.4583333333333335</c:v>
                </c:pt>
                <c:pt idx="30">
                  <c:v>2.5416666666666665</c:v>
                </c:pt>
                <c:pt idx="31">
                  <c:v>2.625</c:v>
                </c:pt>
                <c:pt idx="32">
                  <c:v>2.7083333333333335</c:v>
                </c:pt>
                <c:pt idx="33">
                  <c:v>2.7916666666666665</c:v>
                </c:pt>
                <c:pt idx="34">
                  <c:v>2.875</c:v>
                </c:pt>
                <c:pt idx="35">
                  <c:v>2.9583333333333335</c:v>
                </c:pt>
                <c:pt idx="36">
                  <c:v>3.0416666666666665</c:v>
                </c:pt>
                <c:pt idx="37">
                  <c:v>3.125</c:v>
                </c:pt>
                <c:pt idx="38">
                  <c:v>3.2083333333333335</c:v>
                </c:pt>
                <c:pt idx="39">
                  <c:v>3.2916666666666665</c:v>
                </c:pt>
                <c:pt idx="40">
                  <c:v>3.375</c:v>
                </c:pt>
                <c:pt idx="41">
                  <c:v>3.4583333333333335</c:v>
                </c:pt>
                <c:pt idx="42">
                  <c:v>3.5416666666666665</c:v>
                </c:pt>
                <c:pt idx="43">
                  <c:v>3.625</c:v>
                </c:pt>
                <c:pt idx="44">
                  <c:v>3.7083333333333335</c:v>
                </c:pt>
                <c:pt idx="45">
                  <c:v>3.7916666666666665</c:v>
                </c:pt>
                <c:pt idx="46">
                  <c:v>3.875</c:v>
                </c:pt>
                <c:pt idx="47">
                  <c:v>3.9583333333333335</c:v>
                </c:pt>
                <c:pt idx="48">
                  <c:v>4.041666666666667</c:v>
                </c:pt>
                <c:pt idx="49">
                  <c:v>4.125</c:v>
                </c:pt>
                <c:pt idx="50">
                  <c:v>4.208333333333333</c:v>
                </c:pt>
                <c:pt idx="51">
                  <c:v>4.291666666666667</c:v>
                </c:pt>
                <c:pt idx="52">
                  <c:v>4.375</c:v>
                </c:pt>
                <c:pt idx="53">
                  <c:v>4.458333333333333</c:v>
                </c:pt>
                <c:pt idx="54">
                  <c:v>4.541666666666667</c:v>
                </c:pt>
                <c:pt idx="55">
                  <c:v>4.625</c:v>
                </c:pt>
                <c:pt idx="56">
                  <c:v>4.708333333333333</c:v>
                </c:pt>
                <c:pt idx="57">
                  <c:v>4.791666666666667</c:v>
                </c:pt>
                <c:pt idx="58">
                  <c:v>4.875</c:v>
                </c:pt>
                <c:pt idx="59">
                  <c:v>4.958333333333333</c:v>
                </c:pt>
                <c:pt idx="60">
                  <c:v>5.041666666666667</c:v>
                </c:pt>
                <c:pt idx="61">
                  <c:v>5.125</c:v>
                </c:pt>
                <c:pt idx="62">
                  <c:v>5.208333333333333</c:v>
                </c:pt>
                <c:pt idx="63">
                  <c:v>5.291666666666667</c:v>
                </c:pt>
                <c:pt idx="64">
                  <c:v>5.375</c:v>
                </c:pt>
                <c:pt idx="65">
                  <c:v>5.458333333333333</c:v>
                </c:pt>
                <c:pt idx="66">
                  <c:v>5.541666666666667</c:v>
                </c:pt>
                <c:pt idx="67">
                  <c:v>5.625</c:v>
                </c:pt>
                <c:pt idx="68">
                  <c:v>5.708333333333333</c:v>
                </c:pt>
                <c:pt idx="69">
                  <c:v>5.791666666666667</c:v>
                </c:pt>
                <c:pt idx="70">
                  <c:v>5.875</c:v>
                </c:pt>
                <c:pt idx="71">
                  <c:v>5.958333333333333</c:v>
                </c:pt>
                <c:pt idx="72">
                  <c:v>6.041666666666667</c:v>
                </c:pt>
                <c:pt idx="73">
                  <c:v>6.125</c:v>
                </c:pt>
                <c:pt idx="74">
                  <c:v>6.208333333333333</c:v>
                </c:pt>
                <c:pt idx="75">
                  <c:v>6.291666666666667</c:v>
                </c:pt>
                <c:pt idx="76">
                  <c:v>6.375</c:v>
                </c:pt>
                <c:pt idx="77">
                  <c:v>6.458333333333333</c:v>
                </c:pt>
                <c:pt idx="78">
                  <c:v>6.541666666666667</c:v>
                </c:pt>
                <c:pt idx="79">
                  <c:v>6.625</c:v>
                </c:pt>
                <c:pt idx="80">
                  <c:v>6.708333333333333</c:v>
                </c:pt>
                <c:pt idx="81">
                  <c:v>6.791666666666667</c:v>
                </c:pt>
                <c:pt idx="82">
                  <c:v>6.875</c:v>
                </c:pt>
                <c:pt idx="83">
                  <c:v>6.958333333333333</c:v>
                </c:pt>
                <c:pt idx="84">
                  <c:v>7.041666666666667</c:v>
                </c:pt>
                <c:pt idx="85">
                  <c:v>7.125</c:v>
                </c:pt>
                <c:pt idx="86">
                  <c:v>7.208333333333333</c:v>
                </c:pt>
                <c:pt idx="87">
                  <c:v>7.291666666666667</c:v>
                </c:pt>
                <c:pt idx="88">
                  <c:v>7.375</c:v>
                </c:pt>
                <c:pt idx="89">
                  <c:v>7.458333333333333</c:v>
                </c:pt>
                <c:pt idx="90">
                  <c:v>7.541666666666667</c:v>
                </c:pt>
                <c:pt idx="91">
                  <c:v>7.625</c:v>
                </c:pt>
                <c:pt idx="92">
                  <c:v>7.708333333333333</c:v>
                </c:pt>
                <c:pt idx="93">
                  <c:v>7.791666666666667</c:v>
                </c:pt>
                <c:pt idx="94">
                  <c:v>7.875</c:v>
                </c:pt>
                <c:pt idx="95">
                  <c:v>7.958333333333333</c:v>
                </c:pt>
                <c:pt idx="96">
                  <c:v>8.0416666666666661</c:v>
                </c:pt>
                <c:pt idx="97">
                  <c:v>8.125</c:v>
                </c:pt>
                <c:pt idx="98">
                  <c:v>8.2083333333333339</c:v>
                </c:pt>
                <c:pt idx="99">
                  <c:v>8.2916666666666661</c:v>
                </c:pt>
                <c:pt idx="100">
                  <c:v>8.375</c:v>
                </c:pt>
                <c:pt idx="101">
                  <c:v>8.4583333333333339</c:v>
                </c:pt>
                <c:pt idx="102">
                  <c:v>8.5416666666666661</c:v>
                </c:pt>
                <c:pt idx="103">
                  <c:v>8.625</c:v>
                </c:pt>
                <c:pt idx="104">
                  <c:v>8.7083333333333339</c:v>
                </c:pt>
                <c:pt idx="105">
                  <c:v>8.7916666666666661</c:v>
                </c:pt>
                <c:pt idx="106">
                  <c:v>8.875</c:v>
                </c:pt>
                <c:pt idx="107">
                  <c:v>8.9583333333333339</c:v>
                </c:pt>
                <c:pt idx="108">
                  <c:v>9.0416666666666661</c:v>
                </c:pt>
                <c:pt idx="109">
                  <c:v>9.125</c:v>
                </c:pt>
                <c:pt idx="110">
                  <c:v>9.2083333333333339</c:v>
                </c:pt>
                <c:pt idx="111">
                  <c:v>9.2916666666666661</c:v>
                </c:pt>
                <c:pt idx="112">
                  <c:v>9.375</c:v>
                </c:pt>
                <c:pt idx="113">
                  <c:v>9.4583333333333339</c:v>
                </c:pt>
                <c:pt idx="114">
                  <c:v>9.5416666666666661</c:v>
                </c:pt>
                <c:pt idx="115">
                  <c:v>9.625</c:v>
                </c:pt>
                <c:pt idx="116">
                  <c:v>9.7083333333333339</c:v>
                </c:pt>
                <c:pt idx="117">
                  <c:v>9.7916666666666661</c:v>
                </c:pt>
                <c:pt idx="118">
                  <c:v>9.875</c:v>
                </c:pt>
                <c:pt idx="119">
                  <c:v>9.9583333333333339</c:v>
                </c:pt>
                <c:pt idx="120">
                  <c:v>10.041666666666666</c:v>
                </c:pt>
                <c:pt idx="121">
                  <c:v>10.125</c:v>
                </c:pt>
                <c:pt idx="122">
                  <c:v>10.208333333333334</c:v>
                </c:pt>
                <c:pt idx="123">
                  <c:v>10.291666666666666</c:v>
                </c:pt>
                <c:pt idx="124">
                  <c:v>10.375</c:v>
                </c:pt>
                <c:pt idx="125">
                  <c:v>10.458333333333334</c:v>
                </c:pt>
                <c:pt idx="126">
                  <c:v>10.541666666666666</c:v>
                </c:pt>
                <c:pt idx="127">
                  <c:v>10.625</c:v>
                </c:pt>
                <c:pt idx="128">
                  <c:v>10.708333333333334</c:v>
                </c:pt>
                <c:pt idx="129">
                  <c:v>10.791666666666666</c:v>
                </c:pt>
                <c:pt idx="130">
                  <c:v>10.875</c:v>
                </c:pt>
                <c:pt idx="131">
                  <c:v>10.958333333333334</c:v>
                </c:pt>
                <c:pt idx="132">
                  <c:v>11.041666666666666</c:v>
                </c:pt>
                <c:pt idx="133">
                  <c:v>11.125</c:v>
                </c:pt>
                <c:pt idx="134">
                  <c:v>11.208333333333334</c:v>
                </c:pt>
                <c:pt idx="135">
                  <c:v>11.291666666666666</c:v>
                </c:pt>
                <c:pt idx="136">
                  <c:v>11.375</c:v>
                </c:pt>
                <c:pt idx="137">
                  <c:v>11.458333333333334</c:v>
                </c:pt>
                <c:pt idx="138">
                  <c:v>11.541666666666666</c:v>
                </c:pt>
                <c:pt idx="139">
                  <c:v>11.625</c:v>
                </c:pt>
                <c:pt idx="140">
                  <c:v>11.708333333333334</c:v>
                </c:pt>
                <c:pt idx="141">
                  <c:v>11.791666666666666</c:v>
                </c:pt>
                <c:pt idx="142">
                  <c:v>11.875</c:v>
                </c:pt>
                <c:pt idx="143">
                  <c:v>11.958333333333334</c:v>
                </c:pt>
                <c:pt idx="144">
                  <c:v>12.041666666666666</c:v>
                </c:pt>
                <c:pt idx="145">
                  <c:v>12.125</c:v>
                </c:pt>
                <c:pt idx="146">
                  <c:v>12.208333333333334</c:v>
                </c:pt>
                <c:pt idx="147">
                  <c:v>12.291666666666666</c:v>
                </c:pt>
                <c:pt idx="148">
                  <c:v>12.375</c:v>
                </c:pt>
                <c:pt idx="149">
                  <c:v>12.458333333333334</c:v>
                </c:pt>
                <c:pt idx="150">
                  <c:v>12.541666666666666</c:v>
                </c:pt>
                <c:pt idx="151">
                  <c:v>12.625</c:v>
                </c:pt>
                <c:pt idx="152">
                  <c:v>12.708333333333334</c:v>
                </c:pt>
                <c:pt idx="153">
                  <c:v>12.791666666666666</c:v>
                </c:pt>
                <c:pt idx="154">
                  <c:v>12.875</c:v>
                </c:pt>
                <c:pt idx="155">
                  <c:v>12.958333333333334</c:v>
                </c:pt>
                <c:pt idx="156">
                  <c:v>13.041666666666666</c:v>
                </c:pt>
                <c:pt idx="157">
                  <c:v>13.125</c:v>
                </c:pt>
                <c:pt idx="158">
                  <c:v>13.208333333333334</c:v>
                </c:pt>
                <c:pt idx="159">
                  <c:v>13.291666666666666</c:v>
                </c:pt>
                <c:pt idx="160">
                  <c:v>13.375</c:v>
                </c:pt>
                <c:pt idx="161">
                  <c:v>13.458333333333334</c:v>
                </c:pt>
                <c:pt idx="162">
                  <c:v>13.541666666666666</c:v>
                </c:pt>
                <c:pt idx="163">
                  <c:v>13.625</c:v>
                </c:pt>
                <c:pt idx="164">
                  <c:v>13.708333333333334</c:v>
                </c:pt>
                <c:pt idx="165">
                  <c:v>13.791666666666666</c:v>
                </c:pt>
                <c:pt idx="166">
                  <c:v>13.875</c:v>
                </c:pt>
                <c:pt idx="167">
                  <c:v>13.958333333333334</c:v>
                </c:pt>
                <c:pt idx="168">
                  <c:v>14.041666666666666</c:v>
                </c:pt>
                <c:pt idx="169">
                  <c:v>14.125</c:v>
                </c:pt>
                <c:pt idx="170">
                  <c:v>14.208333333333334</c:v>
                </c:pt>
                <c:pt idx="171">
                  <c:v>14.291666666666666</c:v>
                </c:pt>
                <c:pt idx="172">
                  <c:v>14.375</c:v>
                </c:pt>
                <c:pt idx="173">
                  <c:v>14.458333333333334</c:v>
                </c:pt>
                <c:pt idx="174">
                  <c:v>14.541666666666666</c:v>
                </c:pt>
                <c:pt idx="175">
                  <c:v>14.625</c:v>
                </c:pt>
                <c:pt idx="176">
                  <c:v>14.708333333333334</c:v>
                </c:pt>
                <c:pt idx="177">
                  <c:v>14.791666666666666</c:v>
                </c:pt>
                <c:pt idx="178">
                  <c:v>14.875</c:v>
                </c:pt>
                <c:pt idx="179">
                  <c:v>14.958333333333334</c:v>
                </c:pt>
                <c:pt idx="180">
                  <c:v>15.041666666666666</c:v>
                </c:pt>
                <c:pt idx="181">
                  <c:v>15.125</c:v>
                </c:pt>
                <c:pt idx="182">
                  <c:v>15.208333333333334</c:v>
                </c:pt>
                <c:pt idx="183">
                  <c:v>15.291666666666666</c:v>
                </c:pt>
                <c:pt idx="184">
                  <c:v>15.375</c:v>
                </c:pt>
                <c:pt idx="185">
                  <c:v>15.458333333333334</c:v>
                </c:pt>
                <c:pt idx="186">
                  <c:v>15.541666666666666</c:v>
                </c:pt>
                <c:pt idx="187">
                  <c:v>15.625</c:v>
                </c:pt>
                <c:pt idx="188">
                  <c:v>15.708333333333334</c:v>
                </c:pt>
                <c:pt idx="189">
                  <c:v>15.791666666666666</c:v>
                </c:pt>
                <c:pt idx="190">
                  <c:v>15.875</c:v>
                </c:pt>
                <c:pt idx="191">
                  <c:v>15.958333333333334</c:v>
                </c:pt>
                <c:pt idx="192">
                  <c:v>16.041666666666668</c:v>
                </c:pt>
                <c:pt idx="193">
                  <c:v>16.125</c:v>
                </c:pt>
                <c:pt idx="194">
                  <c:v>16.208333333333332</c:v>
                </c:pt>
                <c:pt idx="195">
                  <c:v>16.291666666666668</c:v>
                </c:pt>
                <c:pt idx="196">
                  <c:v>16.375</c:v>
                </c:pt>
                <c:pt idx="197">
                  <c:v>16.458333333333332</c:v>
                </c:pt>
                <c:pt idx="198">
                  <c:v>16.541666666666668</c:v>
                </c:pt>
                <c:pt idx="199">
                  <c:v>16.625</c:v>
                </c:pt>
                <c:pt idx="200">
                  <c:v>16.708333333333332</c:v>
                </c:pt>
                <c:pt idx="201">
                  <c:v>16.791666666666668</c:v>
                </c:pt>
                <c:pt idx="202">
                  <c:v>16.875</c:v>
                </c:pt>
                <c:pt idx="203">
                  <c:v>16.958333333333332</c:v>
                </c:pt>
                <c:pt idx="204">
                  <c:v>17.041666666666668</c:v>
                </c:pt>
                <c:pt idx="205">
                  <c:v>17.125</c:v>
                </c:pt>
                <c:pt idx="206">
                  <c:v>17.208333333333332</c:v>
                </c:pt>
                <c:pt idx="207">
                  <c:v>17.291666666666668</c:v>
                </c:pt>
                <c:pt idx="208">
                  <c:v>17.375</c:v>
                </c:pt>
                <c:pt idx="209">
                  <c:v>17.458333333333332</c:v>
                </c:pt>
                <c:pt idx="210">
                  <c:v>17.541666666666668</c:v>
                </c:pt>
                <c:pt idx="211">
                  <c:v>17.625</c:v>
                </c:pt>
                <c:pt idx="212">
                  <c:v>17.708333333333332</c:v>
                </c:pt>
                <c:pt idx="213">
                  <c:v>17.791666666666668</c:v>
                </c:pt>
                <c:pt idx="214">
                  <c:v>17.875</c:v>
                </c:pt>
                <c:pt idx="215">
                  <c:v>17.958333333333332</c:v>
                </c:pt>
                <c:pt idx="216">
                  <c:v>18.041666666666668</c:v>
                </c:pt>
                <c:pt idx="217">
                  <c:v>18.125</c:v>
                </c:pt>
                <c:pt idx="218">
                  <c:v>18.208333333333332</c:v>
                </c:pt>
                <c:pt idx="219">
                  <c:v>18.291666666666668</c:v>
                </c:pt>
                <c:pt idx="220">
                  <c:v>18.375</c:v>
                </c:pt>
                <c:pt idx="221">
                  <c:v>18.458333333333332</c:v>
                </c:pt>
                <c:pt idx="222">
                  <c:v>18.541666666666668</c:v>
                </c:pt>
                <c:pt idx="223">
                  <c:v>18.625</c:v>
                </c:pt>
                <c:pt idx="224">
                  <c:v>18.708333333333332</c:v>
                </c:pt>
                <c:pt idx="225">
                  <c:v>18.791666666666668</c:v>
                </c:pt>
                <c:pt idx="226">
                  <c:v>18.875</c:v>
                </c:pt>
                <c:pt idx="227">
                  <c:v>18.958333333333332</c:v>
                </c:pt>
                <c:pt idx="228">
                  <c:v>19.041666666666668</c:v>
                </c:pt>
                <c:pt idx="229">
                  <c:v>19.125</c:v>
                </c:pt>
                <c:pt idx="230">
                  <c:v>19.208333333333332</c:v>
                </c:pt>
                <c:pt idx="231">
                  <c:v>19.291666666666668</c:v>
                </c:pt>
                <c:pt idx="232">
                  <c:v>19.375</c:v>
                </c:pt>
                <c:pt idx="233">
                  <c:v>19.458333333333332</c:v>
                </c:pt>
                <c:pt idx="234">
                  <c:v>19.541666666666668</c:v>
                </c:pt>
                <c:pt idx="235">
                  <c:v>19.625</c:v>
                </c:pt>
                <c:pt idx="236">
                  <c:v>19.708333333333332</c:v>
                </c:pt>
                <c:pt idx="237">
                  <c:v>19.791666666666668</c:v>
                </c:pt>
                <c:pt idx="238">
                  <c:v>19.875</c:v>
                </c:pt>
                <c:pt idx="239">
                  <c:v>19.958333333333332</c:v>
                </c:pt>
                <c:pt idx="240">
                  <c:v>20</c:v>
                </c:pt>
              </c:numCache>
            </c:numRef>
          </c:xVal>
          <c:yVal>
            <c:numRef>
              <c:f>length4age!$H$2:$H$242</c:f>
              <c:numCache>
                <c:formatCode>General</c:formatCode>
                <c:ptCount val="241"/>
                <c:pt idx="0">
                  <c:v>46.554293019128345</c:v>
                </c:pt>
                <c:pt idx="1">
                  <c:v>49.457803829563581</c:v>
                </c:pt>
                <c:pt idx="2">
                  <c:v>53.553646565979228</c:v>
                </c:pt>
                <c:pt idx="3">
                  <c:v>56.577721448031731</c:v>
                </c:pt>
                <c:pt idx="4">
                  <c:v>59.038302266473316</c:v>
                </c:pt>
                <c:pt idx="5">
                  <c:v>61.144096051770717</c:v>
                </c:pt>
                <c:pt idx="6">
                  <c:v>63.002959620743013</c:v>
                </c:pt>
                <c:pt idx="7">
                  <c:v>64.678536504906901</c:v>
                </c:pt>
                <c:pt idx="8">
                  <c:v>66.211812252382757</c:v>
                </c:pt>
                <c:pt idx="9">
                  <c:v>67.630877487764891</c:v>
                </c:pt>
                <c:pt idx="10">
                  <c:v>68.95590629376494</c:v>
                </c:pt>
                <c:pt idx="11">
                  <c:v>70.201924607314837</c:v>
                </c:pt>
                <c:pt idx="12">
                  <c:v>71.380455465419402</c:v>
                </c:pt>
                <c:pt idx="13">
                  <c:v>72.50054958204953</c:v>
                </c:pt>
                <c:pt idx="14">
                  <c:v>73.569459215762421</c:v>
                </c:pt>
                <c:pt idx="15">
                  <c:v>74.593094713044849</c:v>
                </c:pt>
                <c:pt idx="16">
                  <c:v>75.576343330631346</c:v>
                </c:pt>
                <c:pt idx="17">
                  <c:v>76.523297536263257</c:v>
                </c:pt>
                <c:pt idx="18">
                  <c:v>77.437422348462761</c:v>
                </c:pt>
                <c:pt idx="19">
                  <c:v>78.321680234181102</c:v>
                </c:pt>
                <c:pt idx="20">
                  <c:v>79.178626100715064</c:v>
                </c:pt>
                <c:pt idx="21">
                  <c:v>80.010480508364267</c:v>
                </c:pt>
                <c:pt idx="22">
                  <c:v>80.819186941472424</c:v>
                </c:pt>
                <c:pt idx="23">
                  <c:v>81.606457495283465</c:v>
                </c:pt>
                <c:pt idx="24">
                  <c:v>82.364009890000005</c:v>
                </c:pt>
                <c:pt idx="25">
                  <c:v>83.113870640000002</c:v>
                </c:pt>
                <c:pt idx="26">
                  <c:v>83.847161510000007</c:v>
                </c:pt>
                <c:pt idx="27">
                  <c:v>84.565344330000002</c:v>
                </c:pt>
                <c:pt idx="28">
                  <c:v>85.269619739999996</c:v>
                </c:pt>
                <c:pt idx="29">
                  <c:v>85.960983310000003</c:v>
                </c:pt>
                <c:pt idx="30">
                  <c:v>86.640271540000001</c:v>
                </c:pt>
                <c:pt idx="31">
                  <c:v>87.308200850000006</c:v>
                </c:pt>
                <c:pt idx="32">
                  <c:v>87.965400549999998</c:v>
                </c:pt>
                <c:pt idx="33">
                  <c:v>88.612440730000003</c:v>
                </c:pt>
                <c:pt idx="34">
                  <c:v>89.24985581</c:v>
                </c:pt>
                <c:pt idx="35">
                  <c:v>89.878164580000004</c:v>
                </c:pt>
                <c:pt idx="36">
                  <c:v>90.497886489999999</c:v>
                </c:pt>
                <c:pt idx="37">
                  <c:v>91.086077349999996</c:v>
                </c:pt>
                <c:pt idx="38">
                  <c:v>91.665888350000003</c:v>
                </c:pt>
                <c:pt idx="39">
                  <c:v>92.237788820000006</c:v>
                </c:pt>
                <c:pt idx="40">
                  <c:v>92.802245970000001</c:v>
                </c:pt>
                <c:pt idx="41">
                  <c:v>93.359722829999995</c:v>
                </c:pt>
                <c:pt idx="42">
                  <c:v>93.910677489999998</c:v>
                </c:pt>
                <c:pt idx="43">
                  <c:v>94.455561090000003</c:v>
                </c:pt>
                <c:pt idx="44">
                  <c:v>94.994816720000003</c:v>
                </c:pt>
                <c:pt idx="45">
                  <c:v>95.528878149999997</c:v>
                </c:pt>
                <c:pt idx="46">
                  <c:v>96.058168679999994</c:v>
                </c:pt>
                <c:pt idx="47">
                  <c:v>96.583100079999994</c:v>
                </c:pt>
                <c:pt idx="48">
                  <c:v>97.104071500000003</c:v>
                </c:pt>
                <c:pt idx="49">
                  <c:v>97.621468570000005</c:v>
                </c:pt>
                <c:pt idx="50">
                  <c:v>98.135662460000006</c:v>
                </c:pt>
                <c:pt idx="51">
                  <c:v>98.647008760000006</c:v>
                </c:pt>
                <c:pt idx="52">
                  <c:v>99.155847969999996</c:v>
                </c:pt>
                <c:pt idx="53">
                  <c:v>99.662502029999999</c:v>
                </c:pt>
                <c:pt idx="54">
                  <c:v>100.16727659999999</c:v>
                </c:pt>
                <c:pt idx="55">
                  <c:v>100.6704587</c:v>
                </c:pt>
                <c:pt idx="56">
                  <c:v>101.1723164</c:v>
                </c:pt>
                <c:pt idx="57">
                  <c:v>101.6730987</c:v>
                </c:pt>
                <c:pt idx="58">
                  <c:v>102.17303459999999</c:v>
                </c:pt>
                <c:pt idx="59">
                  <c:v>102.6723326</c:v>
                </c:pt>
                <c:pt idx="60">
                  <c:v>103.171181</c:v>
                </c:pt>
                <c:pt idx="61">
                  <c:v>103.66974690000001</c:v>
                </c:pt>
                <c:pt idx="62">
                  <c:v>104.1681762</c:v>
                </c:pt>
                <c:pt idx="63">
                  <c:v>104.66659370000001</c:v>
                </c:pt>
                <c:pt idx="64">
                  <c:v>105.16510270000001</c:v>
                </c:pt>
                <c:pt idx="65">
                  <c:v>105.6637849</c:v>
                </c:pt>
                <c:pt idx="66">
                  <c:v>106.16270110000001</c:v>
                </c:pt>
                <c:pt idx="67">
                  <c:v>106.6618905</c:v>
                </c:pt>
                <c:pt idx="68">
                  <c:v>107.1613717</c:v>
                </c:pt>
                <c:pt idx="69">
                  <c:v>107.66114260000001</c:v>
                </c:pt>
                <c:pt idx="70">
                  <c:v>108.16118109999999</c:v>
                </c:pt>
                <c:pt idx="71">
                  <c:v>108.66144490000001</c:v>
                </c:pt>
                <c:pt idx="72">
                  <c:v>109.1618735</c:v>
                </c:pt>
                <c:pt idx="73">
                  <c:v>109.6623876</c:v>
                </c:pt>
                <c:pt idx="74">
                  <c:v>110.1628906</c:v>
                </c:pt>
                <c:pt idx="75">
                  <c:v>110.6632694</c:v>
                </c:pt>
                <c:pt idx="76">
                  <c:v>111.1633949</c:v>
                </c:pt>
                <c:pt idx="77">
                  <c:v>111.6631239</c:v>
                </c:pt>
                <c:pt idx="78">
                  <c:v>112.1622995</c:v>
                </c:pt>
                <c:pt idx="79">
                  <c:v>112.6607528</c:v>
                </c:pt>
                <c:pt idx="80">
                  <c:v>113.158304</c:v>
                </c:pt>
                <c:pt idx="81">
                  <c:v>113.654764</c:v>
                </c:pt>
                <c:pt idx="82">
                  <c:v>114.1499353</c:v>
                </c:pt>
                <c:pt idx="83">
                  <c:v>114.64361409999999</c:v>
                </c:pt>
                <c:pt idx="84">
                  <c:v>115.1355915</c:v>
                </c:pt>
                <c:pt idx="85">
                  <c:v>115.62565499999999</c:v>
                </c:pt>
                <c:pt idx="86">
                  <c:v>116.11359040000001</c:v>
                </c:pt>
                <c:pt idx="87">
                  <c:v>116.5991827</c:v>
                </c:pt>
                <c:pt idx="88">
                  <c:v>117.0822191</c:v>
                </c:pt>
                <c:pt idx="89">
                  <c:v>117.562488</c:v>
                </c:pt>
                <c:pt idx="90">
                  <c:v>118.0397834</c:v>
                </c:pt>
                <c:pt idx="91">
                  <c:v>118.5139049</c:v>
                </c:pt>
                <c:pt idx="92">
                  <c:v>118.9846594</c:v>
                </c:pt>
                <c:pt idx="93">
                  <c:v>119.45186270000001</c:v>
                </c:pt>
                <c:pt idx="94">
                  <c:v>119.9153408</c:v>
                </c:pt>
                <c:pt idx="95">
                  <c:v>120.3749315</c:v>
                </c:pt>
                <c:pt idx="96">
                  <c:v>120.830485</c:v>
                </c:pt>
                <c:pt idx="97">
                  <c:v>121.28186599999999</c:v>
                </c:pt>
                <c:pt idx="98">
                  <c:v>121.7289543</c:v>
                </c:pt>
                <c:pt idx="99">
                  <c:v>122.17164579999999</c:v>
                </c:pt>
                <c:pt idx="100">
                  <c:v>122.6098539</c:v>
                </c:pt>
                <c:pt idx="101">
                  <c:v>123.04351</c:v>
                </c:pt>
                <c:pt idx="102">
                  <c:v>123.4725646</c:v>
                </c:pt>
                <c:pt idx="103">
                  <c:v>123.89698799999999</c:v>
                </c:pt>
                <c:pt idx="104">
                  <c:v>124.31677089999999</c:v>
                </c:pt>
                <c:pt idx="105">
                  <c:v>124.7319249</c:v>
                </c:pt>
                <c:pt idx="106">
                  <c:v>125.1424835</c:v>
                </c:pt>
                <c:pt idx="107">
                  <c:v>125.5485022</c:v>
                </c:pt>
                <c:pt idx="108">
                  <c:v>125.95005879999999</c:v>
                </c:pt>
                <c:pt idx="109">
                  <c:v>126.34725419999999</c:v>
                </c:pt>
                <c:pt idx="110">
                  <c:v>126.7402123</c:v>
                </c:pt>
                <c:pt idx="111">
                  <c:v>127.1290805</c:v>
                </c:pt>
                <c:pt idx="112">
                  <c:v>127.5140299</c:v>
                </c:pt>
                <c:pt idx="113">
                  <c:v>127.8952551</c:v>
                </c:pt>
                <c:pt idx="114">
                  <c:v>128.2729746</c:v>
                </c:pt>
                <c:pt idx="115">
                  <c:v>128.64743110000001</c:v>
                </c:pt>
                <c:pt idx="116">
                  <c:v>129.01889080000001</c:v>
                </c:pt>
                <c:pt idx="117">
                  <c:v>129.38764409999999</c:v>
                </c:pt>
                <c:pt idx="118">
                  <c:v>129.75400479999999</c:v>
                </c:pt>
                <c:pt idx="119">
                  <c:v>130.1183106</c:v>
                </c:pt>
                <c:pt idx="120">
                  <c:v>130.48092209999999</c:v>
                </c:pt>
                <c:pt idx="121">
                  <c:v>130.84222339999999</c:v>
                </c:pt>
                <c:pt idx="122">
                  <c:v>131.20262070000001</c:v>
                </c:pt>
                <c:pt idx="123">
                  <c:v>131.56254229999999</c:v>
                </c:pt>
                <c:pt idx="124">
                  <c:v>131.92243790000001</c:v>
                </c:pt>
                <c:pt idx="125">
                  <c:v>132.2827776</c:v>
                </c:pt>
                <c:pt idx="126">
                  <c:v>132.64405110000001</c:v>
                </c:pt>
                <c:pt idx="127">
                  <c:v>133.00676609999999</c:v>
                </c:pt>
                <c:pt idx="128">
                  <c:v>133.37144749999999</c:v>
                </c:pt>
                <c:pt idx="129">
                  <c:v>133.73863499999999</c:v>
                </c:pt>
                <c:pt idx="130">
                  <c:v>134.10888170000001</c:v>
                </c:pt>
                <c:pt idx="131">
                  <c:v>134.48275169999999</c:v>
                </c:pt>
                <c:pt idx="132">
                  <c:v>134.86081709999999</c:v>
                </c:pt>
                <c:pt idx="133">
                  <c:v>135.24365549999999</c:v>
                </c:pt>
                <c:pt idx="134">
                  <c:v>135.63184630000001</c:v>
                </c:pt>
                <c:pt idx="135">
                  <c:v>136.0259671</c:v>
                </c:pt>
                <c:pt idx="136">
                  <c:v>136.4265892</c:v>
                </c:pt>
                <c:pt idx="137">
                  <c:v>136.8342729</c:v>
                </c:pt>
                <c:pt idx="138">
                  <c:v>137.24956270000001</c:v>
                </c:pt>
                <c:pt idx="139">
                  <c:v>137.67298109999999</c:v>
                </c:pt>
                <c:pt idx="140">
                  <c:v>138.10502310000001</c:v>
                </c:pt>
                <c:pt idx="141">
                  <c:v>138.54614960000001</c:v>
                </c:pt>
                <c:pt idx="142">
                  <c:v>138.99678030000001</c:v>
                </c:pt>
                <c:pt idx="143">
                  <c:v>139.45728729999999</c:v>
                </c:pt>
                <c:pt idx="144">
                  <c:v>139.9279871</c:v>
                </c:pt>
                <c:pt idx="145">
                  <c:v>140.40913399999999</c:v>
                </c:pt>
                <c:pt idx="146">
                  <c:v>140.90091219999999</c:v>
                </c:pt>
                <c:pt idx="147">
                  <c:v>141.40342899999999</c:v>
                </c:pt>
                <c:pt idx="148">
                  <c:v>141.91670790000001</c:v>
                </c:pt>
                <c:pt idx="149">
                  <c:v>142.44068229999999</c:v>
                </c:pt>
                <c:pt idx="150">
                  <c:v>142.9751899</c:v>
                </c:pt>
                <c:pt idx="151">
                  <c:v>143.51996750000001</c:v>
                </c:pt>
                <c:pt idx="152">
                  <c:v>144.07464809999999</c:v>
                </c:pt>
                <c:pt idx="153">
                  <c:v>144.63875759999999</c:v>
                </c:pt>
                <c:pt idx="154">
                  <c:v>145.21171440000001</c:v>
                </c:pt>
                <c:pt idx="155">
                  <c:v>145.7928297</c:v>
                </c:pt>
                <c:pt idx="156">
                  <c:v>146.3813098</c:v>
                </c:pt>
                <c:pt idx="157">
                  <c:v>146.9762604</c:v>
                </c:pt>
                <c:pt idx="158">
                  <c:v>147.57669300000001</c:v>
                </c:pt>
                <c:pt idx="159">
                  <c:v>148.18153190000001</c:v>
                </c:pt>
                <c:pt idx="160">
                  <c:v>148.78962530000001</c:v>
                </c:pt>
                <c:pt idx="161">
                  <c:v>149.3997554</c:v>
                </c:pt>
                <c:pt idx="162">
                  <c:v>150.01065249999999</c:v>
                </c:pt>
                <c:pt idx="163">
                  <c:v>150.6210083</c:v>
                </c:pt>
                <c:pt idx="164">
                  <c:v>151.22949130000001</c:v>
                </c:pt>
                <c:pt idx="165">
                  <c:v>151.8347622</c:v>
                </c:pt>
                <c:pt idx="166">
                  <c:v>152.43548949999999</c:v>
                </c:pt>
                <c:pt idx="167">
                  <c:v>153.03036539999999</c:v>
                </c:pt>
                <c:pt idx="168">
                  <c:v>153.6181187</c:v>
                </c:pt>
                <c:pt idx="169">
                  <c:v>154.19753119999999</c:v>
                </c:pt>
                <c:pt idx="170">
                  <c:v>154.76744840000001</c:v>
                </c:pt>
                <c:pt idx="171">
                  <c:v>155.3267913</c:v>
                </c:pt>
                <c:pt idx="172">
                  <c:v>155.87456499999999</c:v>
                </c:pt>
                <c:pt idx="173">
                  <c:v>156.40986649999999</c:v>
                </c:pt>
                <c:pt idx="174">
                  <c:v>156.9318906</c:v>
                </c:pt>
                <c:pt idx="175">
                  <c:v>157.43993270000001</c:v>
                </c:pt>
                <c:pt idx="176">
                  <c:v>157.9333914</c:v>
                </c:pt>
                <c:pt idx="177">
                  <c:v>158.41176849999999</c:v>
                </c:pt>
                <c:pt idx="178">
                  <c:v>158.8746672</c:v>
                </c:pt>
                <c:pt idx="179">
                  <c:v>159.32179009999999</c:v>
                </c:pt>
                <c:pt idx="180">
                  <c:v>159.75293429999999</c:v>
                </c:pt>
                <c:pt idx="181">
                  <c:v>160.16798739999999</c:v>
                </c:pt>
                <c:pt idx="182">
                  <c:v>160.5669211</c:v>
                </c:pt>
                <c:pt idx="183">
                  <c:v>160.94978520000001</c:v>
                </c:pt>
                <c:pt idx="184">
                  <c:v>161.31670059999999</c:v>
                </c:pt>
                <c:pt idx="185">
                  <c:v>161.66785279999999</c:v>
                </c:pt>
                <c:pt idx="186">
                  <c:v>162.00348460000001</c:v>
                </c:pt>
                <c:pt idx="187">
                  <c:v>162.32388889999999</c:v>
                </c:pt>
                <c:pt idx="188">
                  <c:v>162.62940219999999</c:v>
                </c:pt>
                <c:pt idx="189">
                  <c:v>162.92039829999999</c:v>
                </c:pt>
                <c:pt idx="190">
                  <c:v>163.1972811</c:v>
                </c:pt>
                <c:pt idx="191">
                  <c:v>163.46047949999999</c:v>
                </c:pt>
                <c:pt idx="192">
                  <c:v>163.71044240000001</c:v>
                </c:pt>
                <c:pt idx="193">
                  <c:v>163.94763219999999</c:v>
                </c:pt>
                <c:pt idx="194">
                  <c:v>164.17252189999999</c:v>
                </c:pt>
                <c:pt idx="195">
                  <c:v>164.3855897</c:v>
                </c:pt>
                <c:pt idx="196">
                  <c:v>164.58731649999999</c:v>
                </c:pt>
                <c:pt idx="197">
                  <c:v>164.7781818</c:v>
                </c:pt>
                <c:pt idx="198">
                  <c:v>164.95866129999999</c:v>
                </c:pt>
                <c:pt idx="199">
                  <c:v>165.1292244</c:v>
                </c:pt>
                <c:pt idx="200">
                  <c:v>165.29033240000001</c:v>
                </c:pt>
                <c:pt idx="201">
                  <c:v>165.44243639999999</c:v>
                </c:pt>
                <c:pt idx="202">
                  <c:v>165.58597610000001</c:v>
                </c:pt>
                <c:pt idx="203">
                  <c:v>165.72137860000001</c:v>
                </c:pt>
                <c:pt idx="204">
                  <c:v>165.8490577</c:v>
                </c:pt>
                <c:pt idx="205">
                  <c:v>165.96941290000001</c:v>
                </c:pt>
                <c:pt idx="206">
                  <c:v>166.0828291</c:v>
                </c:pt>
                <c:pt idx="207">
                  <c:v>166.18967649999999</c:v>
                </c:pt>
                <c:pt idx="208">
                  <c:v>166.29031000000001</c:v>
                </c:pt>
                <c:pt idx="209">
                  <c:v>166.38506949999999</c:v>
                </c:pt>
                <c:pt idx="210">
                  <c:v>166.4742799</c:v>
                </c:pt>
                <c:pt idx="211">
                  <c:v>166.55825110000001</c:v>
                </c:pt>
                <c:pt idx="212">
                  <c:v>166.6372787</c:v>
                </c:pt>
                <c:pt idx="213">
                  <c:v>166.7116437</c:v>
                </c:pt>
                <c:pt idx="214">
                  <c:v>166.7816133</c:v>
                </c:pt>
                <c:pt idx="215">
                  <c:v>166.8474411</c:v>
                </c:pt>
                <c:pt idx="216">
                  <c:v>166.9093676</c:v>
                </c:pt>
                <c:pt idx="217">
                  <c:v>166.96762079999999</c:v>
                </c:pt>
                <c:pt idx="218">
                  <c:v>167.02241620000001</c:v>
                </c:pt>
                <c:pt idx="219">
                  <c:v>167.07395790000001</c:v>
                </c:pt>
                <c:pt idx="220">
                  <c:v>167.1224387</c:v>
                </c:pt>
                <c:pt idx="221">
                  <c:v>167.16804049999999</c:v>
                </c:pt>
                <c:pt idx="222">
                  <c:v>167.21093529999999</c:v>
                </c:pt>
                <c:pt idx="223">
                  <c:v>167.251285</c:v>
                </c:pt>
                <c:pt idx="224">
                  <c:v>167.28924240000001</c:v>
                </c:pt>
                <c:pt idx="225">
                  <c:v>167.3249515</c:v>
                </c:pt>
                <c:pt idx="226">
                  <c:v>167.3585477</c:v>
                </c:pt>
                <c:pt idx="227">
                  <c:v>167.39015860000001</c:v>
                </c:pt>
                <c:pt idx="228">
                  <c:v>167.41990440000001</c:v>
                </c:pt>
                <c:pt idx="229">
                  <c:v>167.44789779999999</c:v>
                </c:pt>
                <c:pt idx="230">
                  <c:v>167.47424520000001</c:v>
                </c:pt>
                <c:pt idx="231">
                  <c:v>167.49904620000001</c:v>
                </c:pt>
                <c:pt idx="232">
                  <c:v>167.52239470000001</c:v>
                </c:pt>
                <c:pt idx="233">
                  <c:v>167.5443789</c:v>
                </c:pt>
                <c:pt idx="234">
                  <c:v>167.5650814</c:v>
                </c:pt>
                <c:pt idx="235">
                  <c:v>167.5845802</c:v>
                </c:pt>
                <c:pt idx="236">
                  <c:v>167.602948</c:v>
                </c:pt>
                <c:pt idx="237">
                  <c:v>167.62025360000001</c:v>
                </c:pt>
                <c:pt idx="238">
                  <c:v>167.63656109999999</c:v>
                </c:pt>
                <c:pt idx="239">
                  <c:v>167.65193110000001</c:v>
                </c:pt>
                <c:pt idx="240">
                  <c:v>167.6592824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50-4504-82E8-CD672D813146}"/>
            </c:ext>
          </c:extLst>
        </c:ser>
        <c:ser>
          <c:idx val="4"/>
          <c:order val="5"/>
          <c:tx>
            <c:v>P25 boys</c:v>
          </c:tx>
          <c:spPr>
            <a:ln w="6350" cap="rnd">
              <a:solidFill>
                <a:srgbClr val="00B0F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length4age!$B$2:$B$242</c:f>
              <c:numCache>
                <c:formatCode>0.00</c:formatCode>
                <c:ptCount val="241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2.0416666666666665</c:v>
                </c:pt>
                <c:pt idx="25">
                  <c:v>2.125</c:v>
                </c:pt>
                <c:pt idx="26">
                  <c:v>2.2083333333333335</c:v>
                </c:pt>
                <c:pt idx="27">
                  <c:v>2.2916666666666665</c:v>
                </c:pt>
                <c:pt idx="28">
                  <c:v>2.375</c:v>
                </c:pt>
                <c:pt idx="29">
                  <c:v>2.4583333333333335</c:v>
                </c:pt>
                <c:pt idx="30">
                  <c:v>2.5416666666666665</c:v>
                </c:pt>
                <c:pt idx="31">
                  <c:v>2.625</c:v>
                </c:pt>
                <c:pt idx="32">
                  <c:v>2.7083333333333335</c:v>
                </c:pt>
                <c:pt idx="33">
                  <c:v>2.7916666666666665</c:v>
                </c:pt>
                <c:pt idx="34">
                  <c:v>2.875</c:v>
                </c:pt>
                <c:pt idx="35">
                  <c:v>2.9583333333333335</c:v>
                </c:pt>
                <c:pt idx="36">
                  <c:v>3.0416666666666665</c:v>
                </c:pt>
                <c:pt idx="37">
                  <c:v>3.125</c:v>
                </c:pt>
                <c:pt idx="38">
                  <c:v>3.2083333333333335</c:v>
                </c:pt>
                <c:pt idx="39">
                  <c:v>3.2916666666666665</c:v>
                </c:pt>
                <c:pt idx="40">
                  <c:v>3.375</c:v>
                </c:pt>
                <c:pt idx="41">
                  <c:v>3.4583333333333335</c:v>
                </c:pt>
                <c:pt idx="42">
                  <c:v>3.5416666666666665</c:v>
                </c:pt>
                <c:pt idx="43">
                  <c:v>3.625</c:v>
                </c:pt>
                <c:pt idx="44">
                  <c:v>3.7083333333333335</c:v>
                </c:pt>
                <c:pt idx="45">
                  <c:v>3.7916666666666665</c:v>
                </c:pt>
                <c:pt idx="46">
                  <c:v>3.875</c:v>
                </c:pt>
                <c:pt idx="47">
                  <c:v>3.9583333333333335</c:v>
                </c:pt>
                <c:pt idx="48">
                  <c:v>4.041666666666667</c:v>
                </c:pt>
                <c:pt idx="49">
                  <c:v>4.125</c:v>
                </c:pt>
                <c:pt idx="50">
                  <c:v>4.208333333333333</c:v>
                </c:pt>
                <c:pt idx="51">
                  <c:v>4.291666666666667</c:v>
                </c:pt>
                <c:pt idx="52">
                  <c:v>4.375</c:v>
                </c:pt>
                <c:pt idx="53">
                  <c:v>4.458333333333333</c:v>
                </c:pt>
                <c:pt idx="54">
                  <c:v>4.541666666666667</c:v>
                </c:pt>
                <c:pt idx="55">
                  <c:v>4.625</c:v>
                </c:pt>
                <c:pt idx="56">
                  <c:v>4.708333333333333</c:v>
                </c:pt>
                <c:pt idx="57">
                  <c:v>4.791666666666667</c:v>
                </c:pt>
                <c:pt idx="58">
                  <c:v>4.875</c:v>
                </c:pt>
                <c:pt idx="59">
                  <c:v>4.958333333333333</c:v>
                </c:pt>
                <c:pt idx="60">
                  <c:v>5.041666666666667</c:v>
                </c:pt>
                <c:pt idx="61">
                  <c:v>5.125</c:v>
                </c:pt>
                <c:pt idx="62">
                  <c:v>5.208333333333333</c:v>
                </c:pt>
                <c:pt idx="63">
                  <c:v>5.291666666666667</c:v>
                </c:pt>
                <c:pt idx="64">
                  <c:v>5.375</c:v>
                </c:pt>
                <c:pt idx="65">
                  <c:v>5.458333333333333</c:v>
                </c:pt>
                <c:pt idx="66">
                  <c:v>5.541666666666667</c:v>
                </c:pt>
                <c:pt idx="67">
                  <c:v>5.625</c:v>
                </c:pt>
                <c:pt idx="68">
                  <c:v>5.708333333333333</c:v>
                </c:pt>
                <c:pt idx="69">
                  <c:v>5.791666666666667</c:v>
                </c:pt>
                <c:pt idx="70">
                  <c:v>5.875</c:v>
                </c:pt>
                <c:pt idx="71">
                  <c:v>5.958333333333333</c:v>
                </c:pt>
                <c:pt idx="72">
                  <c:v>6.041666666666667</c:v>
                </c:pt>
                <c:pt idx="73">
                  <c:v>6.125</c:v>
                </c:pt>
                <c:pt idx="74">
                  <c:v>6.208333333333333</c:v>
                </c:pt>
                <c:pt idx="75">
                  <c:v>6.291666666666667</c:v>
                </c:pt>
                <c:pt idx="76">
                  <c:v>6.375</c:v>
                </c:pt>
                <c:pt idx="77">
                  <c:v>6.458333333333333</c:v>
                </c:pt>
                <c:pt idx="78">
                  <c:v>6.541666666666667</c:v>
                </c:pt>
                <c:pt idx="79">
                  <c:v>6.625</c:v>
                </c:pt>
                <c:pt idx="80">
                  <c:v>6.708333333333333</c:v>
                </c:pt>
                <c:pt idx="81">
                  <c:v>6.791666666666667</c:v>
                </c:pt>
                <c:pt idx="82">
                  <c:v>6.875</c:v>
                </c:pt>
                <c:pt idx="83">
                  <c:v>6.958333333333333</c:v>
                </c:pt>
                <c:pt idx="84">
                  <c:v>7.041666666666667</c:v>
                </c:pt>
                <c:pt idx="85">
                  <c:v>7.125</c:v>
                </c:pt>
                <c:pt idx="86">
                  <c:v>7.208333333333333</c:v>
                </c:pt>
                <c:pt idx="87">
                  <c:v>7.291666666666667</c:v>
                </c:pt>
                <c:pt idx="88">
                  <c:v>7.375</c:v>
                </c:pt>
                <c:pt idx="89">
                  <c:v>7.458333333333333</c:v>
                </c:pt>
                <c:pt idx="90">
                  <c:v>7.541666666666667</c:v>
                </c:pt>
                <c:pt idx="91">
                  <c:v>7.625</c:v>
                </c:pt>
                <c:pt idx="92">
                  <c:v>7.708333333333333</c:v>
                </c:pt>
                <c:pt idx="93">
                  <c:v>7.791666666666667</c:v>
                </c:pt>
                <c:pt idx="94">
                  <c:v>7.875</c:v>
                </c:pt>
                <c:pt idx="95">
                  <c:v>7.958333333333333</c:v>
                </c:pt>
                <c:pt idx="96">
                  <c:v>8.0416666666666661</c:v>
                </c:pt>
                <c:pt idx="97">
                  <c:v>8.125</c:v>
                </c:pt>
                <c:pt idx="98">
                  <c:v>8.2083333333333339</c:v>
                </c:pt>
                <c:pt idx="99">
                  <c:v>8.2916666666666661</c:v>
                </c:pt>
                <c:pt idx="100">
                  <c:v>8.375</c:v>
                </c:pt>
                <c:pt idx="101">
                  <c:v>8.4583333333333339</c:v>
                </c:pt>
                <c:pt idx="102">
                  <c:v>8.5416666666666661</c:v>
                </c:pt>
                <c:pt idx="103">
                  <c:v>8.625</c:v>
                </c:pt>
                <c:pt idx="104">
                  <c:v>8.7083333333333339</c:v>
                </c:pt>
                <c:pt idx="105">
                  <c:v>8.7916666666666661</c:v>
                </c:pt>
                <c:pt idx="106">
                  <c:v>8.875</c:v>
                </c:pt>
                <c:pt idx="107">
                  <c:v>8.9583333333333339</c:v>
                </c:pt>
                <c:pt idx="108">
                  <c:v>9.0416666666666661</c:v>
                </c:pt>
                <c:pt idx="109">
                  <c:v>9.125</c:v>
                </c:pt>
                <c:pt idx="110">
                  <c:v>9.2083333333333339</c:v>
                </c:pt>
                <c:pt idx="111">
                  <c:v>9.2916666666666661</c:v>
                </c:pt>
                <c:pt idx="112">
                  <c:v>9.375</c:v>
                </c:pt>
                <c:pt idx="113">
                  <c:v>9.4583333333333339</c:v>
                </c:pt>
                <c:pt idx="114">
                  <c:v>9.5416666666666661</c:v>
                </c:pt>
                <c:pt idx="115">
                  <c:v>9.625</c:v>
                </c:pt>
                <c:pt idx="116">
                  <c:v>9.7083333333333339</c:v>
                </c:pt>
                <c:pt idx="117">
                  <c:v>9.7916666666666661</c:v>
                </c:pt>
                <c:pt idx="118">
                  <c:v>9.875</c:v>
                </c:pt>
                <c:pt idx="119">
                  <c:v>9.9583333333333339</c:v>
                </c:pt>
                <c:pt idx="120">
                  <c:v>10.041666666666666</c:v>
                </c:pt>
                <c:pt idx="121">
                  <c:v>10.125</c:v>
                </c:pt>
                <c:pt idx="122">
                  <c:v>10.208333333333334</c:v>
                </c:pt>
                <c:pt idx="123">
                  <c:v>10.291666666666666</c:v>
                </c:pt>
                <c:pt idx="124">
                  <c:v>10.375</c:v>
                </c:pt>
                <c:pt idx="125">
                  <c:v>10.458333333333334</c:v>
                </c:pt>
                <c:pt idx="126">
                  <c:v>10.541666666666666</c:v>
                </c:pt>
                <c:pt idx="127">
                  <c:v>10.625</c:v>
                </c:pt>
                <c:pt idx="128">
                  <c:v>10.708333333333334</c:v>
                </c:pt>
                <c:pt idx="129">
                  <c:v>10.791666666666666</c:v>
                </c:pt>
                <c:pt idx="130">
                  <c:v>10.875</c:v>
                </c:pt>
                <c:pt idx="131">
                  <c:v>10.958333333333334</c:v>
                </c:pt>
                <c:pt idx="132">
                  <c:v>11.041666666666666</c:v>
                </c:pt>
                <c:pt idx="133">
                  <c:v>11.125</c:v>
                </c:pt>
                <c:pt idx="134">
                  <c:v>11.208333333333334</c:v>
                </c:pt>
                <c:pt idx="135">
                  <c:v>11.291666666666666</c:v>
                </c:pt>
                <c:pt idx="136">
                  <c:v>11.375</c:v>
                </c:pt>
                <c:pt idx="137">
                  <c:v>11.458333333333334</c:v>
                </c:pt>
                <c:pt idx="138">
                  <c:v>11.541666666666666</c:v>
                </c:pt>
                <c:pt idx="139">
                  <c:v>11.625</c:v>
                </c:pt>
                <c:pt idx="140">
                  <c:v>11.708333333333334</c:v>
                </c:pt>
                <c:pt idx="141">
                  <c:v>11.791666666666666</c:v>
                </c:pt>
                <c:pt idx="142">
                  <c:v>11.875</c:v>
                </c:pt>
                <c:pt idx="143">
                  <c:v>11.958333333333334</c:v>
                </c:pt>
                <c:pt idx="144">
                  <c:v>12.041666666666666</c:v>
                </c:pt>
                <c:pt idx="145">
                  <c:v>12.125</c:v>
                </c:pt>
                <c:pt idx="146">
                  <c:v>12.208333333333334</c:v>
                </c:pt>
                <c:pt idx="147">
                  <c:v>12.291666666666666</c:v>
                </c:pt>
                <c:pt idx="148">
                  <c:v>12.375</c:v>
                </c:pt>
                <c:pt idx="149">
                  <c:v>12.458333333333334</c:v>
                </c:pt>
                <c:pt idx="150">
                  <c:v>12.541666666666666</c:v>
                </c:pt>
                <c:pt idx="151">
                  <c:v>12.625</c:v>
                </c:pt>
                <c:pt idx="152">
                  <c:v>12.708333333333334</c:v>
                </c:pt>
                <c:pt idx="153">
                  <c:v>12.791666666666666</c:v>
                </c:pt>
                <c:pt idx="154">
                  <c:v>12.875</c:v>
                </c:pt>
                <c:pt idx="155">
                  <c:v>12.958333333333334</c:v>
                </c:pt>
                <c:pt idx="156">
                  <c:v>13.041666666666666</c:v>
                </c:pt>
                <c:pt idx="157">
                  <c:v>13.125</c:v>
                </c:pt>
                <c:pt idx="158">
                  <c:v>13.208333333333334</c:v>
                </c:pt>
                <c:pt idx="159">
                  <c:v>13.291666666666666</c:v>
                </c:pt>
                <c:pt idx="160">
                  <c:v>13.375</c:v>
                </c:pt>
                <c:pt idx="161">
                  <c:v>13.458333333333334</c:v>
                </c:pt>
                <c:pt idx="162">
                  <c:v>13.541666666666666</c:v>
                </c:pt>
                <c:pt idx="163">
                  <c:v>13.625</c:v>
                </c:pt>
                <c:pt idx="164">
                  <c:v>13.708333333333334</c:v>
                </c:pt>
                <c:pt idx="165">
                  <c:v>13.791666666666666</c:v>
                </c:pt>
                <c:pt idx="166">
                  <c:v>13.875</c:v>
                </c:pt>
                <c:pt idx="167">
                  <c:v>13.958333333333334</c:v>
                </c:pt>
                <c:pt idx="168">
                  <c:v>14.041666666666666</c:v>
                </c:pt>
                <c:pt idx="169">
                  <c:v>14.125</c:v>
                </c:pt>
                <c:pt idx="170">
                  <c:v>14.208333333333334</c:v>
                </c:pt>
                <c:pt idx="171">
                  <c:v>14.291666666666666</c:v>
                </c:pt>
                <c:pt idx="172">
                  <c:v>14.375</c:v>
                </c:pt>
                <c:pt idx="173">
                  <c:v>14.458333333333334</c:v>
                </c:pt>
                <c:pt idx="174">
                  <c:v>14.541666666666666</c:v>
                </c:pt>
                <c:pt idx="175">
                  <c:v>14.625</c:v>
                </c:pt>
                <c:pt idx="176">
                  <c:v>14.708333333333334</c:v>
                </c:pt>
                <c:pt idx="177">
                  <c:v>14.791666666666666</c:v>
                </c:pt>
                <c:pt idx="178">
                  <c:v>14.875</c:v>
                </c:pt>
                <c:pt idx="179">
                  <c:v>14.958333333333334</c:v>
                </c:pt>
                <c:pt idx="180">
                  <c:v>15.041666666666666</c:v>
                </c:pt>
                <c:pt idx="181">
                  <c:v>15.125</c:v>
                </c:pt>
                <c:pt idx="182">
                  <c:v>15.208333333333334</c:v>
                </c:pt>
                <c:pt idx="183">
                  <c:v>15.291666666666666</c:v>
                </c:pt>
                <c:pt idx="184">
                  <c:v>15.375</c:v>
                </c:pt>
                <c:pt idx="185">
                  <c:v>15.458333333333334</c:v>
                </c:pt>
                <c:pt idx="186">
                  <c:v>15.541666666666666</c:v>
                </c:pt>
                <c:pt idx="187">
                  <c:v>15.625</c:v>
                </c:pt>
                <c:pt idx="188">
                  <c:v>15.708333333333334</c:v>
                </c:pt>
                <c:pt idx="189">
                  <c:v>15.791666666666666</c:v>
                </c:pt>
                <c:pt idx="190">
                  <c:v>15.875</c:v>
                </c:pt>
                <c:pt idx="191">
                  <c:v>15.958333333333334</c:v>
                </c:pt>
                <c:pt idx="192">
                  <c:v>16.041666666666668</c:v>
                </c:pt>
                <c:pt idx="193">
                  <c:v>16.125</c:v>
                </c:pt>
                <c:pt idx="194">
                  <c:v>16.208333333333332</c:v>
                </c:pt>
                <c:pt idx="195">
                  <c:v>16.291666666666668</c:v>
                </c:pt>
                <c:pt idx="196">
                  <c:v>16.375</c:v>
                </c:pt>
                <c:pt idx="197">
                  <c:v>16.458333333333332</c:v>
                </c:pt>
                <c:pt idx="198">
                  <c:v>16.541666666666668</c:v>
                </c:pt>
                <c:pt idx="199">
                  <c:v>16.625</c:v>
                </c:pt>
                <c:pt idx="200">
                  <c:v>16.708333333333332</c:v>
                </c:pt>
                <c:pt idx="201">
                  <c:v>16.791666666666668</c:v>
                </c:pt>
                <c:pt idx="202">
                  <c:v>16.875</c:v>
                </c:pt>
                <c:pt idx="203">
                  <c:v>16.958333333333332</c:v>
                </c:pt>
                <c:pt idx="204">
                  <c:v>17.041666666666668</c:v>
                </c:pt>
                <c:pt idx="205">
                  <c:v>17.125</c:v>
                </c:pt>
                <c:pt idx="206">
                  <c:v>17.208333333333332</c:v>
                </c:pt>
                <c:pt idx="207">
                  <c:v>17.291666666666668</c:v>
                </c:pt>
                <c:pt idx="208">
                  <c:v>17.375</c:v>
                </c:pt>
                <c:pt idx="209">
                  <c:v>17.458333333333332</c:v>
                </c:pt>
                <c:pt idx="210">
                  <c:v>17.541666666666668</c:v>
                </c:pt>
                <c:pt idx="211">
                  <c:v>17.625</c:v>
                </c:pt>
                <c:pt idx="212">
                  <c:v>17.708333333333332</c:v>
                </c:pt>
                <c:pt idx="213">
                  <c:v>17.791666666666668</c:v>
                </c:pt>
                <c:pt idx="214">
                  <c:v>17.875</c:v>
                </c:pt>
                <c:pt idx="215">
                  <c:v>17.958333333333332</c:v>
                </c:pt>
                <c:pt idx="216">
                  <c:v>18.041666666666668</c:v>
                </c:pt>
                <c:pt idx="217">
                  <c:v>18.125</c:v>
                </c:pt>
                <c:pt idx="218">
                  <c:v>18.208333333333332</c:v>
                </c:pt>
                <c:pt idx="219">
                  <c:v>18.291666666666668</c:v>
                </c:pt>
                <c:pt idx="220">
                  <c:v>18.375</c:v>
                </c:pt>
                <c:pt idx="221">
                  <c:v>18.458333333333332</c:v>
                </c:pt>
                <c:pt idx="222">
                  <c:v>18.541666666666668</c:v>
                </c:pt>
                <c:pt idx="223">
                  <c:v>18.625</c:v>
                </c:pt>
                <c:pt idx="224">
                  <c:v>18.708333333333332</c:v>
                </c:pt>
                <c:pt idx="225">
                  <c:v>18.791666666666668</c:v>
                </c:pt>
                <c:pt idx="226">
                  <c:v>18.875</c:v>
                </c:pt>
                <c:pt idx="227">
                  <c:v>18.958333333333332</c:v>
                </c:pt>
                <c:pt idx="228">
                  <c:v>19.041666666666668</c:v>
                </c:pt>
                <c:pt idx="229">
                  <c:v>19.125</c:v>
                </c:pt>
                <c:pt idx="230">
                  <c:v>19.208333333333332</c:v>
                </c:pt>
                <c:pt idx="231">
                  <c:v>19.291666666666668</c:v>
                </c:pt>
                <c:pt idx="232">
                  <c:v>19.375</c:v>
                </c:pt>
                <c:pt idx="233">
                  <c:v>19.458333333333332</c:v>
                </c:pt>
                <c:pt idx="234">
                  <c:v>19.541666666666668</c:v>
                </c:pt>
                <c:pt idx="235">
                  <c:v>19.625</c:v>
                </c:pt>
                <c:pt idx="236">
                  <c:v>19.708333333333332</c:v>
                </c:pt>
                <c:pt idx="237">
                  <c:v>19.791666666666668</c:v>
                </c:pt>
                <c:pt idx="238">
                  <c:v>19.875</c:v>
                </c:pt>
                <c:pt idx="239">
                  <c:v>19.958333333333332</c:v>
                </c:pt>
                <c:pt idx="240">
                  <c:v>20</c:v>
                </c:pt>
              </c:numCache>
            </c:numRef>
          </c:xVal>
          <c:yVal>
            <c:numRef>
              <c:f>length4age!$I$2:$I$242</c:f>
              <c:numCache>
                <c:formatCode>General</c:formatCode>
                <c:ptCount val="241"/>
                <c:pt idx="0">
                  <c:v>48.189373814046291</c:v>
                </c:pt>
                <c:pt idx="1">
                  <c:v>50.979188894577049</c:v>
                </c:pt>
                <c:pt idx="2">
                  <c:v>54.979104409399497</c:v>
                </c:pt>
                <c:pt idx="3">
                  <c:v>57.974398816365813</c:v>
                </c:pt>
                <c:pt idx="4">
                  <c:v>60.434334386545721</c:v>
                </c:pt>
                <c:pt idx="5">
                  <c:v>62.554088493689818</c:v>
                </c:pt>
                <c:pt idx="6">
                  <c:v>64.435463383048159</c:v>
                </c:pt>
                <c:pt idx="7">
                  <c:v>66.138957350009832</c:v>
                </c:pt>
                <c:pt idx="8">
                  <c:v>67.703750002986084</c:v>
                </c:pt>
                <c:pt idx="9">
                  <c:v>69.156817178293807</c:v>
                </c:pt>
                <c:pt idx="10">
                  <c:v>70.51760635729417</c:v>
                </c:pt>
                <c:pt idx="11">
                  <c:v>71.800648152464873</c:v>
                </c:pt>
                <c:pt idx="12">
                  <c:v>73.017118456063585</c:v>
                </c:pt>
                <c:pt idx="13">
                  <c:v>74.175814830099142</c:v>
                </c:pt>
                <c:pt idx="14">
                  <c:v>75.283801891402945</c:v>
                </c:pt>
                <c:pt idx="15">
                  <c:v>76.346847770951484</c:v>
                </c:pt>
                <c:pt idx="16">
                  <c:v>77.369730041555101</c:v>
                </c:pt>
                <c:pt idx="17">
                  <c:v>78.356455334200362</c:v>
                </c:pt>
                <c:pt idx="18">
                  <c:v>79.310420616712307</c:v>
                </c:pt>
                <c:pt idx="19">
                  <c:v>80.234533833234792</c:v>
                </c:pt>
                <c:pt idx="20">
                  <c:v>81.131305780973804</c:v>
                </c:pt>
                <c:pt idx="21">
                  <c:v>82.002921070121133</c:v>
                </c:pt>
                <c:pt idx="22">
                  <c:v>82.851293705936058</c:v>
                </c:pt>
                <c:pt idx="23">
                  <c:v>83.678112960540389</c:v>
                </c:pt>
                <c:pt idx="24">
                  <c:v>84.494705530000005</c:v>
                </c:pt>
                <c:pt idx="25">
                  <c:v>85.25887745</c:v>
                </c:pt>
                <c:pt idx="26">
                  <c:v>86.005173099999993</c:v>
                </c:pt>
                <c:pt idx="27">
                  <c:v>86.735069449999997</c:v>
                </c:pt>
                <c:pt idx="28">
                  <c:v>87.449772229999994</c:v>
                </c:pt>
                <c:pt idx="29">
                  <c:v>88.150284209999995</c:v>
                </c:pt>
                <c:pt idx="30">
                  <c:v>88.837454109999996</c:v>
                </c:pt>
                <c:pt idx="31">
                  <c:v>89.512018600000005</c:v>
                </c:pt>
                <c:pt idx="32">
                  <c:v>90.174636829999997</c:v>
                </c:pt>
                <c:pt idx="33">
                  <c:v>90.825918669999993</c:v>
                </c:pt>
                <c:pt idx="34">
                  <c:v>91.466447740000007</c:v>
                </c:pt>
                <c:pt idx="35">
                  <c:v>92.096801189999994</c:v>
                </c:pt>
                <c:pt idx="36">
                  <c:v>92.717559460000004</c:v>
                </c:pt>
                <c:pt idx="37">
                  <c:v>93.334400489999993</c:v>
                </c:pt>
                <c:pt idx="38">
                  <c:v>93.942683669999994</c:v>
                </c:pt>
                <c:pt idx="39">
                  <c:v>94.542911509999996</c:v>
                </c:pt>
                <c:pt idx="40">
                  <c:v>95.135574399999996</c:v>
                </c:pt>
                <c:pt idx="41">
                  <c:v>95.721146360000006</c:v>
                </c:pt>
                <c:pt idx="42">
                  <c:v>96.300091949999995</c:v>
                </c:pt>
                <c:pt idx="43">
                  <c:v>96.87286014</c:v>
                </c:pt>
                <c:pt idx="44">
                  <c:v>97.439885860000004</c:v>
                </c:pt>
                <c:pt idx="45">
                  <c:v>98.001589580000001</c:v>
                </c:pt>
                <c:pt idx="46">
                  <c:v>98.558377050000004</c:v>
                </c:pt>
                <c:pt idx="47">
                  <c:v>99.110638890000004</c:v>
                </c:pt>
                <c:pt idx="48">
                  <c:v>99.658750310000002</c:v>
                </c:pt>
                <c:pt idx="49">
                  <c:v>100.2030707</c:v>
                </c:pt>
                <c:pt idx="50">
                  <c:v>100.7439435</c:v>
                </c:pt>
                <c:pt idx="51">
                  <c:v>101.281694</c:v>
                </c:pt>
                <c:pt idx="52">
                  <c:v>101.8166373</c:v>
                </c:pt>
                <c:pt idx="53">
                  <c:v>102.3490611</c:v>
                </c:pt>
                <c:pt idx="54">
                  <c:v>102.87924390000001</c:v>
                </c:pt>
                <c:pt idx="55">
                  <c:v>103.4074438</c:v>
                </c:pt>
                <c:pt idx="56">
                  <c:v>103.9339016</c:v>
                </c:pt>
                <c:pt idx="57">
                  <c:v>104.4588401</c:v>
                </c:pt>
                <c:pt idx="58">
                  <c:v>104.9824642</c:v>
                </c:pt>
                <c:pt idx="59">
                  <c:v>105.5049607</c:v>
                </c:pt>
                <c:pt idx="60">
                  <c:v>106.026498</c:v>
                </c:pt>
                <c:pt idx="61">
                  <c:v>106.54722649999999</c:v>
                </c:pt>
                <c:pt idx="62">
                  <c:v>107.0672782</c:v>
                </c:pt>
                <c:pt idx="63">
                  <c:v>107.5867669</c:v>
                </c:pt>
                <c:pt idx="64">
                  <c:v>108.1057886</c:v>
                </c:pt>
                <c:pt idx="65">
                  <c:v>108.62442110000001</c:v>
                </c:pt>
                <c:pt idx="66">
                  <c:v>109.14272459999999</c:v>
                </c:pt>
                <c:pt idx="67">
                  <c:v>109.6607418</c:v>
                </c:pt>
                <c:pt idx="68">
                  <c:v>110.1784984</c:v>
                </c:pt>
                <c:pt idx="69">
                  <c:v>110.6960031</c:v>
                </c:pt>
                <c:pt idx="70">
                  <c:v>111.21324920000001</c:v>
                </c:pt>
                <c:pt idx="71">
                  <c:v>111.7302112</c:v>
                </c:pt>
                <c:pt idx="72">
                  <c:v>112.2468516</c:v>
                </c:pt>
                <c:pt idx="73">
                  <c:v>112.76311680000001</c:v>
                </c:pt>
                <c:pt idx="74">
                  <c:v>113.2789389</c:v>
                </c:pt>
                <c:pt idx="75">
                  <c:v>113.79423679999999</c:v>
                </c:pt>
                <c:pt idx="76">
                  <c:v>114.3089166</c:v>
                </c:pt>
                <c:pt idx="77">
                  <c:v>114.8228726</c:v>
                </c:pt>
                <c:pt idx="78">
                  <c:v>115.335988</c:v>
                </c:pt>
                <c:pt idx="79">
                  <c:v>115.84813579999999</c:v>
                </c:pt>
                <c:pt idx="80">
                  <c:v>116.3591802</c:v>
                </c:pt>
                <c:pt idx="81">
                  <c:v>116.86897690000001</c:v>
                </c:pt>
                <c:pt idx="82">
                  <c:v>117.3773747</c:v>
                </c:pt>
                <c:pt idx="83">
                  <c:v>117.8842164</c:v>
                </c:pt>
                <c:pt idx="84">
                  <c:v>118.38933969999999</c:v>
                </c:pt>
                <c:pt idx="85">
                  <c:v>118.8925788</c:v>
                </c:pt>
                <c:pt idx="86">
                  <c:v>119.3937653</c:v>
                </c:pt>
                <c:pt idx="87">
                  <c:v>119.89272920000001</c:v>
                </c:pt>
                <c:pt idx="88">
                  <c:v>120.3893032</c:v>
                </c:pt>
                <c:pt idx="89">
                  <c:v>120.8833137</c:v>
                </c:pt>
                <c:pt idx="90">
                  <c:v>121.37459560000001</c:v>
                </c:pt>
                <c:pt idx="91">
                  <c:v>121.86298549999999</c:v>
                </c:pt>
                <c:pt idx="92">
                  <c:v>122.3483243</c:v>
                </c:pt>
                <c:pt idx="93">
                  <c:v>122.8304588</c:v>
                </c:pt>
                <c:pt idx="94">
                  <c:v>123.3092425</c:v>
                </c:pt>
                <c:pt idx="95">
                  <c:v>123.784537</c:v>
                </c:pt>
                <c:pt idx="96">
                  <c:v>124.25621270000001</c:v>
                </c:pt>
                <c:pt idx="97">
                  <c:v>124.7241502</c:v>
                </c:pt>
                <c:pt idx="98">
                  <c:v>125.18824119999999</c:v>
                </c:pt>
                <c:pt idx="99">
                  <c:v>125.64838930000001</c:v>
                </c:pt>
                <c:pt idx="100">
                  <c:v>126.1045113</c:v>
                </c:pt>
                <c:pt idx="101">
                  <c:v>126.55653770000001</c:v>
                </c:pt>
                <c:pt idx="102">
                  <c:v>127.0044134</c:v>
                </c:pt>
                <c:pt idx="103">
                  <c:v>127.4480994</c:v>
                </c:pt>
                <c:pt idx="104">
                  <c:v>127.8875724</c:v>
                </c:pt>
                <c:pt idx="105">
                  <c:v>128.32282649999999</c:v>
                </c:pt>
                <c:pt idx="106">
                  <c:v>128.75387319999999</c:v>
                </c:pt>
                <c:pt idx="107">
                  <c:v>129.1807426</c:v>
                </c:pt>
                <c:pt idx="108">
                  <c:v>129.60348389999999</c:v>
                </c:pt>
                <c:pt idx="109">
                  <c:v>130.02216569999999</c:v>
                </c:pt>
                <c:pt idx="110">
                  <c:v>130.43687700000001</c:v>
                </c:pt>
                <c:pt idx="111">
                  <c:v>130.8477278</c:v>
                </c:pt>
                <c:pt idx="112">
                  <c:v>131.25484940000001</c:v>
                </c:pt>
                <c:pt idx="113">
                  <c:v>131.6583952</c:v>
                </c:pt>
                <c:pt idx="114">
                  <c:v>132.0585409</c:v>
                </c:pt>
                <c:pt idx="115">
                  <c:v>132.4554857</c:v>
                </c:pt>
                <c:pt idx="116">
                  <c:v>132.84945210000001</c:v>
                </c:pt>
                <c:pt idx="117">
                  <c:v>133.2406866</c:v>
                </c:pt>
                <c:pt idx="118">
                  <c:v>133.6294604</c:v>
                </c:pt>
                <c:pt idx="119">
                  <c:v>134.0160697</c:v>
                </c:pt>
                <c:pt idx="120">
                  <c:v>134.40083569999999</c:v>
                </c:pt>
                <c:pt idx="121">
                  <c:v>134.78410539999999</c:v>
                </c:pt>
                <c:pt idx="122">
                  <c:v>135.16625160000001</c:v>
                </c:pt>
                <c:pt idx="123">
                  <c:v>135.54767319999999</c:v>
                </c:pt>
                <c:pt idx="124">
                  <c:v>135.92879479999999</c:v>
                </c:pt>
                <c:pt idx="125">
                  <c:v>136.31006690000001</c:v>
                </c:pt>
                <c:pt idx="126">
                  <c:v>136.6919657</c:v>
                </c:pt>
                <c:pt idx="127">
                  <c:v>137.0749922</c:v>
                </c:pt>
                <c:pt idx="128">
                  <c:v>137.4596717</c:v>
                </c:pt>
                <c:pt idx="129">
                  <c:v>137.8465525</c:v>
                </c:pt>
                <c:pt idx="130">
                  <c:v>138.2362048</c:v>
                </c:pt>
                <c:pt idx="131">
                  <c:v>138.62921850000001</c:v>
                </c:pt>
                <c:pt idx="132">
                  <c:v>139.02620150000001</c:v>
                </c:pt>
                <c:pt idx="133">
                  <c:v>139.42777609999999</c:v>
                </c:pt>
                <c:pt idx="134">
                  <c:v>139.83457670000001</c:v>
                </c:pt>
                <c:pt idx="135">
                  <c:v>140.2472448</c:v>
                </c:pt>
                <c:pt idx="136">
                  <c:v>140.66642529999999</c:v>
                </c:pt>
                <c:pt idx="137">
                  <c:v>141.09276030000001</c:v>
                </c:pt>
                <c:pt idx="138">
                  <c:v>141.52688370000001</c:v>
                </c:pt>
                <c:pt idx="139">
                  <c:v>141.96941380000001</c:v>
                </c:pt>
                <c:pt idx="140">
                  <c:v>142.4209457</c:v>
                </c:pt>
                <c:pt idx="141">
                  <c:v>142.88204289999999</c:v>
                </c:pt>
                <c:pt idx="142">
                  <c:v>143.353228</c:v>
                </c:pt>
                <c:pt idx="143">
                  <c:v>143.83497270000001</c:v>
                </c:pt>
                <c:pt idx="144">
                  <c:v>144.3276874</c:v>
                </c:pt>
                <c:pt idx="145">
                  <c:v>144.8317108</c:v>
                </c:pt>
                <c:pt idx="146">
                  <c:v>145.34729809999999</c:v>
                </c:pt>
                <c:pt idx="147">
                  <c:v>145.87461110000001</c:v>
                </c:pt>
                <c:pt idx="148">
                  <c:v>146.41370689999999</c:v>
                </c:pt>
                <c:pt idx="149">
                  <c:v>146.9645285</c:v>
                </c:pt>
                <c:pt idx="150">
                  <c:v>147.52689570000001</c:v>
                </c:pt>
                <c:pt idx="151">
                  <c:v>148.1004983</c:v>
                </c:pt>
                <c:pt idx="152">
                  <c:v>148.68489020000001</c:v>
                </c:pt>
                <c:pt idx="153">
                  <c:v>149.27948570000001</c:v>
                </c:pt>
                <c:pt idx="154">
                  <c:v>149.88355910000001</c:v>
                </c:pt>
                <c:pt idx="155">
                  <c:v>150.4962462</c:v>
                </c:pt>
                <c:pt idx="156">
                  <c:v>151.11654870000001</c:v>
                </c:pt>
                <c:pt idx="157">
                  <c:v>151.74334160000001</c:v>
                </c:pt>
                <c:pt idx="158">
                  <c:v>152.3753859</c:v>
                </c:pt>
                <c:pt idx="159">
                  <c:v>153.01133680000001</c:v>
                </c:pt>
                <c:pt idx="160">
                  <c:v>153.64976540000001</c:v>
                </c:pt>
                <c:pt idx="161">
                  <c:v>154.28917190000001</c:v>
                </c:pt>
                <c:pt idx="162">
                  <c:v>154.9280091</c:v>
                </c:pt>
                <c:pt idx="163">
                  <c:v>155.5647003</c:v>
                </c:pt>
                <c:pt idx="164">
                  <c:v>156.1976616</c:v>
                </c:pt>
                <c:pt idx="165">
                  <c:v>156.82532380000001</c:v>
                </c:pt>
                <c:pt idx="166">
                  <c:v>157.44615229999999</c:v>
                </c:pt>
                <c:pt idx="167">
                  <c:v>158.0586697</c:v>
                </c:pt>
                <c:pt idx="168">
                  <c:v>158.66146359999999</c:v>
                </c:pt>
                <c:pt idx="169">
                  <c:v>159.2532157</c:v>
                </c:pt>
                <c:pt idx="170">
                  <c:v>159.83270680000001</c:v>
                </c:pt>
                <c:pt idx="171">
                  <c:v>160.3988301</c:v>
                </c:pt>
                <c:pt idx="172">
                  <c:v>160.95059850000001</c:v>
                </c:pt>
                <c:pt idx="173">
                  <c:v>161.4871507</c:v>
                </c:pt>
                <c:pt idx="174">
                  <c:v>162.0077536</c:v>
                </c:pt>
                <c:pt idx="175">
                  <c:v>162.51180310000001</c:v>
                </c:pt>
                <c:pt idx="176">
                  <c:v>162.99882220000001</c:v>
                </c:pt>
                <c:pt idx="177">
                  <c:v>163.4684575</c:v>
                </c:pt>
                <c:pt idx="178">
                  <c:v>163.9204738</c:v>
                </c:pt>
                <c:pt idx="179">
                  <c:v>164.35474790000001</c:v>
                </c:pt>
                <c:pt idx="180">
                  <c:v>164.77126029999999</c:v>
                </c:pt>
                <c:pt idx="181">
                  <c:v>165.17008730000001</c:v>
                </c:pt>
                <c:pt idx="182">
                  <c:v>165.5513919</c:v>
                </c:pt>
                <c:pt idx="183">
                  <c:v>165.91541470000001</c:v>
                </c:pt>
                <c:pt idx="184">
                  <c:v>166.2624644</c:v>
                </c:pt>
                <c:pt idx="185">
                  <c:v>166.59290920000001</c:v>
                </c:pt>
                <c:pt idx="186">
                  <c:v>166.90716739999999</c:v>
                </c:pt>
                <c:pt idx="187">
                  <c:v>167.20569929999999</c:v>
                </c:pt>
                <c:pt idx="188">
                  <c:v>167.4889986</c:v>
                </c:pt>
                <c:pt idx="189">
                  <c:v>167.75758719999999</c:v>
                </c:pt>
                <c:pt idx="190">
                  <c:v>168.01200399999999</c:v>
                </c:pt>
                <c:pt idx="191">
                  <c:v>168.25280290000001</c:v>
                </c:pt>
                <c:pt idx="192">
                  <c:v>168.48054690000001</c:v>
                </c:pt>
                <c:pt idx="193">
                  <c:v>168.69579880000001</c:v>
                </c:pt>
                <c:pt idx="194">
                  <c:v>168.89912219999999</c:v>
                </c:pt>
                <c:pt idx="195">
                  <c:v>169.09107470000001</c:v>
                </c:pt>
                <c:pt idx="196">
                  <c:v>169.27220579999999</c:v>
                </c:pt>
                <c:pt idx="197">
                  <c:v>169.44305360000001</c:v>
                </c:pt>
                <c:pt idx="198">
                  <c:v>169.60414270000001</c:v>
                </c:pt>
                <c:pt idx="199">
                  <c:v>169.75598260000001</c:v>
                </c:pt>
                <c:pt idx="200">
                  <c:v>169.8990665</c:v>
                </c:pt>
                <c:pt idx="201">
                  <c:v>170.03386939999999</c:v>
                </c:pt>
                <c:pt idx="202">
                  <c:v>170.1608483</c:v>
                </c:pt>
                <c:pt idx="203">
                  <c:v>170.280441</c:v>
                </c:pt>
                <c:pt idx="204">
                  <c:v>170.39306640000001</c:v>
                </c:pt>
                <c:pt idx="205">
                  <c:v>170.4991239</c:v>
                </c:pt>
                <c:pt idx="206">
                  <c:v>170.5989941</c:v>
                </c:pt>
                <c:pt idx="207">
                  <c:v>170.6930385</c:v>
                </c:pt>
                <c:pt idx="208">
                  <c:v>170.78160020000001</c:v>
                </c:pt>
                <c:pt idx="209">
                  <c:v>170.86500430000001</c:v>
                </c:pt>
                <c:pt idx="210">
                  <c:v>170.9435584</c:v>
                </c:pt>
                <c:pt idx="211">
                  <c:v>171.01755309999999</c:v>
                </c:pt>
                <c:pt idx="212">
                  <c:v>171.08726290000001</c:v>
                </c:pt>
                <c:pt idx="213">
                  <c:v>171.15294650000001</c:v>
                </c:pt>
                <c:pt idx="214">
                  <c:v>171.21484770000001</c:v>
                </c:pt>
                <c:pt idx="215">
                  <c:v>171.2731962</c:v>
                </c:pt>
                <c:pt idx="216">
                  <c:v>171.3282079</c:v>
                </c:pt>
                <c:pt idx="217">
                  <c:v>171.38008579999999</c:v>
                </c:pt>
                <c:pt idx="218">
                  <c:v>171.42902079999999</c:v>
                </c:pt>
                <c:pt idx="219">
                  <c:v>171.47519209999999</c:v>
                </c:pt>
                <c:pt idx="220">
                  <c:v>171.5187679</c:v>
                </c:pt>
                <c:pt idx="221">
                  <c:v>171.5599062</c:v>
                </c:pt>
                <c:pt idx="222">
                  <c:v>171.59875500000001</c:v>
                </c:pt>
                <c:pt idx="223">
                  <c:v>171.63545329999999</c:v>
                </c:pt>
                <c:pt idx="224">
                  <c:v>171.6701314</c:v>
                </c:pt>
                <c:pt idx="225">
                  <c:v>171.7029114</c:v>
                </c:pt>
                <c:pt idx="226">
                  <c:v>171.73390760000001</c:v>
                </c:pt>
                <c:pt idx="227">
                  <c:v>171.76322740000001</c:v>
                </c:pt>
                <c:pt idx="228">
                  <c:v>171.7909712</c:v>
                </c:pt>
                <c:pt idx="229">
                  <c:v>171.8172333</c:v>
                </c:pt>
                <c:pt idx="230">
                  <c:v>171.84210189999999</c:v>
                </c:pt>
                <c:pt idx="231">
                  <c:v>171.86565959999999</c:v>
                </c:pt>
                <c:pt idx="232">
                  <c:v>171.8879838</c:v>
                </c:pt>
                <c:pt idx="233">
                  <c:v>171.9091473</c:v>
                </c:pt>
                <c:pt idx="234">
                  <c:v>171.9292179</c:v>
                </c:pt>
                <c:pt idx="235">
                  <c:v>171.94825929999999</c:v>
                </c:pt>
                <c:pt idx="236">
                  <c:v>171.9663314</c:v>
                </c:pt>
                <c:pt idx="237">
                  <c:v>171.98349010000001</c:v>
                </c:pt>
                <c:pt idx="238">
                  <c:v>171.99978780000001</c:v>
                </c:pt>
                <c:pt idx="239">
                  <c:v>172.01527369999999</c:v>
                </c:pt>
                <c:pt idx="240">
                  <c:v>172.02272679999999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50-4504-82E8-CD672D813146}"/>
            </c:ext>
          </c:extLst>
        </c:ser>
        <c:ser>
          <c:idx val="5"/>
          <c:order val="6"/>
          <c:tx>
            <c:v>P50 boys</c:v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length4age!$B$2:$B$242</c:f>
              <c:numCache>
                <c:formatCode>0.00</c:formatCode>
                <c:ptCount val="241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2.0416666666666665</c:v>
                </c:pt>
                <c:pt idx="25">
                  <c:v>2.125</c:v>
                </c:pt>
                <c:pt idx="26">
                  <c:v>2.2083333333333335</c:v>
                </c:pt>
                <c:pt idx="27">
                  <c:v>2.2916666666666665</c:v>
                </c:pt>
                <c:pt idx="28">
                  <c:v>2.375</c:v>
                </c:pt>
                <c:pt idx="29">
                  <c:v>2.4583333333333335</c:v>
                </c:pt>
                <c:pt idx="30">
                  <c:v>2.5416666666666665</c:v>
                </c:pt>
                <c:pt idx="31">
                  <c:v>2.625</c:v>
                </c:pt>
                <c:pt idx="32">
                  <c:v>2.7083333333333335</c:v>
                </c:pt>
                <c:pt idx="33">
                  <c:v>2.7916666666666665</c:v>
                </c:pt>
                <c:pt idx="34">
                  <c:v>2.875</c:v>
                </c:pt>
                <c:pt idx="35">
                  <c:v>2.9583333333333335</c:v>
                </c:pt>
                <c:pt idx="36">
                  <c:v>3.0416666666666665</c:v>
                </c:pt>
                <c:pt idx="37">
                  <c:v>3.125</c:v>
                </c:pt>
                <c:pt idx="38">
                  <c:v>3.2083333333333335</c:v>
                </c:pt>
                <c:pt idx="39">
                  <c:v>3.2916666666666665</c:v>
                </c:pt>
                <c:pt idx="40">
                  <c:v>3.375</c:v>
                </c:pt>
                <c:pt idx="41">
                  <c:v>3.4583333333333335</c:v>
                </c:pt>
                <c:pt idx="42">
                  <c:v>3.5416666666666665</c:v>
                </c:pt>
                <c:pt idx="43">
                  <c:v>3.625</c:v>
                </c:pt>
                <c:pt idx="44">
                  <c:v>3.7083333333333335</c:v>
                </c:pt>
                <c:pt idx="45">
                  <c:v>3.7916666666666665</c:v>
                </c:pt>
                <c:pt idx="46">
                  <c:v>3.875</c:v>
                </c:pt>
                <c:pt idx="47">
                  <c:v>3.9583333333333335</c:v>
                </c:pt>
                <c:pt idx="48">
                  <c:v>4.041666666666667</c:v>
                </c:pt>
                <c:pt idx="49">
                  <c:v>4.125</c:v>
                </c:pt>
                <c:pt idx="50">
                  <c:v>4.208333333333333</c:v>
                </c:pt>
                <c:pt idx="51">
                  <c:v>4.291666666666667</c:v>
                </c:pt>
                <c:pt idx="52">
                  <c:v>4.375</c:v>
                </c:pt>
                <c:pt idx="53">
                  <c:v>4.458333333333333</c:v>
                </c:pt>
                <c:pt idx="54">
                  <c:v>4.541666666666667</c:v>
                </c:pt>
                <c:pt idx="55">
                  <c:v>4.625</c:v>
                </c:pt>
                <c:pt idx="56">
                  <c:v>4.708333333333333</c:v>
                </c:pt>
                <c:pt idx="57">
                  <c:v>4.791666666666667</c:v>
                </c:pt>
                <c:pt idx="58">
                  <c:v>4.875</c:v>
                </c:pt>
                <c:pt idx="59">
                  <c:v>4.958333333333333</c:v>
                </c:pt>
                <c:pt idx="60">
                  <c:v>5.041666666666667</c:v>
                </c:pt>
                <c:pt idx="61">
                  <c:v>5.125</c:v>
                </c:pt>
                <c:pt idx="62">
                  <c:v>5.208333333333333</c:v>
                </c:pt>
                <c:pt idx="63">
                  <c:v>5.291666666666667</c:v>
                </c:pt>
                <c:pt idx="64">
                  <c:v>5.375</c:v>
                </c:pt>
                <c:pt idx="65">
                  <c:v>5.458333333333333</c:v>
                </c:pt>
                <c:pt idx="66">
                  <c:v>5.541666666666667</c:v>
                </c:pt>
                <c:pt idx="67">
                  <c:v>5.625</c:v>
                </c:pt>
                <c:pt idx="68">
                  <c:v>5.708333333333333</c:v>
                </c:pt>
                <c:pt idx="69">
                  <c:v>5.791666666666667</c:v>
                </c:pt>
                <c:pt idx="70">
                  <c:v>5.875</c:v>
                </c:pt>
                <c:pt idx="71">
                  <c:v>5.958333333333333</c:v>
                </c:pt>
                <c:pt idx="72">
                  <c:v>6.041666666666667</c:v>
                </c:pt>
                <c:pt idx="73">
                  <c:v>6.125</c:v>
                </c:pt>
                <c:pt idx="74">
                  <c:v>6.208333333333333</c:v>
                </c:pt>
                <c:pt idx="75">
                  <c:v>6.291666666666667</c:v>
                </c:pt>
                <c:pt idx="76">
                  <c:v>6.375</c:v>
                </c:pt>
                <c:pt idx="77">
                  <c:v>6.458333333333333</c:v>
                </c:pt>
                <c:pt idx="78">
                  <c:v>6.541666666666667</c:v>
                </c:pt>
                <c:pt idx="79">
                  <c:v>6.625</c:v>
                </c:pt>
                <c:pt idx="80">
                  <c:v>6.708333333333333</c:v>
                </c:pt>
                <c:pt idx="81">
                  <c:v>6.791666666666667</c:v>
                </c:pt>
                <c:pt idx="82">
                  <c:v>6.875</c:v>
                </c:pt>
                <c:pt idx="83">
                  <c:v>6.958333333333333</c:v>
                </c:pt>
                <c:pt idx="84">
                  <c:v>7.041666666666667</c:v>
                </c:pt>
                <c:pt idx="85">
                  <c:v>7.125</c:v>
                </c:pt>
                <c:pt idx="86">
                  <c:v>7.208333333333333</c:v>
                </c:pt>
                <c:pt idx="87">
                  <c:v>7.291666666666667</c:v>
                </c:pt>
                <c:pt idx="88">
                  <c:v>7.375</c:v>
                </c:pt>
                <c:pt idx="89">
                  <c:v>7.458333333333333</c:v>
                </c:pt>
                <c:pt idx="90">
                  <c:v>7.541666666666667</c:v>
                </c:pt>
                <c:pt idx="91">
                  <c:v>7.625</c:v>
                </c:pt>
                <c:pt idx="92">
                  <c:v>7.708333333333333</c:v>
                </c:pt>
                <c:pt idx="93">
                  <c:v>7.791666666666667</c:v>
                </c:pt>
                <c:pt idx="94">
                  <c:v>7.875</c:v>
                </c:pt>
                <c:pt idx="95">
                  <c:v>7.958333333333333</c:v>
                </c:pt>
                <c:pt idx="96">
                  <c:v>8.0416666666666661</c:v>
                </c:pt>
                <c:pt idx="97">
                  <c:v>8.125</c:v>
                </c:pt>
                <c:pt idx="98">
                  <c:v>8.2083333333333339</c:v>
                </c:pt>
                <c:pt idx="99">
                  <c:v>8.2916666666666661</c:v>
                </c:pt>
                <c:pt idx="100">
                  <c:v>8.375</c:v>
                </c:pt>
                <c:pt idx="101">
                  <c:v>8.4583333333333339</c:v>
                </c:pt>
                <c:pt idx="102">
                  <c:v>8.5416666666666661</c:v>
                </c:pt>
                <c:pt idx="103">
                  <c:v>8.625</c:v>
                </c:pt>
                <c:pt idx="104">
                  <c:v>8.7083333333333339</c:v>
                </c:pt>
                <c:pt idx="105">
                  <c:v>8.7916666666666661</c:v>
                </c:pt>
                <c:pt idx="106">
                  <c:v>8.875</c:v>
                </c:pt>
                <c:pt idx="107">
                  <c:v>8.9583333333333339</c:v>
                </c:pt>
                <c:pt idx="108">
                  <c:v>9.0416666666666661</c:v>
                </c:pt>
                <c:pt idx="109">
                  <c:v>9.125</c:v>
                </c:pt>
                <c:pt idx="110">
                  <c:v>9.2083333333333339</c:v>
                </c:pt>
                <c:pt idx="111">
                  <c:v>9.2916666666666661</c:v>
                </c:pt>
                <c:pt idx="112">
                  <c:v>9.375</c:v>
                </c:pt>
                <c:pt idx="113">
                  <c:v>9.4583333333333339</c:v>
                </c:pt>
                <c:pt idx="114">
                  <c:v>9.5416666666666661</c:v>
                </c:pt>
                <c:pt idx="115">
                  <c:v>9.625</c:v>
                </c:pt>
                <c:pt idx="116">
                  <c:v>9.7083333333333339</c:v>
                </c:pt>
                <c:pt idx="117">
                  <c:v>9.7916666666666661</c:v>
                </c:pt>
                <c:pt idx="118">
                  <c:v>9.875</c:v>
                </c:pt>
                <c:pt idx="119">
                  <c:v>9.9583333333333339</c:v>
                </c:pt>
                <c:pt idx="120">
                  <c:v>10.041666666666666</c:v>
                </c:pt>
                <c:pt idx="121">
                  <c:v>10.125</c:v>
                </c:pt>
                <c:pt idx="122">
                  <c:v>10.208333333333334</c:v>
                </c:pt>
                <c:pt idx="123">
                  <c:v>10.291666666666666</c:v>
                </c:pt>
                <c:pt idx="124">
                  <c:v>10.375</c:v>
                </c:pt>
                <c:pt idx="125">
                  <c:v>10.458333333333334</c:v>
                </c:pt>
                <c:pt idx="126">
                  <c:v>10.541666666666666</c:v>
                </c:pt>
                <c:pt idx="127">
                  <c:v>10.625</c:v>
                </c:pt>
                <c:pt idx="128">
                  <c:v>10.708333333333334</c:v>
                </c:pt>
                <c:pt idx="129">
                  <c:v>10.791666666666666</c:v>
                </c:pt>
                <c:pt idx="130">
                  <c:v>10.875</c:v>
                </c:pt>
                <c:pt idx="131">
                  <c:v>10.958333333333334</c:v>
                </c:pt>
                <c:pt idx="132">
                  <c:v>11.041666666666666</c:v>
                </c:pt>
                <c:pt idx="133">
                  <c:v>11.125</c:v>
                </c:pt>
                <c:pt idx="134">
                  <c:v>11.208333333333334</c:v>
                </c:pt>
                <c:pt idx="135">
                  <c:v>11.291666666666666</c:v>
                </c:pt>
                <c:pt idx="136">
                  <c:v>11.375</c:v>
                </c:pt>
                <c:pt idx="137">
                  <c:v>11.458333333333334</c:v>
                </c:pt>
                <c:pt idx="138">
                  <c:v>11.541666666666666</c:v>
                </c:pt>
                <c:pt idx="139">
                  <c:v>11.625</c:v>
                </c:pt>
                <c:pt idx="140">
                  <c:v>11.708333333333334</c:v>
                </c:pt>
                <c:pt idx="141">
                  <c:v>11.791666666666666</c:v>
                </c:pt>
                <c:pt idx="142">
                  <c:v>11.875</c:v>
                </c:pt>
                <c:pt idx="143">
                  <c:v>11.958333333333334</c:v>
                </c:pt>
                <c:pt idx="144">
                  <c:v>12.041666666666666</c:v>
                </c:pt>
                <c:pt idx="145">
                  <c:v>12.125</c:v>
                </c:pt>
                <c:pt idx="146">
                  <c:v>12.208333333333334</c:v>
                </c:pt>
                <c:pt idx="147">
                  <c:v>12.291666666666666</c:v>
                </c:pt>
                <c:pt idx="148">
                  <c:v>12.375</c:v>
                </c:pt>
                <c:pt idx="149">
                  <c:v>12.458333333333334</c:v>
                </c:pt>
                <c:pt idx="150">
                  <c:v>12.541666666666666</c:v>
                </c:pt>
                <c:pt idx="151">
                  <c:v>12.625</c:v>
                </c:pt>
                <c:pt idx="152">
                  <c:v>12.708333333333334</c:v>
                </c:pt>
                <c:pt idx="153">
                  <c:v>12.791666666666666</c:v>
                </c:pt>
                <c:pt idx="154">
                  <c:v>12.875</c:v>
                </c:pt>
                <c:pt idx="155">
                  <c:v>12.958333333333334</c:v>
                </c:pt>
                <c:pt idx="156">
                  <c:v>13.041666666666666</c:v>
                </c:pt>
                <c:pt idx="157">
                  <c:v>13.125</c:v>
                </c:pt>
                <c:pt idx="158">
                  <c:v>13.208333333333334</c:v>
                </c:pt>
                <c:pt idx="159">
                  <c:v>13.291666666666666</c:v>
                </c:pt>
                <c:pt idx="160">
                  <c:v>13.375</c:v>
                </c:pt>
                <c:pt idx="161">
                  <c:v>13.458333333333334</c:v>
                </c:pt>
                <c:pt idx="162">
                  <c:v>13.541666666666666</c:v>
                </c:pt>
                <c:pt idx="163">
                  <c:v>13.625</c:v>
                </c:pt>
                <c:pt idx="164">
                  <c:v>13.708333333333334</c:v>
                </c:pt>
                <c:pt idx="165">
                  <c:v>13.791666666666666</c:v>
                </c:pt>
                <c:pt idx="166">
                  <c:v>13.875</c:v>
                </c:pt>
                <c:pt idx="167">
                  <c:v>13.958333333333334</c:v>
                </c:pt>
                <c:pt idx="168">
                  <c:v>14.041666666666666</c:v>
                </c:pt>
                <c:pt idx="169">
                  <c:v>14.125</c:v>
                </c:pt>
                <c:pt idx="170">
                  <c:v>14.208333333333334</c:v>
                </c:pt>
                <c:pt idx="171">
                  <c:v>14.291666666666666</c:v>
                </c:pt>
                <c:pt idx="172">
                  <c:v>14.375</c:v>
                </c:pt>
                <c:pt idx="173">
                  <c:v>14.458333333333334</c:v>
                </c:pt>
                <c:pt idx="174">
                  <c:v>14.541666666666666</c:v>
                </c:pt>
                <c:pt idx="175">
                  <c:v>14.625</c:v>
                </c:pt>
                <c:pt idx="176">
                  <c:v>14.708333333333334</c:v>
                </c:pt>
                <c:pt idx="177">
                  <c:v>14.791666666666666</c:v>
                </c:pt>
                <c:pt idx="178">
                  <c:v>14.875</c:v>
                </c:pt>
                <c:pt idx="179">
                  <c:v>14.958333333333334</c:v>
                </c:pt>
                <c:pt idx="180">
                  <c:v>15.041666666666666</c:v>
                </c:pt>
                <c:pt idx="181">
                  <c:v>15.125</c:v>
                </c:pt>
                <c:pt idx="182">
                  <c:v>15.208333333333334</c:v>
                </c:pt>
                <c:pt idx="183">
                  <c:v>15.291666666666666</c:v>
                </c:pt>
                <c:pt idx="184">
                  <c:v>15.375</c:v>
                </c:pt>
                <c:pt idx="185">
                  <c:v>15.458333333333334</c:v>
                </c:pt>
                <c:pt idx="186">
                  <c:v>15.541666666666666</c:v>
                </c:pt>
                <c:pt idx="187">
                  <c:v>15.625</c:v>
                </c:pt>
                <c:pt idx="188">
                  <c:v>15.708333333333334</c:v>
                </c:pt>
                <c:pt idx="189">
                  <c:v>15.791666666666666</c:v>
                </c:pt>
                <c:pt idx="190">
                  <c:v>15.875</c:v>
                </c:pt>
                <c:pt idx="191">
                  <c:v>15.958333333333334</c:v>
                </c:pt>
                <c:pt idx="192">
                  <c:v>16.041666666666668</c:v>
                </c:pt>
                <c:pt idx="193">
                  <c:v>16.125</c:v>
                </c:pt>
                <c:pt idx="194">
                  <c:v>16.208333333333332</c:v>
                </c:pt>
                <c:pt idx="195">
                  <c:v>16.291666666666668</c:v>
                </c:pt>
                <c:pt idx="196">
                  <c:v>16.375</c:v>
                </c:pt>
                <c:pt idx="197">
                  <c:v>16.458333333333332</c:v>
                </c:pt>
                <c:pt idx="198">
                  <c:v>16.541666666666668</c:v>
                </c:pt>
                <c:pt idx="199">
                  <c:v>16.625</c:v>
                </c:pt>
                <c:pt idx="200">
                  <c:v>16.708333333333332</c:v>
                </c:pt>
                <c:pt idx="201">
                  <c:v>16.791666666666668</c:v>
                </c:pt>
                <c:pt idx="202">
                  <c:v>16.875</c:v>
                </c:pt>
                <c:pt idx="203">
                  <c:v>16.958333333333332</c:v>
                </c:pt>
                <c:pt idx="204">
                  <c:v>17.041666666666668</c:v>
                </c:pt>
                <c:pt idx="205">
                  <c:v>17.125</c:v>
                </c:pt>
                <c:pt idx="206">
                  <c:v>17.208333333333332</c:v>
                </c:pt>
                <c:pt idx="207">
                  <c:v>17.291666666666668</c:v>
                </c:pt>
                <c:pt idx="208">
                  <c:v>17.375</c:v>
                </c:pt>
                <c:pt idx="209">
                  <c:v>17.458333333333332</c:v>
                </c:pt>
                <c:pt idx="210">
                  <c:v>17.541666666666668</c:v>
                </c:pt>
                <c:pt idx="211">
                  <c:v>17.625</c:v>
                </c:pt>
                <c:pt idx="212">
                  <c:v>17.708333333333332</c:v>
                </c:pt>
                <c:pt idx="213">
                  <c:v>17.791666666666668</c:v>
                </c:pt>
                <c:pt idx="214">
                  <c:v>17.875</c:v>
                </c:pt>
                <c:pt idx="215">
                  <c:v>17.958333333333332</c:v>
                </c:pt>
                <c:pt idx="216">
                  <c:v>18.041666666666668</c:v>
                </c:pt>
                <c:pt idx="217">
                  <c:v>18.125</c:v>
                </c:pt>
                <c:pt idx="218">
                  <c:v>18.208333333333332</c:v>
                </c:pt>
                <c:pt idx="219">
                  <c:v>18.291666666666668</c:v>
                </c:pt>
                <c:pt idx="220">
                  <c:v>18.375</c:v>
                </c:pt>
                <c:pt idx="221">
                  <c:v>18.458333333333332</c:v>
                </c:pt>
                <c:pt idx="222">
                  <c:v>18.541666666666668</c:v>
                </c:pt>
                <c:pt idx="223">
                  <c:v>18.625</c:v>
                </c:pt>
                <c:pt idx="224">
                  <c:v>18.708333333333332</c:v>
                </c:pt>
                <c:pt idx="225">
                  <c:v>18.791666666666668</c:v>
                </c:pt>
                <c:pt idx="226">
                  <c:v>18.875</c:v>
                </c:pt>
                <c:pt idx="227">
                  <c:v>18.958333333333332</c:v>
                </c:pt>
                <c:pt idx="228">
                  <c:v>19.041666666666668</c:v>
                </c:pt>
                <c:pt idx="229">
                  <c:v>19.125</c:v>
                </c:pt>
                <c:pt idx="230">
                  <c:v>19.208333333333332</c:v>
                </c:pt>
                <c:pt idx="231">
                  <c:v>19.291666666666668</c:v>
                </c:pt>
                <c:pt idx="232">
                  <c:v>19.375</c:v>
                </c:pt>
                <c:pt idx="233">
                  <c:v>19.458333333333332</c:v>
                </c:pt>
                <c:pt idx="234">
                  <c:v>19.541666666666668</c:v>
                </c:pt>
                <c:pt idx="235">
                  <c:v>19.625</c:v>
                </c:pt>
                <c:pt idx="236">
                  <c:v>19.708333333333332</c:v>
                </c:pt>
                <c:pt idx="237">
                  <c:v>19.791666666666668</c:v>
                </c:pt>
                <c:pt idx="238">
                  <c:v>19.875</c:v>
                </c:pt>
                <c:pt idx="239">
                  <c:v>19.958333333333332</c:v>
                </c:pt>
                <c:pt idx="240">
                  <c:v>20</c:v>
                </c:pt>
              </c:numCache>
            </c:numRef>
          </c:xVal>
          <c:yVal>
            <c:numRef>
              <c:f>length4age!$J$2:$J$242</c:f>
              <c:numCache>
                <c:formatCode>General</c:formatCode>
                <c:ptCount val="241"/>
                <c:pt idx="0">
                  <c:v>49.988884079000002</c:v>
                </c:pt>
                <c:pt idx="1">
                  <c:v>52.695975300999997</c:v>
                </c:pt>
                <c:pt idx="2">
                  <c:v>56.628428552000003</c:v>
                </c:pt>
                <c:pt idx="3">
                  <c:v>59.608953427000003</c:v>
                </c:pt>
                <c:pt idx="4">
                  <c:v>62.077000265999999</c:v>
                </c:pt>
                <c:pt idx="5">
                  <c:v>64.216864103999995</c:v>
                </c:pt>
                <c:pt idx="6">
                  <c:v>66.125314897999999</c:v>
                </c:pt>
                <c:pt idx="7">
                  <c:v>67.860179904000006</c:v>
                </c:pt>
                <c:pt idx="8">
                  <c:v>69.459084582000003</c:v>
                </c:pt>
                <c:pt idx="9">
                  <c:v>70.948039123000001</c:v>
                </c:pt>
                <c:pt idx="10">
                  <c:v>72.345861108999998</c:v>
                </c:pt>
                <c:pt idx="11">
                  <c:v>73.666654102999999</c:v>
                </c:pt>
                <c:pt idx="12">
                  <c:v>74.921297174000003</c:v>
                </c:pt>
                <c:pt idx="13">
                  <c:v>76.118375357999994</c:v>
                </c:pt>
                <c:pt idx="14">
                  <c:v>77.264799111000002</c:v>
                </c:pt>
                <c:pt idx="15">
                  <c:v>78.366223086999995</c:v>
                </c:pt>
                <c:pt idx="16">
                  <c:v>79.427340501000003</c:v>
                </c:pt>
                <c:pt idx="17">
                  <c:v>80.452094919000004</c:v>
                </c:pt>
                <c:pt idx="18">
                  <c:v>81.443836034</c:v>
                </c:pt>
                <c:pt idx="19">
                  <c:v>82.405436433999995</c:v>
                </c:pt>
                <c:pt idx="20">
                  <c:v>83.339380626999997</c:v>
                </c:pt>
                <c:pt idx="21">
                  <c:v>84.247833944000007</c:v>
                </c:pt>
                <c:pt idx="22">
                  <c:v>85.132696574999997</c:v>
                </c:pt>
                <c:pt idx="23">
                  <c:v>85.995648802999995</c:v>
                </c:pt>
                <c:pt idx="24">
                  <c:v>86.861609340000001</c:v>
                </c:pt>
                <c:pt idx="25">
                  <c:v>87.65247282</c:v>
                </c:pt>
                <c:pt idx="26">
                  <c:v>88.423264340000003</c:v>
                </c:pt>
                <c:pt idx="27">
                  <c:v>89.17549228</c:v>
                </c:pt>
                <c:pt idx="28">
                  <c:v>89.910408529999998</c:v>
                </c:pt>
                <c:pt idx="29">
                  <c:v>90.629077620000004</c:v>
                </c:pt>
                <c:pt idx="30">
                  <c:v>91.332423790000007</c:v>
                </c:pt>
                <c:pt idx="31">
                  <c:v>92.021271670000004</c:v>
                </c:pt>
                <c:pt idx="32">
                  <c:v>92.696379460000003</c:v>
                </c:pt>
                <c:pt idx="33">
                  <c:v>93.358465460000005</c:v>
                </c:pt>
                <c:pt idx="34">
                  <c:v>94.008229229999998</c:v>
                </c:pt>
                <c:pt idx="35">
                  <c:v>94.646369809999996</c:v>
                </c:pt>
                <c:pt idx="36">
                  <c:v>95.273591060000001</c:v>
                </c:pt>
                <c:pt idx="37">
                  <c:v>95.914749290000003</c:v>
                </c:pt>
                <c:pt idx="38">
                  <c:v>96.547343280000007</c:v>
                </c:pt>
                <c:pt idx="39">
                  <c:v>97.171913090000004</c:v>
                </c:pt>
                <c:pt idx="40">
                  <c:v>97.788977270000004</c:v>
                </c:pt>
                <c:pt idx="41">
                  <c:v>98.399028299999998</c:v>
                </c:pt>
                <c:pt idx="42">
                  <c:v>99.002543380000006</c:v>
                </c:pt>
                <c:pt idx="43">
                  <c:v>99.599976999999996</c:v>
                </c:pt>
                <c:pt idx="44">
                  <c:v>100.19176400000001</c:v>
                </c:pt>
                <c:pt idx="45">
                  <c:v>100.77831980000001</c:v>
                </c:pt>
                <c:pt idx="46">
                  <c:v>101.3600411</c:v>
                </c:pt>
                <c:pt idx="47">
                  <c:v>101.9373058</c:v>
                </c:pt>
                <c:pt idx="48">
                  <c:v>102.5104735</c:v>
                </c:pt>
                <c:pt idx="49">
                  <c:v>103.07988520000001</c:v>
                </c:pt>
                <c:pt idx="50">
                  <c:v>103.645864</c:v>
                </c:pt>
                <c:pt idx="51">
                  <c:v>104.208713</c:v>
                </c:pt>
                <c:pt idx="52">
                  <c:v>104.7687256</c:v>
                </c:pt>
                <c:pt idx="53">
                  <c:v>105.3261638</c:v>
                </c:pt>
                <c:pt idx="54">
                  <c:v>105.8812823</c:v>
                </c:pt>
                <c:pt idx="55">
                  <c:v>106.43431459999999</c:v>
                </c:pt>
                <c:pt idx="56">
                  <c:v>106.98547689999999</c:v>
                </c:pt>
                <c:pt idx="57">
                  <c:v>107.53496800000001</c:v>
                </c:pt>
                <c:pt idx="58">
                  <c:v>108.0829695</c:v>
                </c:pt>
                <c:pt idx="59">
                  <c:v>108.6296457</c:v>
                </c:pt>
                <c:pt idx="60">
                  <c:v>109.1751441</c:v>
                </c:pt>
                <c:pt idx="61">
                  <c:v>109.7195954</c:v>
                </c:pt>
                <c:pt idx="62">
                  <c:v>110.2631136</c:v>
                </c:pt>
                <c:pt idx="63">
                  <c:v>110.8057967</c:v>
                </c:pt>
                <c:pt idx="64">
                  <c:v>111.34772649999999</c:v>
                </c:pt>
                <c:pt idx="65">
                  <c:v>111.88896939999999</c:v>
                </c:pt>
                <c:pt idx="66">
                  <c:v>112.42957610000001</c:v>
                </c:pt>
                <c:pt idx="67">
                  <c:v>112.9695827</c:v>
                </c:pt>
                <c:pt idx="68">
                  <c:v>113.5090108</c:v>
                </c:pt>
                <c:pt idx="69">
                  <c:v>114.04786780000001</c:v>
                </c:pt>
                <c:pt idx="70">
                  <c:v>114.5861486</c:v>
                </c:pt>
                <c:pt idx="71">
                  <c:v>115.12383149999999</c:v>
                </c:pt>
                <c:pt idx="72">
                  <c:v>115.66088619999999</c:v>
                </c:pt>
                <c:pt idx="73">
                  <c:v>116.1972691</c:v>
                </c:pt>
                <c:pt idx="74">
                  <c:v>116.73292499999999</c:v>
                </c:pt>
                <c:pt idx="75">
                  <c:v>117.2677879</c:v>
                </c:pt>
                <c:pt idx="76">
                  <c:v>117.80178189999999</c:v>
                </c:pt>
                <c:pt idx="77">
                  <c:v>118.3348215</c:v>
                </c:pt>
                <c:pt idx="78">
                  <c:v>118.86681230000001</c:v>
                </c:pt>
                <c:pt idx="79">
                  <c:v>119.39765199999999</c:v>
                </c:pt>
                <c:pt idx="80">
                  <c:v>119.9272309</c:v>
                </c:pt>
                <c:pt idx="81">
                  <c:v>120.455433</c:v>
                </c:pt>
                <c:pt idx="82">
                  <c:v>120.9821362</c:v>
                </c:pt>
                <c:pt idx="83">
                  <c:v>121.5072136</c:v>
                </c:pt>
                <c:pt idx="84">
                  <c:v>122.03053420000001</c:v>
                </c:pt>
                <c:pt idx="85">
                  <c:v>122.55196340000001</c:v>
                </c:pt>
                <c:pt idx="86">
                  <c:v>123.0713645</c:v>
                </c:pt>
                <c:pt idx="87">
                  <c:v>123.588599</c:v>
                </c:pt>
                <c:pt idx="88">
                  <c:v>124.10353120000001</c:v>
                </c:pt>
                <c:pt idx="89">
                  <c:v>124.6160161</c:v>
                </c:pt>
                <c:pt idx="90">
                  <c:v>125.1259182</c:v>
                </c:pt>
                <c:pt idx="91">
                  <c:v>125.6331012</c:v>
                </c:pt>
                <c:pt idx="92">
                  <c:v>126.1374319</c:v>
                </c:pt>
                <c:pt idx="93">
                  <c:v>126.6387804</c:v>
                </c:pt>
                <c:pt idx="94">
                  <c:v>127.13702170000001</c:v>
                </c:pt>
                <c:pt idx="95">
                  <c:v>127.6320362</c:v>
                </c:pt>
                <c:pt idx="96">
                  <c:v>128.12371039999999</c:v>
                </c:pt>
                <c:pt idx="97">
                  <c:v>128.61193829999999</c:v>
                </c:pt>
                <c:pt idx="98">
                  <c:v>129.096622</c:v>
                </c:pt>
                <c:pt idx="99">
                  <c:v>129.57767229999999</c:v>
                </c:pt>
                <c:pt idx="100">
                  <c:v>130.0550101</c:v>
                </c:pt>
                <c:pt idx="101">
                  <c:v>130.52856689999999</c:v>
                </c:pt>
                <c:pt idx="102">
                  <c:v>130.9982857</c:v>
                </c:pt>
                <c:pt idx="103">
                  <c:v>131.46412179999999</c:v>
                </c:pt>
                <c:pt idx="104">
                  <c:v>131.9260439</c:v>
                </c:pt>
                <c:pt idx="105">
                  <c:v>132.38403479999999</c:v>
                </c:pt>
                <c:pt idx="106">
                  <c:v>132.83809199999999</c:v>
                </c:pt>
                <c:pt idx="107">
                  <c:v>133.2882291</c:v>
                </c:pt>
                <c:pt idx="108">
                  <c:v>133.73447590000001</c:v>
                </c:pt>
                <c:pt idx="109">
                  <c:v>134.17688010000001</c:v>
                </c:pt>
                <c:pt idx="110">
                  <c:v>134.6155076</c:v>
                </c:pt>
                <c:pt idx="111">
                  <c:v>135.05044330000001</c:v>
                </c:pt>
                <c:pt idx="112">
                  <c:v>135.48179250000001</c:v>
                </c:pt>
                <c:pt idx="113">
                  <c:v>135.90968129999999</c:v>
                </c:pt>
                <c:pt idx="114">
                  <c:v>136.33425769999999</c:v>
                </c:pt>
                <c:pt idx="115">
                  <c:v>136.75569229999999</c:v>
                </c:pt>
                <c:pt idx="116">
                  <c:v>137.17417940000001</c:v>
                </c:pt>
                <c:pt idx="117">
                  <c:v>137.5899378</c:v>
                </c:pt>
                <c:pt idx="118">
                  <c:v>138.0032114</c:v>
                </c:pt>
                <c:pt idx="119">
                  <c:v>138.4142703</c:v>
                </c:pt>
                <c:pt idx="120">
                  <c:v>138.8234114</c:v>
                </c:pt>
                <c:pt idx="121">
                  <c:v>139.2309592</c:v>
                </c:pt>
                <c:pt idx="122">
                  <c:v>139.63726629999999</c:v>
                </c:pt>
                <c:pt idx="123">
                  <c:v>140.04271399999999</c:v>
                </c:pt>
                <c:pt idx="124">
                  <c:v>140.44771270000001</c:v>
                </c:pt>
                <c:pt idx="125">
                  <c:v>140.85270220000001</c:v>
                </c:pt>
                <c:pt idx="126">
                  <c:v>141.2581515</c:v>
                </c:pt>
                <c:pt idx="127">
                  <c:v>141.66455920000001</c:v>
                </c:pt>
                <c:pt idx="128">
                  <c:v>142.072452</c:v>
                </c:pt>
                <c:pt idx="129">
                  <c:v>142.48238520000001</c:v>
                </c:pt>
                <c:pt idx="130">
                  <c:v>142.8949403</c:v>
                </c:pt>
                <c:pt idx="131">
                  <c:v>143.31072409999999</c:v>
                </c:pt>
                <c:pt idx="132">
                  <c:v>143.73036629999999</c:v>
                </c:pt>
                <c:pt idx="133">
                  <c:v>144.15451669999999</c:v>
                </c:pt>
                <c:pt idx="134">
                  <c:v>144.58384140000001</c:v>
                </c:pt>
                <c:pt idx="135">
                  <c:v>145.0190192</c:v>
                </c:pt>
                <c:pt idx="136">
                  <c:v>145.4607359</c:v>
                </c:pt>
                <c:pt idx="137">
                  <c:v>145.90967839999999</c:v>
                </c:pt>
                <c:pt idx="138">
                  <c:v>146.3665278</c:v>
                </c:pt>
                <c:pt idx="139">
                  <c:v>146.83195129999999</c:v>
                </c:pt>
                <c:pt idx="140">
                  <c:v>147.3065929</c:v>
                </c:pt>
                <c:pt idx="141">
                  <c:v>147.79106350000001</c:v>
                </c:pt>
                <c:pt idx="142">
                  <c:v>148.28592939999999</c:v>
                </c:pt>
                <c:pt idx="143">
                  <c:v>148.79170060000001</c:v>
                </c:pt>
                <c:pt idx="144">
                  <c:v>149.30881780000001</c:v>
                </c:pt>
                <c:pt idx="145">
                  <c:v>149.83763909999999</c:v>
                </c:pt>
                <c:pt idx="146">
                  <c:v>150.37842670000001</c:v>
                </c:pt>
                <c:pt idx="147">
                  <c:v>150.93133309999999</c:v>
                </c:pt>
                <c:pt idx="148">
                  <c:v>151.49638870000001</c:v>
                </c:pt>
                <c:pt idx="149">
                  <c:v>152.07348970000001</c:v>
                </c:pt>
                <c:pt idx="150">
                  <c:v>152.6623878</c:v>
                </c:pt>
                <c:pt idx="151">
                  <c:v>153.26268189999999</c:v>
                </c:pt>
                <c:pt idx="152">
                  <c:v>153.87381239999999</c:v>
                </c:pt>
                <c:pt idx="153">
                  <c:v>154.495058</c:v>
                </c:pt>
                <c:pt idx="154">
                  <c:v>155.12553650000001</c:v>
                </c:pt>
                <c:pt idx="155">
                  <c:v>155.76420859999999</c:v>
                </c:pt>
                <c:pt idx="156">
                  <c:v>156.40988580000001</c:v>
                </c:pt>
                <c:pt idx="157">
                  <c:v>157.06124149999999</c:v>
                </c:pt>
                <c:pt idx="158">
                  <c:v>157.7168289</c:v>
                </c:pt>
                <c:pt idx="159">
                  <c:v>158.3750929</c:v>
                </c:pt>
                <c:pt idx="160">
                  <c:v>159.03439900000001</c:v>
                </c:pt>
                <c:pt idx="161">
                  <c:v>159.69305009999999</c:v>
                </c:pt>
                <c:pt idx="162">
                  <c:v>160.3493168</c:v>
                </c:pt>
                <c:pt idx="163">
                  <c:v>161.00145860000001</c:v>
                </c:pt>
                <c:pt idx="164">
                  <c:v>161.6477515</c:v>
                </c:pt>
                <c:pt idx="165">
                  <c:v>162.28651189999999</c:v>
                </c:pt>
                <c:pt idx="166">
                  <c:v>162.91612019999999</c:v>
                </c:pt>
                <c:pt idx="167">
                  <c:v>163.535045</c:v>
                </c:pt>
                <c:pt idx="168">
                  <c:v>164.1418486</c:v>
                </c:pt>
                <c:pt idx="169">
                  <c:v>164.7352199</c:v>
                </c:pt>
                <c:pt idx="170">
                  <c:v>165.3139755</c:v>
                </c:pt>
                <c:pt idx="171">
                  <c:v>165.8770715</c:v>
                </c:pt>
                <c:pt idx="172">
                  <c:v>166.42360869999999</c:v>
                </c:pt>
                <c:pt idx="173">
                  <c:v>166.9528354</c:v>
                </c:pt>
                <c:pt idx="174">
                  <c:v>167.46414659999999</c:v>
                </c:pt>
                <c:pt idx="175">
                  <c:v>167.95708139999999</c:v>
                </c:pt>
                <c:pt idx="176">
                  <c:v>168.43131750000001</c:v>
                </c:pt>
                <c:pt idx="177">
                  <c:v>168.8866644</c:v>
                </c:pt>
                <c:pt idx="178">
                  <c:v>169.32305479999999</c:v>
                </c:pt>
                <c:pt idx="179">
                  <c:v>169.74053509999999</c:v>
                </c:pt>
                <c:pt idx="180">
                  <c:v>170.13925499999999</c:v>
                </c:pt>
                <c:pt idx="181">
                  <c:v>170.51945670000001</c:v>
                </c:pt>
                <c:pt idx="182">
                  <c:v>170.88146399999999</c:v>
                </c:pt>
                <c:pt idx="183">
                  <c:v>171.22567169999999</c:v>
                </c:pt>
                <c:pt idx="184">
                  <c:v>171.55253450000001</c:v>
                </c:pt>
                <c:pt idx="185">
                  <c:v>171.8625576</c:v>
                </c:pt>
                <c:pt idx="186">
                  <c:v>172.15628649999999</c:v>
                </c:pt>
                <c:pt idx="187">
                  <c:v>172.43429829999999</c:v>
                </c:pt>
                <c:pt idx="188">
                  <c:v>172.6971935</c:v>
                </c:pt>
                <c:pt idx="189">
                  <c:v>172.94558979999999</c:v>
                </c:pt>
                <c:pt idx="190">
                  <c:v>173.18011200000001</c:v>
                </c:pt>
                <c:pt idx="191">
                  <c:v>173.40138959999999</c:v>
                </c:pt>
                <c:pt idx="192">
                  <c:v>173.61005180000001</c:v>
                </c:pt>
                <c:pt idx="193">
                  <c:v>173.8067179</c:v>
                </c:pt>
                <c:pt idx="194">
                  <c:v>173.9919998</c:v>
                </c:pt>
                <c:pt idx="195">
                  <c:v>174.16649509999999</c:v>
                </c:pt>
                <c:pt idx="196">
                  <c:v>174.33078549999999</c:v>
                </c:pt>
                <c:pt idx="197">
                  <c:v>174.4854344</c:v>
                </c:pt>
                <c:pt idx="198">
                  <c:v>174.6309856</c:v>
                </c:pt>
                <c:pt idx="199">
                  <c:v>174.7679617</c:v>
                </c:pt>
                <c:pt idx="200">
                  <c:v>174.8968634</c:v>
                </c:pt>
                <c:pt idx="201">
                  <c:v>175.01816909999999</c:v>
                </c:pt>
                <c:pt idx="202">
                  <c:v>175.13233450000001</c:v>
                </c:pt>
                <c:pt idx="203">
                  <c:v>175.23979259999999</c:v>
                </c:pt>
                <c:pt idx="204">
                  <c:v>175.34095400000001</c:v>
                </c:pt>
                <c:pt idx="205">
                  <c:v>175.43620709999999</c:v>
                </c:pt>
                <c:pt idx="206">
                  <c:v>175.52591910000001</c:v>
                </c:pt>
                <c:pt idx="207">
                  <c:v>175.6104358</c:v>
                </c:pt>
                <c:pt idx="208">
                  <c:v>175.69008299999999</c:v>
                </c:pt>
                <c:pt idx="209">
                  <c:v>175.76516710000001</c:v>
                </c:pt>
                <c:pt idx="210">
                  <c:v>175.83597570000001</c:v>
                </c:pt>
                <c:pt idx="211">
                  <c:v>175.90277879999999</c:v>
                </c:pt>
                <c:pt idx="212">
                  <c:v>175.9658293</c:v>
                </c:pt>
                <c:pt idx="213">
                  <c:v>176.02536409999999</c:v>
                </c:pt>
                <c:pt idx="214">
                  <c:v>176.081605</c:v>
                </c:pt>
                <c:pt idx="215">
                  <c:v>176.13475930000001</c:v>
                </c:pt>
                <c:pt idx="216">
                  <c:v>176.18502079999999</c:v>
                </c:pt>
                <c:pt idx="217">
                  <c:v>176.2325707</c:v>
                </c:pt>
                <c:pt idx="218">
                  <c:v>176.2775781</c:v>
                </c:pt>
                <c:pt idx="219">
                  <c:v>176.32020080000001</c:v>
                </c:pt>
                <c:pt idx="220">
                  <c:v>176.36058639999999</c:v>
                </c:pt>
                <c:pt idx="221">
                  <c:v>176.39887250000001</c:v>
                </c:pt>
                <c:pt idx="222">
                  <c:v>176.43518739999999</c:v>
                </c:pt>
                <c:pt idx="223">
                  <c:v>176.469651</c:v>
                </c:pt>
                <c:pt idx="224">
                  <c:v>176.50237509999999</c:v>
                </c:pt>
                <c:pt idx="225">
                  <c:v>176.53346400000001</c:v>
                </c:pt>
                <c:pt idx="226">
                  <c:v>176.56301529999999</c:v>
                </c:pt>
                <c:pt idx="227">
                  <c:v>176.59111970000001</c:v>
                </c:pt>
                <c:pt idx="228">
                  <c:v>176.6178621</c:v>
                </c:pt>
                <c:pt idx="229">
                  <c:v>176.64332189999999</c:v>
                </c:pt>
                <c:pt idx="230">
                  <c:v>176.66757290000001</c:v>
                </c:pt>
                <c:pt idx="231">
                  <c:v>176.69068440000001</c:v>
                </c:pt>
                <c:pt idx="232">
                  <c:v>176.71272099999999</c:v>
                </c:pt>
                <c:pt idx="233">
                  <c:v>176.733743</c:v>
                </c:pt>
                <c:pt idx="234">
                  <c:v>176.75380699999999</c:v>
                </c:pt>
                <c:pt idx="235">
                  <c:v>176.77296569999999</c:v>
                </c:pt>
                <c:pt idx="236">
                  <c:v>176.79126869999999</c:v>
                </c:pt>
                <c:pt idx="237">
                  <c:v>176.80876219999999</c:v>
                </c:pt>
                <c:pt idx="238">
                  <c:v>176.8254895</c:v>
                </c:pt>
                <c:pt idx="239">
                  <c:v>176.8414914</c:v>
                </c:pt>
                <c:pt idx="240">
                  <c:v>176.84923219999999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350-4504-82E8-CD672D813146}"/>
            </c:ext>
          </c:extLst>
        </c:ser>
        <c:ser>
          <c:idx val="6"/>
          <c:order val="7"/>
          <c:tx>
            <c:v>P75 boys</c:v>
          </c:tx>
          <c:spPr>
            <a:ln w="6350" cap="rnd">
              <a:solidFill>
                <a:srgbClr val="00B0F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length4age!$B$2:$B$242</c:f>
              <c:numCache>
                <c:formatCode>0.00</c:formatCode>
                <c:ptCount val="241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2.0416666666666665</c:v>
                </c:pt>
                <c:pt idx="25">
                  <c:v>2.125</c:v>
                </c:pt>
                <c:pt idx="26">
                  <c:v>2.2083333333333335</c:v>
                </c:pt>
                <c:pt idx="27">
                  <c:v>2.2916666666666665</c:v>
                </c:pt>
                <c:pt idx="28">
                  <c:v>2.375</c:v>
                </c:pt>
                <c:pt idx="29">
                  <c:v>2.4583333333333335</c:v>
                </c:pt>
                <c:pt idx="30">
                  <c:v>2.5416666666666665</c:v>
                </c:pt>
                <c:pt idx="31">
                  <c:v>2.625</c:v>
                </c:pt>
                <c:pt idx="32">
                  <c:v>2.7083333333333335</c:v>
                </c:pt>
                <c:pt idx="33">
                  <c:v>2.7916666666666665</c:v>
                </c:pt>
                <c:pt idx="34">
                  <c:v>2.875</c:v>
                </c:pt>
                <c:pt idx="35">
                  <c:v>2.9583333333333335</c:v>
                </c:pt>
                <c:pt idx="36">
                  <c:v>3.0416666666666665</c:v>
                </c:pt>
                <c:pt idx="37">
                  <c:v>3.125</c:v>
                </c:pt>
                <c:pt idx="38">
                  <c:v>3.2083333333333335</c:v>
                </c:pt>
                <c:pt idx="39">
                  <c:v>3.2916666666666665</c:v>
                </c:pt>
                <c:pt idx="40">
                  <c:v>3.375</c:v>
                </c:pt>
                <c:pt idx="41">
                  <c:v>3.4583333333333335</c:v>
                </c:pt>
                <c:pt idx="42">
                  <c:v>3.5416666666666665</c:v>
                </c:pt>
                <c:pt idx="43">
                  <c:v>3.625</c:v>
                </c:pt>
                <c:pt idx="44">
                  <c:v>3.7083333333333335</c:v>
                </c:pt>
                <c:pt idx="45">
                  <c:v>3.7916666666666665</c:v>
                </c:pt>
                <c:pt idx="46">
                  <c:v>3.875</c:v>
                </c:pt>
                <c:pt idx="47">
                  <c:v>3.9583333333333335</c:v>
                </c:pt>
                <c:pt idx="48">
                  <c:v>4.041666666666667</c:v>
                </c:pt>
                <c:pt idx="49">
                  <c:v>4.125</c:v>
                </c:pt>
                <c:pt idx="50">
                  <c:v>4.208333333333333</c:v>
                </c:pt>
                <c:pt idx="51">
                  <c:v>4.291666666666667</c:v>
                </c:pt>
                <c:pt idx="52">
                  <c:v>4.375</c:v>
                </c:pt>
                <c:pt idx="53">
                  <c:v>4.458333333333333</c:v>
                </c:pt>
                <c:pt idx="54">
                  <c:v>4.541666666666667</c:v>
                </c:pt>
                <c:pt idx="55">
                  <c:v>4.625</c:v>
                </c:pt>
                <c:pt idx="56">
                  <c:v>4.708333333333333</c:v>
                </c:pt>
                <c:pt idx="57">
                  <c:v>4.791666666666667</c:v>
                </c:pt>
                <c:pt idx="58">
                  <c:v>4.875</c:v>
                </c:pt>
                <c:pt idx="59">
                  <c:v>4.958333333333333</c:v>
                </c:pt>
                <c:pt idx="60">
                  <c:v>5.041666666666667</c:v>
                </c:pt>
                <c:pt idx="61">
                  <c:v>5.125</c:v>
                </c:pt>
                <c:pt idx="62">
                  <c:v>5.208333333333333</c:v>
                </c:pt>
                <c:pt idx="63">
                  <c:v>5.291666666666667</c:v>
                </c:pt>
                <c:pt idx="64">
                  <c:v>5.375</c:v>
                </c:pt>
                <c:pt idx="65">
                  <c:v>5.458333333333333</c:v>
                </c:pt>
                <c:pt idx="66">
                  <c:v>5.541666666666667</c:v>
                </c:pt>
                <c:pt idx="67">
                  <c:v>5.625</c:v>
                </c:pt>
                <c:pt idx="68">
                  <c:v>5.708333333333333</c:v>
                </c:pt>
                <c:pt idx="69">
                  <c:v>5.791666666666667</c:v>
                </c:pt>
                <c:pt idx="70">
                  <c:v>5.875</c:v>
                </c:pt>
                <c:pt idx="71">
                  <c:v>5.958333333333333</c:v>
                </c:pt>
                <c:pt idx="72">
                  <c:v>6.041666666666667</c:v>
                </c:pt>
                <c:pt idx="73">
                  <c:v>6.125</c:v>
                </c:pt>
                <c:pt idx="74">
                  <c:v>6.208333333333333</c:v>
                </c:pt>
                <c:pt idx="75">
                  <c:v>6.291666666666667</c:v>
                </c:pt>
                <c:pt idx="76">
                  <c:v>6.375</c:v>
                </c:pt>
                <c:pt idx="77">
                  <c:v>6.458333333333333</c:v>
                </c:pt>
                <c:pt idx="78">
                  <c:v>6.541666666666667</c:v>
                </c:pt>
                <c:pt idx="79">
                  <c:v>6.625</c:v>
                </c:pt>
                <c:pt idx="80">
                  <c:v>6.708333333333333</c:v>
                </c:pt>
                <c:pt idx="81">
                  <c:v>6.791666666666667</c:v>
                </c:pt>
                <c:pt idx="82">
                  <c:v>6.875</c:v>
                </c:pt>
                <c:pt idx="83">
                  <c:v>6.958333333333333</c:v>
                </c:pt>
                <c:pt idx="84">
                  <c:v>7.041666666666667</c:v>
                </c:pt>
                <c:pt idx="85">
                  <c:v>7.125</c:v>
                </c:pt>
                <c:pt idx="86">
                  <c:v>7.208333333333333</c:v>
                </c:pt>
                <c:pt idx="87">
                  <c:v>7.291666666666667</c:v>
                </c:pt>
                <c:pt idx="88">
                  <c:v>7.375</c:v>
                </c:pt>
                <c:pt idx="89">
                  <c:v>7.458333333333333</c:v>
                </c:pt>
                <c:pt idx="90">
                  <c:v>7.541666666666667</c:v>
                </c:pt>
                <c:pt idx="91">
                  <c:v>7.625</c:v>
                </c:pt>
                <c:pt idx="92">
                  <c:v>7.708333333333333</c:v>
                </c:pt>
                <c:pt idx="93">
                  <c:v>7.791666666666667</c:v>
                </c:pt>
                <c:pt idx="94">
                  <c:v>7.875</c:v>
                </c:pt>
                <c:pt idx="95">
                  <c:v>7.958333333333333</c:v>
                </c:pt>
                <c:pt idx="96">
                  <c:v>8.0416666666666661</c:v>
                </c:pt>
                <c:pt idx="97">
                  <c:v>8.125</c:v>
                </c:pt>
                <c:pt idx="98">
                  <c:v>8.2083333333333339</c:v>
                </c:pt>
                <c:pt idx="99">
                  <c:v>8.2916666666666661</c:v>
                </c:pt>
                <c:pt idx="100">
                  <c:v>8.375</c:v>
                </c:pt>
                <c:pt idx="101">
                  <c:v>8.4583333333333339</c:v>
                </c:pt>
                <c:pt idx="102">
                  <c:v>8.5416666666666661</c:v>
                </c:pt>
                <c:pt idx="103">
                  <c:v>8.625</c:v>
                </c:pt>
                <c:pt idx="104">
                  <c:v>8.7083333333333339</c:v>
                </c:pt>
                <c:pt idx="105">
                  <c:v>8.7916666666666661</c:v>
                </c:pt>
                <c:pt idx="106">
                  <c:v>8.875</c:v>
                </c:pt>
                <c:pt idx="107">
                  <c:v>8.9583333333333339</c:v>
                </c:pt>
                <c:pt idx="108">
                  <c:v>9.0416666666666661</c:v>
                </c:pt>
                <c:pt idx="109">
                  <c:v>9.125</c:v>
                </c:pt>
                <c:pt idx="110">
                  <c:v>9.2083333333333339</c:v>
                </c:pt>
                <c:pt idx="111">
                  <c:v>9.2916666666666661</c:v>
                </c:pt>
                <c:pt idx="112">
                  <c:v>9.375</c:v>
                </c:pt>
                <c:pt idx="113">
                  <c:v>9.4583333333333339</c:v>
                </c:pt>
                <c:pt idx="114">
                  <c:v>9.5416666666666661</c:v>
                </c:pt>
                <c:pt idx="115">
                  <c:v>9.625</c:v>
                </c:pt>
                <c:pt idx="116">
                  <c:v>9.7083333333333339</c:v>
                </c:pt>
                <c:pt idx="117">
                  <c:v>9.7916666666666661</c:v>
                </c:pt>
                <c:pt idx="118">
                  <c:v>9.875</c:v>
                </c:pt>
                <c:pt idx="119">
                  <c:v>9.9583333333333339</c:v>
                </c:pt>
                <c:pt idx="120">
                  <c:v>10.041666666666666</c:v>
                </c:pt>
                <c:pt idx="121">
                  <c:v>10.125</c:v>
                </c:pt>
                <c:pt idx="122">
                  <c:v>10.208333333333334</c:v>
                </c:pt>
                <c:pt idx="123">
                  <c:v>10.291666666666666</c:v>
                </c:pt>
                <c:pt idx="124">
                  <c:v>10.375</c:v>
                </c:pt>
                <c:pt idx="125">
                  <c:v>10.458333333333334</c:v>
                </c:pt>
                <c:pt idx="126">
                  <c:v>10.541666666666666</c:v>
                </c:pt>
                <c:pt idx="127">
                  <c:v>10.625</c:v>
                </c:pt>
                <c:pt idx="128">
                  <c:v>10.708333333333334</c:v>
                </c:pt>
                <c:pt idx="129">
                  <c:v>10.791666666666666</c:v>
                </c:pt>
                <c:pt idx="130">
                  <c:v>10.875</c:v>
                </c:pt>
                <c:pt idx="131">
                  <c:v>10.958333333333334</c:v>
                </c:pt>
                <c:pt idx="132">
                  <c:v>11.041666666666666</c:v>
                </c:pt>
                <c:pt idx="133">
                  <c:v>11.125</c:v>
                </c:pt>
                <c:pt idx="134">
                  <c:v>11.208333333333334</c:v>
                </c:pt>
                <c:pt idx="135">
                  <c:v>11.291666666666666</c:v>
                </c:pt>
                <c:pt idx="136">
                  <c:v>11.375</c:v>
                </c:pt>
                <c:pt idx="137">
                  <c:v>11.458333333333334</c:v>
                </c:pt>
                <c:pt idx="138">
                  <c:v>11.541666666666666</c:v>
                </c:pt>
                <c:pt idx="139">
                  <c:v>11.625</c:v>
                </c:pt>
                <c:pt idx="140">
                  <c:v>11.708333333333334</c:v>
                </c:pt>
                <c:pt idx="141">
                  <c:v>11.791666666666666</c:v>
                </c:pt>
                <c:pt idx="142">
                  <c:v>11.875</c:v>
                </c:pt>
                <c:pt idx="143">
                  <c:v>11.958333333333334</c:v>
                </c:pt>
                <c:pt idx="144">
                  <c:v>12.041666666666666</c:v>
                </c:pt>
                <c:pt idx="145">
                  <c:v>12.125</c:v>
                </c:pt>
                <c:pt idx="146">
                  <c:v>12.208333333333334</c:v>
                </c:pt>
                <c:pt idx="147">
                  <c:v>12.291666666666666</c:v>
                </c:pt>
                <c:pt idx="148">
                  <c:v>12.375</c:v>
                </c:pt>
                <c:pt idx="149">
                  <c:v>12.458333333333334</c:v>
                </c:pt>
                <c:pt idx="150">
                  <c:v>12.541666666666666</c:v>
                </c:pt>
                <c:pt idx="151">
                  <c:v>12.625</c:v>
                </c:pt>
                <c:pt idx="152">
                  <c:v>12.708333333333334</c:v>
                </c:pt>
                <c:pt idx="153">
                  <c:v>12.791666666666666</c:v>
                </c:pt>
                <c:pt idx="154">
                  <c:v>12.875</c:v>
                </c:pt>
                <c:pt idx="155">
                  <c:v>12.958333333333334</c:v>
                </c:pt>
                <c:pt idx="156">
                  <c:v>13.041666666666666</c:v>
                </c:pt>
                <c:pt idx="157">
                  <c:v>13.125</c:v>
                </c:pt>
                <c:pt idx="158">
                  <c:v>13.208333333333334</c:v>
                </c:pt>
                <c:pt idx="159">
                  <c:v>13.291666666666666</c:v>
                </c:pt>
                <c:pt idx="160">
                  <c:v>13.375</c:v>
                </c:pt>
                <c:pt idx="161">
                  <c:v>13.458333333333334</c:v>
                </c:pt>
                <c:pt idx="162">
                  <c:v>13.541666666666666</c:v>
                </c:pt>
                <c:pt idx="163">
                  <c:v>13.625</c:v>
                </c:pt>
                <c:pt idx="164">
                  <c:v>13.708333333333334</c:v>
                </c:pt>
                <c:pt idx="165">
                  <c:v>13.791666666666666</c:v>
                </c:pt>
                <c:pt idx="166">
                  <c:v>13.875</c:v>
                </c:pt>
                <c:pt idx="167">
                  <c:v>13.958333333333334</c:v>
                </c:pt>
                <c:pt idx="168">
                  <c:v>14.041666666666666</c:v>
                </c:pt>
                <c:pt idx="169">
                  <c:v>14.125</c:v>
                </c:pt>
                <c:pt idx="170">
                  <c:v>14.208333333333334</c:v>
                </c:pt>
                <c:pt idx="171">
                  <c:v>14.291666666666666</c:v>
                </c:pt>
                <c:pt idx="172">
                  <c:v>14.375</c:v>
                </c:pt>
                <c:pt idx="173">
                  <c:v>14.458333333333334</c:v>
                </c:pt>
                <c:pt idx="174">
                  <c:v>14.541666666666666</c:v>
                </c:pt>
                <c:pt idx="175">
                  <c:v>14.625</c:v>
                </c:pt>
                <c:pt idx="176">
                  <c:v>14.708333333333334</c:v>
                </c:pt>
                <c:pt idx="177">
                  <c:v>14.791666666666666</c:v>
                </c:pt>
                <c:pt idx="178">
                  <c:v>14.875</c:v>
                </c:pt>
                <c:pt idx="179">
                  <c:v>14.958333333333334</c:v>
                </c:pt>
                <c:pt idx="180">
                  <c:v>15.041666666666666</c:v>
                </c:pt>
                <c:pt idx="181">
                  <c:v>15.125</c:v>
                </c:pt>
                <c:pt idx="182">
                  <c:v>15.208333333333334</c:v>
                </c:pt>
                <c:pt idx="183">
                  <c:v>15.291666666666666</c:v>
                </c:pt>
                <c:pt idx="184">
                  <c:v>15.375</c:v>
                </c:pt>
                <c:pt idx="185">
                  <c:v>15.458333333333334</c:v>
                </c:pt>
                <c:pt idx="186">
                  <c:v>15.541666666666666</c:v>
                </c:pt>
                <c:pt idx="187">
                  <c:v>15.625</c:v>
                </c:pt>
                <c:pt idx="188">
                  <c:v>15.708333333333334</c:v>
                </c:pt>
                <c:pt idx="189">
                  <c:v>15.791666666666666</c:v>
                </c:pt>
                <c:pt idx="190">
                  <c:v>15.875</c:v>
                </c:pt>
                <c:pt idx="191">
                  <c:v>15.958333333333334</c:v>
                </c:pt>
                <c:pt idx="192">
                  <c:v>16.041666666666668</c:v>
                </c:pt>
                <c:pt idx="193">
                  <c:v>16.125</c:v>
                </c:pt>
                <c:pt idx="194">
                  <c:v>16.208333333333332</c:v>
                </c:pt>
                <c:pt idx="195">
                  <c:v>16.291666666666668</c:v>
                </c:pt>
                <c:pt idx="196">
                  <c:v>16.375</c:v>
                </c:pt>
                <c:pt idx="197">
                  <c:v>16.458333333333332</c:v>
                </c:pt>
                <c:pt idx="198">
                  <c:v>16.541666666666668</c:v>
                </c:pt>
                <c:pt idx="199">
                  <c:v>16.625</c:v>
                </c:pt>
                <c:pt idx="200">
                  <c:v>16.708333333333332</c:v>
                </c:pt>
                <c:pt idx="201">
                  <c:v>16.791666666666668</c:v>
                </c:pt>
                <c:pt idx="202">
                  <c:v>16.875</c:v>
                </c:pt>
                <c:pt idx="203">
                  <c:v>16.958333333333332</c:v>
                </c:pt>
                <c:pt idx="204">
                  <c:v>17.041666666666668</c:v>
                </c:pt>
                <c:pt idx="205">
                  <c:v>17.125</c:v>
                </c:pt>
                <c:pt idx="206">
                  <c:v>17.208333333333332</c:v>
                </c:pt>
                <c:pt idx="207">
                  <c:v>17.291666666666668</c:v>
                </c:pt>
                <c:pt idx="208">
                  <c:v>17.375</c:v>
                </c:pt>
                <c:pt idx="209">
                  <c:v>17.458333333333332</c:v>
                </c:pt>
                <c:pt idx="210">
                  <c:v>17.541666666666668</c:v>
                </c:pt>
                <c:pt idx="211">
                  <c:v>17.625</c:v>
                </c:pt>
                <c:pt idx="212">
                  <c:v>17.708333333333332</c:v>
                </c:pt>
                <c:pt idx="213">
                  <c:v>17.791666666666668</c:v>
                </c:pt>
                <c:pt idx="214">
                  <c:v>17.875</c:v>
                </c:pt>
                <c:pt idx="215">
                  <c:v>17.958333333333332</c:v>
                </c:pt>
                <c:pt idx="216">
                  <c:v>18.041666666666668</c:v>
                </c:pt>
                <c:pt idx="217">
                  <c:v>18.125</c:v>
                </c:pt>
                <c:pt idx="218">
                  <c:v>18.208333333333332</c:v>
                </c:pt>
                <c:pt idx="219">
                  <c:v>18.291666666666668</c:v>
                </c:pt>
                <c:pt idx="220">
                  <c:v>18.375</c:v>
                </c:pt>
                <c:pt idx="221">
                  <c:v>18.458333333333332</c:v>
                </c:pt>
                <c:pt idx="222">
                  <c:v>18.541666666666668</c:v>
                </c:pt>
                <c:pt idx="223">
                  <c:v>18.625</c:v>
                </c:pt>
                <c:pt idx="224">
                  <c:v>18.708333333333332</c:v>
                </c:pt>
                <c:pt idx="225">
                  <c:v>18.791666666666668</c:v>
                </c:pt>
                <c:pt idx="226">
                  <c:v>18.875</c:v>
                </c:pt>
                <c:pt idx="227">
                  <c:v>18.958333333333332</c:v>
                </c:pt>
                <c:pt idx="228">
                  <c:v>19.041666666666668</c:v>
                </c:pt>
                <c:pt idx="229">
                  <c:v>19.125</c:v>
                </c:pt>
                <c:pt idx="230">
                  <c:v>19.208333333333332</c:v>
                </c:pt>
                <c:pt idx="231">
                  <c:v>19.291666666666668</c:v>
                </c:pt>
                <c:pt idx="232">
                  <c:v>19.375</c:v>
                </c:pt>
                <c:pt idx="233">
                  <c:v>19.458333333333332</c:v>
                </c:pt>
                <c:pt idx="234">
                  <c:v>19.541666666666668</c:v>
                </c:pt>
                <c:pt idx="235">
                  <c:v>19.625</c:v>
                </c:pt>
                <c:pt idx="236">
                  <c:v>19.708333333333332</c:v>
                </c:pt>
                <c:pt idx="237">
                  <c:v>19.791666666666668</c:v>
                </c:pt>
                <c:pt idx="238">
                  <c:v>19.875</c:v>
                </c:pt>
                <c:pt idx="239">
                  <c:v>19.958333333333332</c:v>
                </c:pt>
                <c:pt idx="240">
                  <c:v>20</c:v>
                </c:pt>
              </c:numCache>
            </c:numRef>
          </c:xVal>
          <c:yVal>
            <c:numRef>
              <c:f>length4age!$K$2:$K$242</c:f>
              <c:numCache>
                <c:formatCode>General</c:formatCode>
                <c:ptCount val="241"/>
                <c:pt idx="0">
                  <c:v>51.771257485263149</c:v>
                </c:pt>
                <c:pt idx="1">
                  <c:v>54.440543134085253</c:v>
                </c:pt>
                <c:pt idx="2">
                  <c:v>58.350594078349701</c:v>
                </c:pt>
                <c:pt idx="3">
                  <c:v>61.337880932010044</c:v>
                </c:pt>
                <c:pt idx="4">
                  <c:v>63.825426040579302</c:v>
                </c:pt>
                <c:pt idx="5">
                  <c:v>65.991306628738485</c:v>
                </c:pt>
                <c:pt idx="6">
                  <c:v>67.9293475879754</c:v>
                </c:pt>
                <c:pt idx="7">
                  <c:v>69.695794702787751</c:v>
                </c:pt>
                <c:pt idx="8">
                  <c:v>71.327353620223448</c:v>
                </c:pt>
                <c:pt idx="9">
                  <c:v>72.849470006457537</c:v>
                </c:pt>
                <c:pt idx="10">
                  <c:v>74.280601897828703</c:v>
                </c:pt>
                <c:pt idx="11">
                  <c:v>75.634618454568866</c:v>
                </c:pt>
                <c:pt idx="12">
                  <c:v>76.922243275740783</c:v>
                </c:pt>
                <c:pt idx="13">
                  <c:v>78.151958486302149</c:v>
                </c:pt>
                <c:pt idx="14">
                  <c:v>79.330606692699646</c:v>
                </c:pt>
                <c:pt idx="15">
                  <c:v>80.463798923386491</c:v>
                </c:pt>
                <c:pt idx="16">
                  <c:v>81.55620169106426</c:v>
                </c:pt>
                <c:pt idx="17">
                  <c:v>82.61174386834621</c:v>
                </c:pt>
                <c:pt idx="18">
                  <c:v>83.63376900118125</c:v>
                </c:pt>
                <c:pt idx="19">
                  <c:v>84.625149679001012</c:v>
                </c:pt>
                <c:pt idx="20">
                  <c:v>85.588374792406498</c:v>
                </c:pt>
                <c:pt idx="21">
                  <c:v>86.525617199812274</c:v>
                </c:pt>
                <c:pt idx="22">
                  <c:v>87.438786847558831</c:v>
                </c:pt>
                <c:pt idx="23">
                  <c:v>88.329574707196727</c:v>
                </c:pt>
                <c:pt idx="24">
                  <c:v>89.228048290000004</c:v>
                </c:pt>
                <c:pt idx="25">
                  <c:v>90.056754569999995</c:v>
                </c:pt>
                <c:pt idx="26">
                  <c:v>90.862604099999999</c:v>
                </c:pt>
                <c:pt idx="27">
                  <c:v>91.647113529999999</c:v>
                </c:pt>
                <c:pt idx="28">
                  <c:v>92.411590290000007</c:v>
                </c:pt>
                <c:pt idx="29">
                  <c:v>93.157189950000003</c:v>
                </c:pt>
                <c:pt idx="30">
                  <c:v>93.884955989999995</c:v>
                </c:pt>
                <c:pt idx="31">
                  <c:v>94.595853939999998</c:v>
                </c:pt>
                <c:pt idx="32">
                  <c:v>95.290799059999998</c:v>
                </c:pt>
                <c:pt idx="33">
                  <c:v>95.970678239999998</c:v>
                </c:pt>
                <c:pt idx="34">
                  <c:v>96.636367269999994</c:v>
                </c:pt>
                <c:pt idx="35">
                  <c:v>97.288745419999998</c:v>
                </c:pt>
                <c:pt idx="36">
                  <c:v>97.928699280000004</c:v>
                </c:pt>
                <c:pt idx="37">
                  <c:v>98.585245819999997</c:v>
                </c:pt>
                <c:pt idx="38">
                  <c:v>99.233577830000002</c:v>
                </c:pt>
                <c:pt idx="39">
                  <c:v>99.874258620000006</c:v>
                </c:pt>
                <c:pt idx="40">
                  <c:v>100.50782390000001</c:v>
                </c:pt>
                <c:pt idx="41">
                  <c:v>101.13477880000001</c:v>
                </c:pt>
                <c:pt idx="42">
                  <c:v>101.75560729999999</c:v>
                </c:pt>
                <c:pt idx="43">
                  <c:v>102.370767</c:v>
                </c:pt>
                <c:pt idx="44">
                  <c:v>102.98069169999999</c:v>
                </c:pt>
                <c:pt idx="45">
                  <c:v>103.5857927</c:v>
                </c:pt>
                <c:pt idx="46">
                  <c:v>104.186459</c:v>
                </c:pt>
                <c:pt idx="47">
                  <c:v>104.7830584</c:v>
                </c:pt>
                <c:pt idx="48">
                  <c:v>105.37593769999999</c:v>
                </c:pt>
                <c:pt idx="49">
                  <c:v>105.9654232</c:v>
                </c:pt>
                <c:pt idx="50">
                  <c:v>106.55182120000001</c:v>
                </c:pt>
                <c:pt idx="51">
                  <c:v>107.1354171</c:v>
                </c:pt>
                <c:pt idx="52">
                  <c:v>107.7164829</c:v>
                </c:pt>
                <c:pt idx="53">
                  <c:v>108.2952617</c:v>
                </c:pt>
                <c:pt idx="54">
                  <c:v>108.8719858</c:v>
                </c:pt>
                <c:pt idx="55">
                  <c:v>109.4468665</c:v>
                </c:pt>
                <c:pt idx="56">
                  <c:v>110.0200973</c:v>
                </c:pt>
                <c:pt idx="57">
                  <c:v>110.59185410000001</c:v>
                </c:pt>
                <c:pt idx="58">
                  <c:v>111.1622955</c:v>
                </c:pt>
                <c:pt idx="59">
                  <c:v>111.73156299999999</c:v>
                </c:pt>
                <c:pt idx="60">
                  <c:v>112.2997816</c:v>
                </c:pt>
                <c:pt idx="61">
                  <c:v>112.86706</c:v>
                </c:pt>
                <c:pt idx="62">
                  <c:v>113.4334909</c:v>
                </c:pt>
                <c:pt idx="63">
                  <c:v>113.9991516</c:v>
                </c:pt>
                <c:pt idx="64">
                  <c:v>114.56410440000001</c:v>
                </c:pt>
                <c:pt idx="65">
                  <c:v>115.12839700000001</c:v>
                </c:pt>
                <c:pt idx="66">
                  <c:v>115.6920629</c:v>
                </c:pt>
                <c:pt idx="67">
                  <c:v>116.25512209999999</c:v>
                </c:pt>
                <c:pt idx="68">
                  <c:v>116.81758120000001</c:v>
                </c:pt>
                <c:pt idx="69">
                  <c:v>117.3794345</c:v>
                </c:pt>
                <c:pt idx="70">
                  <c:v>117.94066479999999</c:v>
                </c:pt>
                <c:pt idx="71">
                  <c:v>118.5012409</c:v>
                </c:pt>
                <c:pt idx="72">
                  <c:v>119.0611237</c:v>
                </c:pt>
                <c:pt idx="73">
                  <c:v>119.6202624</c:v>
                </c:pt>
                <c:pt idx="74">
                  <c:v>120.17859679999999</c:v>
                </c:pt>
                <c:pt idx="75">
                  <c:v>120.73605740000001</c:v>
                </c:pt>
                <c:pt idx="76">
                  <c:v>121.2925663</c:v>
                </c:pt>
                <c:pt idx="77">
                  <c:v>121.8480376</c:v>
                </c:pt>
                <c:pt idx="78">
                  <c:v>122.40237860000001</c:v>
                </c:pt>
                <c:pt idx="79">
                  <c:v>122.9554895</c:v>
                </c:pt>
                <c:pt idx="80">
                  <c:v>123.50726520000001</c:v>
                </c:pt>
                <c:pt idx="81">
                  <c:v>124.05759500000001</c:v>
                </c:pt>
                <c:pt idx="82">
                  <c:v>124.6063638</c:v>
                </c:pt>
                <c:pt idx="83">
                  <c:v>125.1534527</c:v>
                </c:pt>
                <c:pt idx="84">
                  <c:v>125.6987395</c:v>
                </c:pt>
                <c:pt idx="85">
                  <c:v>126.2420996</c:v>
                </c:pt>
                <c:pt idx="86">
                  <c:v>126.7834065</c:v>
                </c:pt>
                <c:pt idx="87">
                  <c:v>127.3225327</c:v>
                </c:pt>
                <c:pt idx="88">
                  <c:v>127.8593529</c:v>
                </c:pt>
                <c:pt idx="89">
                  <c:v>128.39373499999999</c:v>
                </c:pt>
                <c:pt idx="90">
                  <c:v>128.92555429999999</c:v>
                </c:pt>
                <c:pt idx="91">
                  <c:v>129.45468579999999</c:v>
                </c:pt>
                <c:pt idx="92">
                  <c:v>129.9810071</c:v>
                </c:pt>
                <c:pt idx="93">
                  <c:v>130.50439900000001</c:v>
                </c:pt>
                <c:pt idx="94">
                  <c:v>131.02474599999999</c:v>
                </c:pt>
                <c:pt idx="95">
                  <c:v>131.54193749999999</c:v>
                </c:pt>
                <c:pt idx="96">
                  <c:v>132.05586840000001</c:v>
                </c:pt>
                <c:pt idx="97">
                  <c:v>132.56643969999999</c:v>
                </c:pt>
                <c:pt idx="98">
                  <c:v>133.07355949999999</c:v>
                </c:pt>
                <c:pt idx="99">
                  <c:v>133.57714379999999</c:v>
                </c:pt>
                <c:pt idx="100">
                  <c:v>134.0771172</c:v>
                </c:pt>
                <c:pt idx="101">
                  <c:v>134.5734138</c:v>
                </c:pt>
                <c:pt idx="102">
                  <c:v>135.065978</c:v>
                </c:pt>
                <c:pt idx="103">
                  <c:v>135.5547656</c:v>
                </c:pt>
                <c:pt idx="104">
                  <c:v>136.03974439999999</c:v>
                </c:pt>
                <c:pt idx="105">
                  <c:v>136.52089520000001</c:v>
                </c:pt>
                <c:pt idx="106">
                  <c:v>136.9982129</c:v>
                </c:pt>
                <c:pt idx="107">
                  <c:v>137.47170689999999</c:v>
                </c:pt>
                <c:pt idx="108">
                  <c:v>137.94140290000001</c:v>
                </c:pt>
                <c:pt idx="109">
                  <c:v>138.40734330000001</c:v>
                </c:pt>
                <c:pt idx="110">
                  <c:v>138.86958809999999</c:v>
                </c:pt>
                <c:pt idx="111">
                  <c:v>139.32821630000001</c:v>
                </c:pt>
                <c:pt idx="112">
                  <c:v>139.78332660000001</c:v>
                </c:pt>
                <c:pt idx="113">
                  <c:v>140.23503890000001</c:v>
                </c:pt>
                <c:pt idx="114">
                  <c:v>140.6834944</c:v>
                </c:pt>
                <c:pt idx="115">
                  <c:v>141.1288576</c:v>
                </c:pt>
                <c:pt idx="116">
                  <c:v>141.57131680000001</c:v>
                </c:pt>
                <c:pt idx="117">
                  <c:v>142.01108500000001</c:v>
                </c:pt>
                <c:pt idx="118">
                  <c:v>142.44840139999999</c:v>
                </c:pt>
                <c:pt idx="119">
                  <c:v>142.88353169999999</c:v>
                </c:pt>
                <c:pt idx="120">
                  <c:v>143.31676909999999</c:v>
                </c:pt>
                <c:pt idx="121">
                  <c:v>143.74843540000001</c:v>
                </c:pt>
                <c:pt idx="122">
                  <c:v>144.17888149999999</c:v>
                </c:pt>
                <c:pt idx="123">
                  <c:v>144.60848770000001</c:v>
                </c:pt>
                <c:pt idx="124">
                  <c:v>145.03766450000001</c:v>
                </c:pt>
                <c:pt idx="125">
                  <c:v>145.4668527</c:v>
                </c:pt>
                <c:pt idx="126">
                  <c:v>145.89652330000001</c:v>
                </c:pt>
                <c:pt idx="127">
                  <c:v>146.32717729999999</c:v>
                </c:pt>
                <c:pt idx="128">
                  <c:v>146.7593449</c:v>
                </c:pt>
                <c:pt idx="129">
                  <c:v>147.19358489999999</c:v>
                </c:pt>
                <c:pt idx="130">
                  <c:v>147.630483</c:v>
                </c:pt>
                <c:pt idx="131">
                  <c:v>148.07065</c:v>
                </c:pt>
                <c:pt idx="132">
                  <c:v>148.5147188</c:v>
                </c:pt>
                <c:pt idx="133">
                  <c:v>148.96334210000001</c:v>
                </c:pt>
                <c:pt idx="134">
                  <c:v>149.41718739999999</c:v>
                </c:pt>
                <c:pt idx="135">
                  <c:v>149.87693300000001</c:v>
                </c:pt>
                <c:pt idx="136">
                  <c:v>150.34326179999999</c:v>
                </c:pt>
                <c:pt idx="137">
                  <c:v>150.8168546</c:v>
                </c:pt>
                <c:pt idx="138">
                  <c:v>151.2983826</c:v>
                </c:pt>
                <c:pt idx="139">
                  <c:v>151.78849829999999</c:v>
                </c:pt>
                <c:pt idx="140">
                  <c:v>152.2878255</c:v>
                </c:pt>
                <c:pt idx="141">
                  <c:v>152.79694839999999</c:v>
                </c:pt>
                <c:pt idx="142">
                  <c:v>153.31639960000001</c:v>
                </c:pt>
                <c:pt idx="143">
                  <c:v>153.84664660000001</c:v>
                </c:pt>
                <c:pt idx="144">
                  <c:v>154.38807919999999</c:v>
                </c:pt>
                <c:pt idx="145">
                  <c:v>154.9409947</c:v>
                </c:pt>
                <c:pt idx="146">
                  <c:v>155.505584</c:v>
                </c:pt>
                <c:pt idx="147">
                  <c:v>156.0819181</c:v>
                </c:pt>
                <c:pt idx="148">
                  <c:v>156.6699351</c:v>
                </c:pt>
                <c:pt idx="149">
                  <c:v>157.2694285</c:v>
                </c:pt>
                <c:pt idx="150">
                  <c:v>157.8800378</c:v>
                </c:pt>
                <c:pt idx="151">
                  <c:v>158.5012409</c:v>
                </c:pt>
                <c:pt idx="152">
                  <c:v>159.1323501</c:v>
                </c:pt>
                <c:pt idx="153">
                  <c:v>159.7725112</c:v>
                </c:pt>
                <c:pt idx="154">
                  <c:v>160.42070620000001</c:v>
                </c:pt>
                <c:pt idx="155">
                  <c:v>161.07576030000001</c:v>
                </c:pt>
                <c:pt idx="156">
                  <c:v>161.7363527</c:v>
                </c:pt>
                <c:pt idx="157">
                  <c:v>162.40103110000001</c:v>
                </c:pt>
                <c:pt idx="158">
                  <c:v>163.06823209999999</c:v>
                </c:pt>
                <c:pt idx="159">
                  <c:v>163.73629819999999</c:v>
                </c:pt>
                <c:pt idx="160">
                  <c:v>164.40350749999999</c:v>
                </c:pt>
                <c:pt idx="161">
                  <c:v>165.06809480000001</c:v>
                </c:pt>
                <c:pt idx="162">
                  <c:v>165.72828229999999</c:v>
                </c:pt>
                <c:pt idx="163">
                  <c:v>166.38230419999999</c:v>
                </c:pt>
                <c:pt idx="164">
                  <c:v>167.02843379999999</c:v>
                </c:pt>
                <c:pt idx="165">
                  <c:v>167.6650085</c:v>
                </c:pt>
                <c:pt idx="166">
                  <c:v>168.2904522</c:v>
                </c:pt>
                <c:pt idx="167">
                  <c:v>168.9032981</c:v>
                </c:pt>
                <c:pt idx="168">
                  <c:v>169.50219630000001</c:v>
                </c:pt>
                <c:pt idx="169">
                  <c:v>170.08593880000001</c:v>
                </c:pt>
                <c:pt idx="170">
                  <c:v>170.6534628</c:v>
                </c:pt>
                <c:pt idx="171">
                  <c:v>171.2038574</c:v>
                </c:pt>
                <c:pt idx="172">
                  <c:v>171.73636730000001</c:v>
                </c:pt>
                <c:pt idx="173">
                  <c:v>172.25039179999999</c:v>
                </c:pt>
                <c:pt idx="174">
                  <c:v>172.7454817</c:v>
                </c:pt>
                <c:pt idx="175">
                  <c:v>173.22133349999999</c:v>
                </c:pt>
                <c:pt idx="176">
                  <c:v>173.67778190000001</c:v>
                </c:pt>
                <c:pt idx="177">
                  <c:v>174.11478990000001</c:v>
                </c:pt>
                <c:pt idx="178">
                  <c:v>174.53243879999999</c:v>
                </c:pt>
                <c:pt idx="179">
                  <c:v>174.9309165</c:v>
                </c:pt>
                <c:pt idx="180">
                  <c:v>175.310506</c:v>
                </c:pt>
                <c:pt idx="181">
                  <c:v>175.67157330000001</c:v>
                </c:pt>
                <c:pt idx="182">
                  <c:v>176.01455559999999</c:v>
                </c:pt>
                <c:pt idx="183">
                  <c:v>176.33995039999999</c:v>
                </c:pt>
                <c:pt idx="184">
                  <c:v>176.648304</c:v>
                </c:pt>
                <c:pt idx="185">
                  <c:v>176.94020209999999</c:v>
                </c:pt>
                <c:pt idx="186">
                  <c:v>177.21625979999999</c:v>
                </c:pt>
                <c:pt idx="187">
                  <c:v>177.47711340000001</c:v>
                </c:pt>
                <c:pt idx="188">
                  <c:v>177.72341220000001</c:v>
                </c:pt>
                <c:pt idx="189">
                  <c:v>177.9558135</c:v>
                </c:pt>
                <c:pt idx="190">
                  <c:v>178.17497299999999</c:v>
                </c:pt>
                <c:pt idx="191">
                  <c:v>178.38154299999999</c:v>
                </c:pt>
                <c:pt idx="192">
                  <c:v>178.57616759999999</c:v>
                </c:pt>
                <c:pt idx="193">
                  <c:v>178.7594756</c:v>
                </c:pt>
                <c:pt idx="194">
                  <c:v>178.9320817</c:v>
                </c:pt>
                <c:pt idx="195">
                  <c:v>179.0945815</c:v>
                </c:pt>
                <c:pt idx="196">
                  <c:v>179.2475503</c:v>
                </c:pt>
                <c:pt idx="197">
                  <c:v>179.39154149999999</c:v>
                </c:pt>
                <c:pt idx="198">
                  <c:v>179.52708530000001</c:v>
                </c:pt>
                <c:pt idx="199">
                  <c:v>179.65468849999999</c:v>
                </c:pt>
                <c:pt idx="200">
                  <c:v>179.77483380000001</c:v>
                </c:pt>
                <c:pt idx="201">
                  <c:v>179.88797969999999</c:v>
                </c:pt>
                <c:pt idx="202">
                  <c:v>179.99456090000001</c:v>
                </c:pt>
                <c:pt idx="203">
                  <c:v>180.09498830000001</c:v>
                </c:pt>
                <c:pt idx="204">
                  <c:v>180.18964980000001</c:v>
                </c:pt>
                <c:pt idx="205">
                  <c:v>180.27891099999999</c:v>
                </c:pt>
                <c:pt idx="206">
                  <c:v>180.3631154</c:v>
                </c:pt>
                <c:pt idx="207">
                  <c:v>180.44258579999999</c:v>
                </c:pt>
                <c:pt idx="208">
                  <c:v>180.51762489999999</c:v>
                </c:pt>
                <c:pt idx="209">
                  <c:v>180.5885165</c:v>
                </c:pt>
                <c:pt idx="210">
                  <c:v>180.6555257</c:v>
                </c:pt>
                <c:pt idx="211">
                  <c:v>180.71890060000001</c:v>
                </c:pt>
                <c:pt idx="212">
                  <c:v>180.77887319999999</c:v>
                </c:pt>
                <c:pt idx="213">
                  <c:v>180.83565960000001</c:v>
                </c:pt>
                <c:pt idx="214">
                  <c:v>180.8894616</c:v>
                </c:pt>
                <c:pt idx="215">
                  <c:v>180.94046760000001</c:v>
                </c:pt>
                <c:pt idx="216">
                  <c:v>180.9888527</c:v>
                </c:pt>
                <c:pt idx="217">
                  <c:v>181.0347806</c:v>
                </c:pt>
                <c:pt idx="218">
                  <c:v>181.07840329999999</c:v>
                </c:pt>
                <c:pt idx="219">
                  <c:v>181.1198626</c:v>
                </c:pt>
                <c:pt idx="220">
                  <c:v>181.15929059999999</c:v>
                </c:pt>
                <c:pt idx="221">
                  <c:v>181.19681030000001</c:v>
                </c:pt>
                <c:pt idx="222">
                  <c:v>181.23253600000001</c:v>
                </c:pt>
                <c:pt idx="223">
                  <c:v>181.2665744</c:v>
                </c:pt>
                <c:pt idx="224">
                  <c:v>181.29902490000001</c:v>
                </c:pt>
                <c:pt idx="225">
                  <c:v>181.32997990000001</c:v>
                </c:pt>
                <c:pt idx="226">
                  <c:v>181.35952560000001</c:v>
                </c:pt>
                <c:pt idx="227">
                  <c:v>181.3877426</c:v>
                </c:pt>
                <c:pt idx="228">
                  <c:v>181.41470559999999</c:v>
                </c:pt>
                <c:pt idx="229">
                  <c:v>181.44048459999999</c:v>
                </c:pt>
                <c:pt idx="230">
                  <c:v>181.46514490000001</c:v>
                </c:pt>
                <c:pt idx="231">
                  <c:v>181.4887473</c:v>
                </c:pt>
                <c:pt idx="232">
                  <c:v>181.51134880000001</c:v>
                </c:pt>
                <c:pt idx="233">
                  <c:v>181.5330026</c:v>
                </c:pt>
                <c:pt idx="234">
                  <c:v>181.5537583</c:v>
                </c:pt>
                <c:pt idx="235">
                  <c:v>181.57366250000001</c:v>
                </c:pt>
                <c:pt idx="236">
                  <c:v>181.59275880000001</c:v>
                </c:pt>
                <c:pt idx="237">
                  <c:v>181.6110879</c:v>
                </c:pt>
                <c:pt idx="238">
                  <c:v>181.6286882</c:v>
                </c:pt>
                <c:pt idx="239">
                  <c:v>181.64559539999999</c:v>
                </c:pt>
                <c:pt idx="240">
                  <c:v>181.6537998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350-4504-82E8-CD672D813146}"/>
            </c:ext>
          </c:extLst>
        </c:ser>
        <c:ser>
          <c:idx val="7"/>
          <c:order val="8"/>
          <c:tx>
            <c:v>P90 boys</c:v>
          </c:tx>
          <c:spPr>
            <a:ln w="6350" cap="rnd">
              <a:solidFill>
                <a:srgbClr val="00B0F0">
                  <a:alpha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length4age!$B$2:$B$242</c:f>
              <c:numCache>
                <c:formatCode>0.00</c:formatCode>
                <c:ptCount val="241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2.0416666666666665</c:v>
                </c:pt>
                <c:pt idx="25">
                  <c:v>2.125</c:v>
                </c:pt>
                <c:pt idx="26">
                  <c:v>2.2083333333333335</c:v>
                </c:pt>
                <c:pt idx="27">
                  <c:v>2.2916666666666665</c:v>
                </c:pt>
                <c:pt idx="28">
                  <c:v>2.375</c:v>
                </c:pt>
                <c:pt idx="29">
                  <c:v>2.4583333333333335</c:v>
                </c:pt>
                <c:pt idx="30">
                  <c:v>2.5416666666666665</c:v>
                </c:pt>
                <c:pt idx="31">
                  <c:v>2.625</c:v>
                </c:pt>
                <c:pt idx="32">
                  <c:v>2.7083333333333335</c:v>
                </c:pt>
                <c:pt idx="33">
                  <c:v>2.7916666666666665</c:v>
                </c:pt>
                <c:pt idx="34">
                  <c:v>2.875</c:v>
                </c:pt>
                <c:pt idx="35">
                  <c:v>2.9583333333333335</c:v>
                </c:pt>
                <c:pt idx="36">
                  <c:v>3.0416666666666665</c:v>
                </c:pt>
                <c:pt idx="37">
                  <c:v>3.125</c:v>
                </c:pt>
                <c:pt idx="38">
                  <c:v>3.2083333333333335</c:v>
                </c:pt>
                <c:pt idx="39">
                  <c:v>3.2916666666666665</c:v>
                </c:pt>
                <c:pt idx="40">
                  <c:v>3.375</c:v>
                </c:pt>
                <c:pt idx="41">
                  <c:v>3.4583333333333335</c:v>
                </c:pt>
                <c:pt idx="42">
                  <c:v>3.5416666666666665</c:v>
                </c:pt>
                <c:pt idx="43">
                  <c:v>3.625</c:v>
                </c:pt>
                <c:pt idx="44">
                  <c:v>3.7083333333333335</c:v>
                </c:pt>
                <c:pt idx="45">
                  <c:v>3.7916666666666665</c:v>
                </c:pt>
                <c:pt idx="46">
                  <c:v>3.875</c:v>
                </c:pt>
                <c:pt idx="47">
                  <c:v>3.9583333333333335</c:v>
                </c:pt>
                <c:pt idx="48">
                  <c:v>4.041666666666667</c:v>
                </c:pt>
                <c:pt idx="49">
                  <c:v>4.125</c:v>
                </c:pt>
                <c:pt idx="50">
                  <c:v>4.208333333333333</c:v>
                </c:pt>
                <c:pt idx="51">
                  <c:v>4.291666666666667</c:v>
                </c:pt>
                <c:pt idx="52">
                  <c:v>4.375</c:v>
                </c:pt>
                <c:pt idx="53">
                  <c:v>4.458333333333333</c:v>
                </c:pt>
                <c:pt idx="54">
                  <c:v>4.541666666666667</c:v>
                </c:pt>
                <c:pt idx="55">
                  <c:v>4.625</c:v>
                </c:pt>
                <c:pt idx="56">
                  <c:v>4.708333333333333</c:v>
                </c:pt>
                <c:pt idx="57">
                  <c:v>4.791666666666667</c:v>
                </c:pt>
                <c:pt idx="58">
                  <c:v>4.875</c:v>
                </c:pt>
                <c:pt idx="59">
                  <c:v>4.958333333333333</c:v>
                </c:pt>
                <c:pt idx="60">
                  <c:v>5.041666666666667</c:v>
                </c:pt>
                <c:pt idx="61">
                  <c:v>5.125</c:v>
                </c:pt>
                <c:pt idx="62">
                  <c:v>5.208333333333333</c:v>
                </c:pt>
                <c:pt idx="63">
                  <c:v>5.291666666666667</c:v>
                </c:pt>
                <c:pt idx="64">
                  <c:v>5.375</c:v>
                </c:pt>
                <c:pt idx="65">
                  <c:v>5.458333333333333</c:v>
                </c:pt>
                <c:pt idx="66">
                  <c:v>5.541666666666667</c:v>
                </c:pt>
                <c:pt idx="67">
                  <c:v>5.625</c:v>
                </c:pt>
                <c:pt idx="68">
                  <c:v>5.708333333333333</c:v>
                </c:pt>
                <c:pt idx="69">
                  <c:v>5.791666666666667</c:v>
                </c:pt>
                <c:pt idx="70">
                  <c:v>5.875</c:v>
                </c:pt>
                <c:pt idx="71">
                  <c:v>5.958333333333333</c:v>
                </c:pt>
                <c:pt idx="72">
                  <c:v>6.041666666666667</c:v>
                </c:pt>
                <c:pt idx="73">
                  <c:v>6.125</c:v>
                </c:pt>
                <c:pt idx="74">
                  <c:v>6.208333333333333</c:v>
                </c:pt>
                <c:pt idx="75">
                  <c:v>6.291666666666667</c:v>
                </c:pt>
                <c:pt idx="76">
                  <c:v>6.375</c:v>
                </c:pt>
                <c:pt idx="77">
                  <c:v>6.458333333333333</c:v>
                </c:pt>
                <c:pt idx="78">
                  <c:v>6.541666666666667</c:v>
                </c:pt>
                <c:pt idx="79">
                  <c:v>6.625</c:v>
                </c:pt>
                <c:pt idx="80">
                  <c:v>6.708333333333333</c:v>
                </c:pt>
                <c:pt idx="81">
                  <c:v>6.791666666666667</c:v>
                </c:pt>
                <c:pt idx="82">
                  <c:v>6.875</c:v>
                </c:pt>
                <c:pt idx="83">
                  <c:v>6.958333333333333</c:v>
                </c:pt>
                <c:pt idx="84">
                  <c:v>7.041666666666667</c:v>
                </c:pt>
                <c:pt idx="85">
                  <c:v>7.125</c:v>
                </c:pt>
                <c:pt idx="86">
                  <c:v>7.208333333333333</c:v>
                </c:pt>
                <c:pt idx="87">
                  <c:v>7.291666666666667</c:v>
                </c:pt>
                <c:pt idx="88">
                  <c:v>7.375</c:v>
                </c:pt>
                <c:pt idx="89">
                  <c:v>7.458333333333333</c:v>
                </c:pt>
                <c:pt idx="90">
                  <c:v>7.541666666666667</c:v>
                </c:pt>
                <c:pt idx="91">
                  <c:v>7.625</c:v>
                </c:pt>
                <c:pt idx="92">
                  <c:v>7.708333333333333</c:v>
                </c:pt>
                <c:pt idx="93">
                  <c:v>7.791666666666667</c:v>
                </c:pt>
                <c:pt idx="94">
                  <c:v>7.875</c:v>
                </c:pt>
                <c:pt idx="95">
                  <c:v>7.958333333333333</c:v>
                </c:pt>
                <c:pt idx="96">
                  <c:v>8.0416666666666661</c:v>
                </c:pt>
                <c:pt idx="97">
                  <c:v>8.125</c:v>
                </c:pt>
                <c:pt idx="98">
                  <c:v>8.2083333333333339</c:v>
                </c:pt>
                <c:pt idx="99">
                  <c:v>8.2916666666666661</c:v>
                </c:pt>
                <c:pt idx="100">
                  <c:v>8.375</c:v>
                </c:pt>
                <c:pt idx="101">
                  <c:v>8.4583333333333339</c:v>
                </c:pt>
                <c:pt idx="102">
                  <c:v>8.5416666666666661</c:v>
                </c:pt>
                <c:pt idx="103">
                  <c:v>8.625</c:v>
                </c:pt>
                <c:pt idx="104">
                  <c:v>8.7083333333333339</c:v>
                </c:pt>
                <c:pt idx="105">
                  <c:v>8.7916666666666661</c:v>
                </c:pt>
                <c:pt idx="106">
                  <c:v>8.875</c:v>
                </c:pt>
                <c:pt idx="107">
                  <c:v>8.9583333333333339</c:v>
                </c:pt>
                <c:pt idx="108">
                  <c:v>9.0416666666666661</c:v>
                </c:pt>
                <c:pt idx="109">
                  <c:v>9.125</c:v>
                </c:pt>
                <c:pt idx="110">
                  <c:v>9.2083333333333339</c:v>
                </c:pt>
                <c:pt idx="111">
                  <c:v>9.2916666666666661</c:v>
                </c:pt>
                <c:pt idx="112">
                  <c:v>9.375</c:v>
                </c:pt>
                <c:pt idx="113">
                  <c:v>9.4583333333333339</c:v>
                </c:pt>
                <c:pt idx="114">
                  <c:v>9.5416666666666661</c:v>
                </c:pt>
                <c:pt idx="115">
                  <c:v>9.625</c:v>
                </c:pt>
                <c:pt idx="116">
                  <c:v>9.7083333333333339</c:v>
                </c:pt>
                <c:pt idx="117">
                  <c:v>9.7916666666666661</c:v>
                </c:pt>
                <c:pt idx="118">
                  <c:v>9.875</c:v>
                </c:pt>
                <c:pt idx="119">
                  <c:v>9.9583333333333339</c:v>
                </c:pt>
                <c:pt idx="120">
                  <c:v>10.041666666666666</c:v>
                </c:pt>
                <c:pt idx="121">
                  <c:v>10.125</c:v>
                </c:pt>
                <c:pt idx="122">
                  <c:v>10.208333333333334</c:v>
                </c:pt>
                <c:pt idx="123">
                  <c:v>10.291666666666666</c:v>
                </c:pt>
                <c:pt idx="124">
                  <c:v>10.375</c:v>
                </c:pt>
                <c:pt idx="125">
                  <c:v>10.458333333333334</c:v>
                </c:pt>
                <c:pt idx="126">
                  <c:v>10.541666666666666</c:v>
                </c:pt>
                <c:pt idx="127">
                  <c:v>10.625</c:v>
                </c:pt>
                <c:pt idx="128">
                  <c:v>10.708333333333334</c:v>
                </c:pt>
                <c:pt idx="129">
                  <c:v>10.791666666666666</c:v>
                </c:pt>
                <c:pt idx="130">
                  <c:v>10.875</c:v>
                </c:pt>
                <c:pt idx="131">
                  <c:v>10.958333333333334</c:v>
                </c:pt>
                <c:pt idx="132">
                  <c:v>11.041666666666666</c:v>
                </c:pt>
                <c:pt idx="133">
                  <c:v>11.125</c:v>
                </c:pt>
                <c:pt idx="134">
                  <c:v>11.208333333333334</c:v>
                </c:pt>
                <c:pt idx="135">
                  <c:v>11.291666666666666</c:v>
                </c:pt>
                <c:pt idx="136">
                  <c:v>11.375</c:v>
                </c:pt>
                <c:pt idx="137">
                  <c:v>11.458333333333334</c:v>
                </c:pt>
                <c:pt idx="138">
                  <c:v>11.541666666666666</c:v>
                </c:pt>
                <c:pt idx="139">
                  <c:v>11.625</c:v>
                </c:pt>
                <c:pt idx="140">
                  <c:v>11.708333333333334</c:v>
                </c:pt>
                <c:pt idx="141">
                  <c:v>11.791666666666666</c:v>
                </c:pt>
                <c:pt idx="142">
                  <c:v>11.875</c:v>
                </c:pt>
                <c:pt idx="143">
                  <c:v>11.958333333333334</c:v>
                </c:pt>
                <c:pt idx="144">
                  <c:v>12.041666666666666</c:v>
                </c:pt>
                <c:pt idx="145">
                  <c:v>12.125</c:v>
                </c:pt>
                <c:pt idx="146">
                  <c:v>12.208333333333334</c:v>
                </c:pt>
                <c:pt idx="147">
                  <c:v>12.291666666666666</c:v>
                </c:pt>
                <c:pt idx="148">
                  <c:v>12.375</c:v>
                </c:pt>
                <c:pt idx="149">
                  <c:v>12.458333333333334</c:v>
                </c:pt>
                <c:pt idx="150">
                  <c:v>12.541666666666666</c:v>
                </c:pt>
                <c:pt idx="151">
                  <c:v>12.625</c:v>
                </c:pt>
                <c:pt idx="152">
                  <c:v>12.708333333333334</c:v>
                </c:pt>
                <c:pt idx="153">
                  <c:v>12.791666666666666</c:v>
                </c:pt>
                <c:pt idx="154">
                  <c:v>12.875</c:v>
                </c:pt>
                <c:pt idx="155">
                  <c:v>12.958333333333334</c:v>
                </c:pt>
                <c:pt idx="156">
                  <c:v>13.041666666666666</c:v>
                </c:pt>
                <c:pt idx="157">
                  <c:v>13.125</c:v>
                </c:pt>
                <c:pt idx="158">
                  <c:v>13.208333333333334</c:v>
                </c:pt>
                <c:pt idx="159">
                  <c:v>13.291666666666666</c:v>
                </c:pt>
                <c:pt idx="160">
                  <c:v>13.375</c:v>
                </c:pt>
                <c:pt idx="161">
                  <c:v>13.458333333333334</c:v>
                </c:pt>
                <c:pt idx="162">
                  <c:v>13.541666666666666</c:v>
                </c:pt>
                <c:pt idx="163">
                  <c:v>13.625</c:v>
                </c:pt>
                <c:pt idx="164">
                  <c:v>13.708333333333334</c:v>
                </c:pt>
                <c:pt idx="165">
                  <c:v>13.791666666666666</c:v>
                </c:pt>
                <c:pt idx="166">
                  <c:v>13.875</c:v>
                </c:pt>
                <c:pt idx="167">
                  <c:v>13.958333333333334</c:v>
                </c:pt>
                <c:pt idx="168">
                  <c:v>14.041666666666666</c:v>
                </c:pt>
                <c:pt idx="169">
                  <c:v>14.125</c:v>
                </c:pt>
                <c:pt idx="170">
                  <c:v>14.208333333333334</c:v>
                </c:pt>
                <c:pt idx="171">
                  <c:v>14.291666666666666</c:v>
                </c:pt>
                <c:pt idx="172">
                  <c:v>14.375</c:v>
                </c:pt>
                <c:pt idx="173">
                  <c:v>14.458333333333334</c:v>
                </c:pt>
                <c:pt idx="174">
                  <c:v>14.541666666666666</c:v>
                </c:pt>
                <c:pt idx="175">
                  <c:v>14.625</c:v>
                </c:pt>
                <c:pt idx="176">
                  <c:v>14.708333333333334</c:v>
                </c:pt>
                <c:pt idx="177">
                  <c:v>14.791666666666666</c:v>
                </c:pt>
                <c:pt idx="178">
                  <c:v>14.875</c:v>
                </c:pt>
                <c:pt idx="179">
                  <c:v>14.958333333333334</c:v>
                </c:pt>
                <c:pt idx="180">
                  <c:v>15.041666666666666</c:v>
                </c:pt>
                <c:pt idx="181">
                  <c:v>15.125</c:v>
                </c:pt>
                <c:pt idx="182">
                  <c:v>15.208333333333334</c:v>
                </c:pt>
                <c:pt idx="183">
                  <c:v>15.291666666666666</c:v>
                </c:pt>
                <c:pt idx="184">
                  <c:v>15.375</c:v>
                </c:pt>
                <c:pt idx="185">
                  <c:v>15.458333333333334</c:v>
                </c:pt>
                <c:pt idx="186">
                  <c:v>15.541666666666666</c:v>
                </c:pt>
                <c:pt idx="187">
                  <c:v>15.625</c:v>
                </c:pt>
                <c:pt idx="188">
                  <c:v>15.708333333333334</c:v>
                </c:pt>
                <c:pt idx="189">
                  <c:v>15.791666666666666</c:v>
                </c:pt>
                <c:pt idx="190">
                  <c:v>15.875</c:v>
                </c:pt>
                <c:pt idx="191">
                  <c:v>15.958333333333334</c:v>
                </c:pt>
                <c:pt idx="192">
                  <c:v>16.041666666666668</c:v>
                </c:pt>
                <c:pt idx="193">
                  <c:v>16.125</c:v>
                </c:pt>
                <c:pt idx="194">
                  <c:v>16.208333333333332</c:v>
                </c:pt>
                <c:pt idx="195">
                  <c:v>16.291666666666668</c:v>
                </c:pt>
                <c:pt idx="196">
                  <c:v>16.375</c:v>
                </c:pt>
                <c:pt idx="197">
                  <c:v>16.458333333333332</c:v>
                </c:pt>
                <c:pt idx="198">
                  <c:v>16.541666666666668</c:v>
                </c:pt>
                <c:pt idx="199">
                  <c:v>16.625</c:v>
                </c:pt>
                <c:pt idx="200">
                  <c:v>16.708333333333332</c:v>
                </c:pt>
                <c:pt idx="201">
                  <c:v>16.791666666666668</c:v>
                </c:pt>
                <c:pt idx="202">
                  <c:v>16.875</c:v>
                </c:pt>
                <c:pt idx="203">
                  <c:v>16.958333333333332</c:v>
                </c:pt>
                <c:pt idx="204">
                  <c:v>17.041666666666668</c:v>
                </c:pt>
                <c:pt idx="205">
                  <c:v>17.125</c:v>
                </c:pt>
                <c:pt idx="206">
                  <c:v>17.208333333333332</c:v>
                </c:pt>
                <c:pt idx="207">
                  <c:v>17.291666666666668</c:v>
                </c:pt>
                <c:pt idx="208">
                  <c:v>17.375</c:v>
                </c:pt>
                <c:pt idx="209">
                  <c:v>17.458333333333332</c:v>
                </c:pt>
                <c:pt idx="210">
                  <c:v>17.541666666666668</c:v>
                </c:pt>
                <c:pt idx="211">
                  <c:v>17.625</c:v>
                </c:pt>
                <c:pt idx="212">
                  <c:v>17.708333333333332</c:v>
                </c:pt>
                <c:pt idx="213">
                  <c:v>17.791666666666668</c:v>
                </c:pt>
                <c:pt idx="214">
                  <c:v>17.875</c:v>
                </c:pt>
                <c:pt idx="215">
                  <c:v>17.958333333333332</c:v>
                </c:pt>
                <c:pt idx="216">
                  <c:v>18.041666666666668</c:v>
                </c:pt>
                <c:pt idx="217">
                  <c:v>18.125</c:v>
                </c:pt>
                <c:pt idx="218">
                  <c:v>18.208333333333332</c:v>
                </c:pt>
                <c:pt idx="219">
                  <c:v>18.291666666666668</c:v>
                </c:pt>
                <c:pt idx="220">
                  <c:v>18.375</c:v>
                </c:pt>
                <c:pt idx="221">
                  <c:v>18.458333333333332</c:v>
                </c:pt>
                <c:pt idx="222">
                  <c:v>18.541666666666668</c:v>
                </c:pt>
                <c:pt idx="223">
                  <c:v>18.625</c:v>
                </c:pt>
                <c:pt idx="224">
                  <c:v>18.708333333333332</c:v>
                </c:pt>
                <c:pt idx="225">
                  <c:v>18.791666666666668</c:v>
                </c:pt>
                <c:pt idx="226">
                  <c:v>18.875</c:v>
                </c:pt>
                <c:pt idx="227">
                  <c:v>18.958333333333332</c:v>
                </c:pt>
                <c:pt idx="228">
                  <c:v>19.041666666666668</c:v>
                </c:pt>
                <c:pt idx="229">
                  <c:v>19.125</c:v>
                </c:pt>
                <c:pt idx="230">
                  <c:v>19.208333333333332</c:v>
                </c:pt>
                <c:pt idx="231">
                  <c:v>19.291666666666668</c:v>
                </c:pt>
                <c:pt idx="232">
                  <c:v>19.375</c:v>
                </c:pt>
                <c:pt idx="233">
                  <c:v>19.458333333333332</c:v>
                </c:pt>
                <c:pt idx="234">
                  <c:v>19.541666666666668</c:v>
                </c:pt>
                <c:pt idx="235">
                  <c:v>19.625</c:v>
                </c:pt>
                <c:pt idx="236">
                  <c:v>19.708333333333332</c:v>
                </c:pt>
                <c:pt idx="237">
                  <c:v>19.791666666666668</c:v>
                </c:pt>
                <c:pt idx="238">
                  <c:v>19.875</c:v>
                </c:pt>
                <c:pt idx="239">
                  <c:v>19.958333333333332</c:v>
                </c:pt>
                <c:pt idx="240">
                  <c:v>20</c:v>
                </c:pt>
              </c:numCache>
            </c:numRef>
          </c:xVal>
          <c:yVal>
            <c:numRef>
              <c:f>length4age!$L$2:$L$242</c:f>
              <c:numCache>
                <c:formatCode>General</c:formatCode>
                <c:ptCount val="241"/>
                <c:pt idx="0">
                  <c:v>53.361534748953879</c:v>
                </c:pt>
                <c:pt idx="1">
                  <c:v>56.034440994428294</c:v>
                </c:pt>
                <c:pt idx="2">
                  <c:v>59.966403292770863</c:v>
                </c:pt>
                <c:pt idx="3">
                  <c:v>62.98158100386182</c:v>
                </c:pt>
                <c:pt idx="4">
                  <c:v>65.498580040448061</c:v>
                </c:pt>
                <c:pt idx="5">
                  <c:v>67.694047868601572</c:v>
                </c:pt>
                <c:pt idx="6">
                  <c:v>69.661223300843801</c:v>
                </c:pt>
                <c:pt idx="7">
                  <c:v>71.456091631701426</c:v>
                </c:pt>
                <c:pt idx="8">
                  <c:v>73.115246826267054</c:v>
                </c:pt>
                <c:pt idx="9">
                  <c:v>74.664097569617269</c:v>
                </c:pt>
                <c:pt idx="10">
                  <c:v>76.121103800160057</c:v>
                </c:pt>
                <c:pt idx="11">
                  <c:v>77.500158254464168</c:v>
                </c:pt>
                <c:pt idx="12">
                  <c:v>78.812016966847509</c:v>
                </c:pt>
                <c:pt idx="13">
                  <c:v>80.065201550341783</c:v>
                </c:pt>
                <c:pt idx="14">
                  <c:v>81.266595660305214</c:v>
                </c:pt>
                <c:pt idx="15">
                  <c:v>82.421851536475415</c:v>
                </c:pt>
                <c:pt idx="16">
                  <c:v>83.535675929103363</c:v>
                </c:pt>
                <c:pt idx="17">
                  <c:v>84.612036375104751</c:v>
                </c:pt>
                <c:pt idx="18">
                  <c:v>85.654313146001357</c:v>
                </c:pt>
                <c:pt idx="19">
                  <c:v>86.665413489035828</c:v>
                </c:pt>
                <c:pt idx="20">
                  <c:v>87.647858814875917</c:v>
                </c:pt>
                <c:pt idx="21">
                  <c:v>88.603852415365708</c:v>
                </c:pt>
                <c:pt idx="22">
                  <c:v>89.535332660837639</c:v>
                </c:pt>
                <c:pt idx="23">
                  <c:v>90.444015492445857</c:v>
                </c:pt>
                <c:pt idx="24">
                  <c:v>91.35753004</c:v>
                </c:pt>
                <c:pt idx="25">
                  <c:v>92.229660539999998</c:v>
                </c:pt>
                <c:pt idx="26">
                  <c:v>93.076081630000004</c:v>
                </c:pt>
                <c:pt idx="27">
                  <c:v>93.898271140000006</c:v>
                </c:pt>
                <c:pt idx="28">
                  <c:v>94.69757027</c:v>
                </c:pt>
                <c:pt idx="29">
                  <c:v>95.475220829999998</c:v>
                </c:pt>
                <c:pt idx="30">
                  <c:v>96.23239427</c:v>
                </c:pt>
                <c:pt idx="31">
                  <c:v>96.970215330000002</c:v>
                </c:pt>
                <c:pt idx="32">
                  <c:v>97.689780970000001</c:v>
                </c:pt>
                <c:pt idx="33">
                  <c:v>98.392175210000005</c:v>
                </c:pt>
                <c:pt idx="34">
                  <c:v>99.0784807</c:v>
                </c:pt>
                <c:pt idx="35">
                  <c:v>99.749787710000007</c:v>
                </c:pt>
                <c:pt idx="36">
                  <c:v>100.40719919999999</c:v>
                </c:pt>
                <c:pt idx="37">
                  <c:v>101.0690065</c:v>
                </c:pt>
                <c:pt idx="38">
                  <c:v>101.7233762</c:v>
                </c:pt>
                <c:pt idx="39">
                  <c:v>102.37086170000001</c:v>
                </c:pt>
                <c:pt idx="40">
                  <c:v>103.011988</c:v>
                </c:pt>
                <c:pt idx="41">
                  <c:v>103.6472524</c:v>
                </c:pt>
                <c:pt idx="42">
                  <c:v>104.2771267</c:v>
                </c:pt>
                <c:pt idx="43">
                  <c:v>104.90205709999999</c:v>
                </c:pt>
                <c:pt idx="44">
                  <c:v>105.52246529999999</c:v>
                </c:pt>
                <c:pt idx="45">
                  <c:v>106.1387493</c:v>
                </c:pt>
                <c:pt idx="46">
                  <c:v>106.7512837</c:v>
                </c:pt>
                <c:pt idx="47">
                  <c:v>107.36042070000001</c:v>
                </c:pt>
                <c:pt idx="48">
                  <c:v>107.9664906</c:v>
                </c:pt>
                <c:pt idx="49">
                  <c:v>108.569802</c:v>
                </c:pt>
                <c:pt idx="50">
                  <c:v>109.1706428</c:v>
                </c:pt>
                <c:pt idx="51">
                  <c:v>109.76927999999999</c:v>
                </c:pt>
                <c:pt idx="52">
                  <c:v>110.3659614</c:v>
                </c:pt>
                <c:pt idx="53">
                  <c:v>110.96091389999999</c:v>
                </c:pt>
                <c:pt idx="54">
                  <c:v>111.5543461</c:v>
                </c:pt>
                <c:pt idx="55">
                  <c:v>112.14644749999999</c:v>
                </c:pt>
                <c:pt idx="56">
                  <c:v>112.7373894</c:v>
                </c:pt>
                <c:pt idx="57">
                  <c:v>113.327325</c:v>
                </c:pt>
                <c:pt idx="58">
                  <c:v>113.9163901</c:v>
                </c:pt>
                <c:pt idx="59">
                  <c:v>114.5047033</c:v>
                </c:pt>
                <c:pt idx="60">
                  <c:v>115.0923665</c:v>
                </c:pt>
                <c:pt idx="61">
                  <c:v>115.67946550000001</c:v>
                </c:pt>
                <c:pt idx="62">
                  <c:v>116.2660704</c:v>
                </c:pt>
                <c:pt idx="63">
                  <c:v>116.8522359</c:v>
                </c:pt>
                <c:pt idx="64">
                  <c:v>117.4380018</c:v>
                </c:pt>
                <c:pt idx="65">
                  <c:v>118.0233939</c:v>
                </c:pt>
                <c:pt idx="66">
                  <c:v>118.6084238</c:v>
                </c:pt>
                <c:pt idx="67">
                  <c:v>119.19309029999999</c:v>
                </c:pt>
                <c:pt idx="68">
                  <c:v>119.777379</c:v>
                </c:pt>
                <c:pt idx="69">
                  <c:v>120.3612638</c:v>
                </c:pt>
                <c:pt idx="70">
                  <c:v>120.9447067</c:v>
                </c:pt>
                <c:pt idx="71">
                  <c:v>121.5276587</c:v>
                </c:pt>
                <c:pt idx="72">
                  <c:v>122.11006070000001</c:v>
                </c:pt>
                <c:pt idx="73">
                  <c:v>122.6918435</c:v>
                </c:pt>
                <c:pt idx="74">
                  <c:v>123.272929</c:v>
                </c:pt>
                <c:pt idx="75">
                  <c:v>123.8532304</c:v>
                </c:pt>
                <c:pt idx="76">
                  <c:v>124.4326533</c:v>
                </c:pt>
                <c:pt idx="77">
                  <c:v>125.0110959</c:v>
                </c:pt>
                <c:pt idx="78">
                  <c:v>125.5884499</c:v>
                </c:pt>
                <c:pt idx="79">
                  <c:v>126.16460120000001</c:v>
                </c:pt>
                <c:pt idx="80">
                  <c:v>126.73943060000001</c:v>
                </c:pt>
                <c:pt idx="81">
                  <c:v>127.3128143</c:v>
                </c:pt>
                <c:pt idx="82">
                  <c:v>127.88462490000001</c:v>
                </c:pt>
                <c:pt idx="83">
                  <c:v>128.4547316</c:v>
                </c:pt>
                <c:pt idx="84">
                  <c:v>129.02300149999999</c:v>
                </c:pt>
                <c:pt idx="85">
                  <c:v>129.58929989999999</c:v>
                </c:pt>
                <c:pt idx="86">
                  <c:v>130.153491</c:v>
                </c:pt>
                <c:pt idx="87">
                  <c:v>130.71543890000001</c:v>
                </c:pt>
                <c:pt idx="88">
                  <c:v>131.2750083</c:v>
                </c:pt>
                <c:pt idx="89">
                  <c:v>131.83206430000001</c:v>
                </c:pt>
                <c:pt idx="90">
                  <c:v>132.38647449999999</c:v>
                </c:pt>
                <c:pt idx="91">
                  <c:v>132.9381089</c:v>
                </c:pt>
                <c:pt idx="92">
                  <c:v>133.48684069999999</c:v>
                </c:pt>
                <c:pt idx="93">
                  <c:v>134.0325473</c:v>
                </c:pt>
                <c:pt idx="94">
                  <c:v>134.5751108</c:v>
                </c:pt>
                <c:pt idx="95">
                  <c:v>135.11441880000001</c:v>
                </c:pt>
                <c:pt idx="96">
                  <c:v>135.65036520000001</c:v>
                </c:pt>
                <c:pt idx="97">
                  <c:v>136.18285109999999</c:v>
                </c:pt>
                <c:pt idx="98">
                  <c:v>136.7117853</c:v>
                </c:pt>
                <c:pt idx="99">
                  <c:v>137.23708540000001</c:v>
                </c:pt>
                <c:pt idx="100">
                  <c:v>137.75867840000001</c:v>
                </c:pt>
                <c:pt idx="101">
                  <c:v>138.27650170000001</c:v>
                </c:pt>
                <c:pt idx="102">
                  <c:v>138.7905039</c:v>
                </c:pt>
                <c:pt idx="103">
                  <c:v>139.3006456</c:v>
                </c:pt>
                <c:pt idx="104">
                  <c:v>139.8069003</c:v>
                </c:pt>
                <c:pt idx="105">
                  <c:v>140.30925550000001</c:v>
                </c:pt>
                <c:pt idx="106">
                  <c:v>140.80771329999999</c:v>
                </c:pt>
                <c:pt idx="107">
                  <c:v>141.30229159999999</c:v>
                </c:pt>
                <c:pt idx="108">
                  <c:v>141.793025</c:v>
                </c:pt>
                <c:pt idx="109">
                  <c:v>142.27996540000001</c:v>
                </c:pt>
                <c:pt idx="110">
                  <c:v>142.76318380000001</c:v>
                </c:pt>
                <c:pt idx="111">
                  <c:v>143.2427702</c:v>
                </c:pt>
                <c:pt idx="112">
                  <c:v>143.71883560000001</c:v>
                </c:pt>
                <c:pt idx="113">
                  <c:v>144.19151220000001</c:v>
                </c:pt>
                <c:pt idx="114">
                  <c:v>144.66095480000001</c:v>
                </c:pt>
                <c:pt idx="115">
                  <c:v>145.12734169999999</c:v>
                </c:pt>
                <c:pt idx="116">
                  <c:v>145.59087550000001</c:v>
                </c:pt>
                <c:pt idx="117">
                  <c:v>146.0517839</c:v>
                </c:pt>
                <c:pt idx="118">
                  <c:v>146.510321</c:v>
                </c:pt>
                <c:pt idx="119">
                  <c:v>146.9667676</c:v>
                </c:pt>
                <c:pt idx="120">
                  <c:v>147.42143200000001</c:v>
                </c:pt>
                <c:pt idx="121">
                  <c:v>147.87465069999999</c:v>
                </c:pt>
                <c:pt idx="122">
                  <c:v>148.32678899999999</c:v>
                </c:pt>
                <c:pt idx="123">
                  <c:v>148.77824089999999</c:v>
                </c:pt>
                <c:pt idx="124">
                  <c:v>149.2294296</c:v>
                </c:pt>
                <c:pt idx="125">
                  <c:v>149.6808068</c:v>
                </c:pt>
                <c:pt idx="126">
                  <c:v>150.13285310000001</c:v>
                </c:pt>
                <c:pt idx="127">
                  <c:v>150.58607670000001</c:v>
                </c:pt>
                <c:pt idx="128">
                  <c:v>151.04101230000001</c:v>
                </c:pt>
                <c:pt idx="129">
                  <c:v>151.49821990000001</c:v>
                </c:pt>
                <c:pt idx="130">
                  <c:v>151.95828220000001</c:v>
                </c:pt>
                <c:pt idx="131">
                  <c:v>152.4218027</c:v>
                </c:pt>
                <c:pt idx="132">
                  <c:v>152.88940160000001</c:v>
                </c:pt>
                <c:pt idx="133">
                  <c:v>153.3617127</c:v>
                </c:pt>
                <c:pt idx="134">
                  <c:v>153.83937800000001</c:v>
                </c:pt>
                <c:pt idx="135">
                  <c:v>154.32304250000001</c:v>
                </c:pt>
                <c:pt idx="136">
                  <c:v>154.8133474</c:v>
                </c:pt>
                <c:pt idx="137">
                  <c:v>155.31092330000001</c:v>
                </c:pt>
                <c:pt idx="138">
                  <c:v>155.8163811</c:v>
                </c:pt>
                <c:pt idx="139">
                  <c:v>156.33030339999999</c:v>
                </c:pt>
                <c:pt idx="140">
                  <c:v>156.8532337</c:v>
                </c:pt>
                <c:pt idx="141">
                  <c:v>157.38566589999999</c:v>
                </c:pt>
                <c:pt idx="142">
                  <c:v>157.92803180000001</c:v>
                </c:pt>
                <c:pt idx="143">
                  <c:v>158.48068939999999</c:v>
                </c:pt>
                <c:pt idx="144">
                  <c:v>159.04390979999999</c:v>
                </c:pt>
                <c:pt idx="145">
                  <c:v>159.61786459999999</c:v>
                </c:pt>
                <c:pt idx="146">
                  <c:v>160.2026132</c:v>
                </c:pt>
                <c:pt idx="147">
                  <c:v>160.79809130000001</c:v>
                </c:pt>
                <c:pt idx="148">
                  <c:v>161.4041</c:v>
                </c:pt>
                <c:pt idx="149">
                  <c:v>162.02029669999999</c:v>
                </c:pt>
                <c:pt idx="150">
                  <c:v>162.64618849999999</c:v>
                </c:pt>
                <c:pt idx="151">
                  <c:v>163.28112709999999</c:v>
                </c:pt>
                <c:pt idx="152">
                  <c:v>163.92430809999999</c:v>
                </c:pt>
                <c:pt idx="153">
                  <c:v>164.57477209999999</c:v>
                </c:pt>
                <c:pt idx="154">
                  <c:v>165.23141089999999</c:v>
                </c:pt>
                <c:pt idx="155">
                  <c:v>165.892976</c:v>
                </c:pt>
                <c:pt idx="156">
                  <c:v>166.55809170000001</c:v>
                </c:pt>
                <c:pt idx="157">
                  <c:v>167.2252714</c:v>
                </c:pt>
                <c:pt idx="158">
                  <c:v>167.8929368</c:v>
                </c:pt>
                <c:pt idx="159">
                  <c:v>168.55944020000001</c:v>
                </c:pt>
                <c:pt idx="160">
                  <c:v>169.2230883</c:v>
                </c:pt>
                <c:pt idx="161">
                  <c:v>169.88216779999999</c:v>
                </c:pt>
                <c:pt idx="162">
                  <c:v>170.5349712</c:v>
                </c:pt>
                <c:pt idx="163">
                  <c:v>171.17982240000001</c:v>
                </c:pt>
                <c:pt idx="164">
                  <c:v>171.81510130000001</c:v>
                </c:pt>
                <c:pt idx="165">
                  <c:v>172.4392666</c:v>
                </c:pt>
                <c:pt idx="166">
                  <c:v>173.0508762</c:v>
                </c:pt>
                <c:pt idx="167">
                  <c:v>173.6486051</c:v>
                </c:pt>
                <c:pt idx="168">
                  <c:v>174.2312589</c:v>
                </c:pt>
                <c:pt idx="169">
                  <c:v>174.79778519999999</c:v>
                </c:pt>
                <c:pt idx="170">
                  <c:v>175.34728100000001</c:v>
                </c:pt>
                <c:pt idx="171">
                  <c:v>175.87899609999999</c:v>
                </c:pt>
                <c:pt idx="172">
                  <c:v>176.39233400000001</c:v>
                </c:pt>
                <c:pt idx="173">
                  <c:v>176.88684889999999</c:v>
                </c:pt>
                <c:pt idx="174">
                  <c:v>177.36224129999999</c:v>
                </c:pt>
                <c:pt idx="175">
                  <c:v>177.81834989999999</c:v>
                </c:pt>
                <c:pt idx="176">
                  <c:v>178.2551431</c:v>
                </c:pt>
                <c:pt idx="177">
                  <c:v>178.67270809999999</c:v>
                </c:pt>
                <c:pt idx="178">
                  <c:v>179.0712394</c:v>
                </c:pt>
                <c:pt idx="179">
                  <c:v>179.4510272</c:v>
                </c:pt>
                <c:pt idx="180">
                  <c:v>179.81244469999999</c:v>
                </c:pt>
                <c:pt idx="181">
                  <c:v>180.15593630000001</c:v>
                </c:pt>
                <c:pt idx="182">
                  <c:v>180.48200610000001</c:v>
                </c:pt>
                <c:pt idx="183">
                  <c:v>180.79120599999999</c:v>
                </c:pt>
                <c:pt idx="184">
                  <c:v>181.08412630000001</c:v>
                </c:pt>
                <c:pt idx="185">
                  <c:v>181.36138510000001</c:v>
                </c:pt>
                <c:pt idx="186">
                  <c:v>181.6236202</c:v>
                </c:pt>
                <c:pt idx="187">
                  <c:v>181.87148099999999</c:v>
                </c:pt>
                <c:pt idx="188">
                  <c:v>182.10562179999999</c:v>
                </c:pt>
                <c:pt idx="189">
                  <c:v>182.32669569999999</c:v>
                </c:pt>
                <c:pt idx="190">
                  <c:v>182.53534930000001</c:v>
                </c:pt>
                <c:pt idx="191">
                  <c:v>182.7322187</c:v>
                </c:pt>
                <c:pt idx="192">
                  <c:v>182.91792570000001</c:v>
                </c:pt>
                <c:pt idx="193">
                  <c:v>183.093075</c:v>
                </c:pt>
                <c:pt idx="194">
                  <c:v>183.25825180000001</c:v>
                </c:pt>
                <c:pt idx="195">
                  <c:v>183.41402020000001</c:v>
                </c:pt>
                <c:pt idx="196">
                  <c:v>183.56092169999999</c:v>
                </c:pt>
                <c:pt idx="197">
                  <c:v>183.69947479999999</c:v>
                </c:pt>
                <c:pt idx="198">
                  <c:v>183.83017380000001</c:v>
                </c:pt>
                <c:pt idx="199">
                  <c:v>183.9534894</c:v>
                </c:pt>
                <c:pt idx="200">
                  <c:v>184.0698683</c:v>
                </c:pt>
                <c:pt idx="201">
                  <c:v>184.17973330000001</c:v>
                </c:pt>
                <c:pt idx="202">
                  <c:v>184.28348439999999</c:v>
                </c:pt>
                <c:pt idx="203">
                  <c:v>184.3814989</c:v>
                </c:pt>
                <c:pt idx="204">
                  <c:v>184.47413220000001</c:v>
                </c:pt>
                <c:pt idx="205">
                  <c:v>184.56171850000001</c:v>
                </c:pt>
                <c:pt idx="206">
                  <c:v>184.64457200000001</c:v>
                </c:pt>
                <c:pt idx="207">
                  <c:v>184.7229873</c:v>
                </c:pt>
                <c:pt idx="208">
                  <c:v>184.7972407</c:v>
                </c:pt>
                <c:pt idx="209">
                  <c:v>184.867591</c:v>
                </c:pt>
                <c:pt idx="210">
                  <c:v>184.93428030000001</c:v>
                </c:pt>
                <c:pt idx="211">
                  <c:v>184.99753490000001</c:v>
                </c:pt>
                <c:pt idx="212">
                  <c:v>185.0575666</c:v>
                </c:pt>
                <c:pt idx="213">
                  <c:v>185.11457300000001</c:v>
                </c:pt>
                <c:pt idx="214">
                  <c:v>185.16873860000001</c:v>
                </c:pt>
                <c:pt idx="215">
                  <c:v>185.22023590000001</c:v>
                </c:pt>
                <c:pt idx="216">
                  <c:v>185.2692255</c:v>
                </c:pt>
                <c:pt idx="217">
                  <c:v>185.31585749999999</c:v>
                </c:pt>
                <c:pt idx="218">
                  <c:v>185.36027189999999</c:v>
                </c:pt>
                <c:pt idx="219">
                  <c:v>185.4025992</c:v>
                </c:pt>
                <c:pt idx="220">
                  <c:v>185.44296130000001</c:v>
                </c:pt>
                <c:pt idx="221">
                  <c:v>185.48147180000001</c:v>
                </c:pt>
                <c:pt idx="222">
                  <c:v>185.51823680000001</c:v>
                </c:pt>
                <c:pt idx="223">
                  <c:v>185.5533551</c:v>
                </c:pt>
                <c:pt idx="224">
                  <c:v>185.58691930000001</c:v>
                </c:pt>
                <c:pt idx="225">
                  <c:v>185.61901549999999</c:v>
                </c:pt>
                <c:pt idx="226">
                  <c:v>185.6497244</c:v>
                </c:pt>
                <c:pt idx="227">
                  <c:v>185.6791212</c:v>
                </c:pt>
                <c:pt idx="228">
                  <c:v>185.70727629999999</c:v>
                </c:pt>
                <c:pt idx="229">
                  <c:v>185.73425560000001</c:v>
                </c:pt>
                <c:pt idx="230">
                  <c:v>185.7601205</c:v>
                </c:pt>
                <c:pt idx="231">
                  <c:v>185.78492869999999</c:v>
                </c:pt>
                <c:pt idx="232">
                  <c:v>185.8087343</c:v>
                </c:pt>
                <c:pt idx="233">
                  <c:v>185.8315877</c:v>
                </c:pt>
                <c:pt idx="234">
                  <c:v>185.8535364</c:v>
                </c:pt>
                <c:pt idx="235">
                  <c:v>185.87462500000001</c:v>
                </c:pt>
                <c:pt idx="236">
                  <c:v>185.89489510000001</c:v>
                </c:pt>
                <c:pt idx="237">
                  <c:v>185.91438600000001</c:v>
                </c:pt>
                <c:pt idx="238">
                  <c:v>185.93313470000001</c:v>
                </c:pt>
                <c:pt idx="239">
                  <c:v>185.95117569999999</c:v>
                </c:pt>
                <c:pt idx="240">
                  <c:v>185.95994110000001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350-4504-82E8-CD672D813146}"/>
            </c:ext>
          </c:extLst>
        </c:ser>
        <c:ser>
          <c:idx val="8"/>
          <c:order val="9"/>
          <c:tx>
            <c:v>P95 boys</c:v>
          </c:tx>
          <c:spPr>
            <a:ln w="6350" cap="rnd">
              <a:solidFill>
                <a:srgbClr val="00B0F0">
                  <a:alpha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length4age!$B$2:$B$242</c:f>
              <c:numCache>
                <c:formatCode>0.00</c:formatCode>
                <c:ptCount val="241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2.0416666666666665</c:v>
                </c:pt>
                <c:pt idx="25">
                  <c:v>2.125</c:v>
                </c:pt>
                <c:pt idx="26">
                  <c:v>2.2083333333333335</c:v>
                </c:pt>
                <c:pt idx="27">
                  <c:v>2.2916666666666665</c:v>
                </c:pt>
                <c:pt idx="28">
                  <c:v>2.375</c:v>
                </c:pt>
                <c:pt idx="29">
                  <c:v>2.4583333333333335</c:v>
                </c:pt>
                <c:pt idx="30">
                  <c:v>2.5416666666666665</c:v>
                </c:pt>
                <c:pt idx="31">
                  <c:v>2.625</c:v>
                </c:pt>
                <c:pt idx="32">
                  <c:v>2.7083333333333335</c:v>
                </c:pt>
                <c:pt idx="33">
                  <c:v>2.7916666666666665</c:v>
                </c:pt>
                <c:pt idx="34">
                  <c:v>2.875</c:v>
                </c:pt>
                <c:pt idx="35">
                  <c:v>2.9583333333333335</c:v>
                </c:pt>
                <c:pt idx="36">
                  <c:v>3.0416666666666665</c:v>
                </c:pt>
                <c:pt idx="37">
                  <c:v>3.125</c:v>
                </c:pt>
                <c:pt idx="38">
                  <c:v>3.2083333333333335</c:v>
                </c:pt>
                <c:pt idx="39">
                  <c:v>3.2916666666666665</c:v>
                </c:pt>
                <c:pt idx="40">
                  <c:v>3.375</c:v>
                </c:pt>
                <c:pt idx="41">
                  <c:v>3.4583333333333335</c:v>
                </c:pt>
                <c:pt idx="42">
                  <c:v>3.5416666666666665</c:v>
                </c:pt>
                <c:pt idx="43">
                  <c:v>3.625</c:v>
                </c:pt>
                <c:pt idx="44">
                  <c:v>3.7083333333333335</c:v>
                </c:pt>
                <c:pt idx="45">
                  <c:v>3.7916666666666665</c:v>
                </c:pt>
                <c:pt idx="46">
                  <c:v>3.875</c:v>
                </c:pt>
                <c:pt idx="47">
                  <c:v>3.9583333333333335</c:v>
                </c:pt>
                <c:pt idx="48">
                  <c:v>4.041666666666667</c:v>
                </c:pt>
                <c:pt idx="49">
                  <c:v>4.125</c:v>
                </c:pt>
                <c:pt idx="50">
                  <c:v>4.208333333333333</c:v>
                </c:pt>
                <c:pt idx="51">
                  <c:v>4.291666666666667</c:v>
                </c:pt>
                <c:pt idx="52">
                  <c:v>4.375</c:v>
                </c:pt>
                <c:pt idx="53">
                  <c:v>4.458333333333333</c:v>
                </c:pt>
                <c:pt idx="54">
                  <c:v>4.541666666666667</c:v>
                </c:pt>
                <c:pt idx="55">
                  <c:v>4.625</c:v>
                </c:pt>
                <c:pt idx="56">
                  <c:v>4.708333333333333</c:v>
                </c:pt>
                <c:pt idx="57">
                  <c:v>4.791666666666667</c:v>
                </c:pt>
                <c:pt idx="58">
                  <c:v>4.875</c:v>
                </c:pt>
                <c:pt idx="59">
                  <c:v>4.958333333333333</c:v>
                </c:pt>
                <c:pt idx="60">
                  <c:v>5.041666666666667</c:v>
                </c:pt>
                <c:pt idx="61">
                  <c:v>5.125</c:v>
                </c:pt>
                <c:pt idx="62">
                  <c:v>5.208333333333333</c:v>
                </c:pt>
                <c:pt idx="63">
                  <c:v>5.291666666666667</c:v>
                </c:pt>
                <c:pt idx="64">
                  <c:v>5.375</c:v>
                </c:pt>
                <c:pt idx="65">
                  <c:v>5.458333333333333</c:v>
                </c:pt>
                <c:pt idx="66">
                  <c:v>5.541666666666667</c:v>
                </c:pt>
                <c:pt idx="67">
                  <c:v>5.625</c:v>
                </c:pt>
                <c:pt idx="68">
                  <c:v>5.708333333333333</c:v>
                </c:pt>
                <c:pt idx="69">
                  <c:v>5.791666666666667</c:v>
                </c:pt>
                <c:pt idx="70">
                  <c:v>5.875</c:v>
                </c:pt>
                <c:pt idx="71">
                  <c:v>5.958333333333333</c:v>
                </c:pt>
                <c:pt idx="72">
                  <c:v>6.041666666666667</c:v>
                </c:pt>
                <c:pt idx="73">
                  <c:v>6.125</c:v>
                </c:pt>
                <c:pt idx="74">
                  <c:v>6.208333333333333</c:v>
                </c:pt>
                <c:pt idx="75">
                  <c:v>6.291666666666667</c:v>
                </c:pt>
                <c:pt idx="76">
                  <c:v>6.375</c:v>
                </c:pt>
                <c:pt idx="77">
                  <c:v>6.458333333333333</c:v>
                </c:pt>
                <c:pt idx="78">
                  <c:v>6.541666666666667</c:v>
                </c:pt>
                <c:pt idx="79">
                  <c:v>6.625</c:v>
                </c:pt>
                <c:pt idx="80">
                  <c:v>6.708333333333333</c:v>
                </c:pt>
                <c:pt idx="81">
                  <c:v>6.791666666666667</c:v>
                </c:pt>
                <c:pt idx="82">
                  <c:v>6.875</c:v>
                </c:pt>
                <c:pt idx="83">
                  <c:v>6.958333333333333</c:v>
                </c:pt>
                <c:pt idx="84">
                  <c:v>7.041666666666667</c:v>
                </c:pt>
                <c:pt idx="85">
                  <c:v>7.125</c:v>
                </c:pt>
                <c:pt idx="86">
                  <c:v>7.208333333333333</c:v>
                </c:pt>
                <c:pt idx="87">
                  <c:v>7.291666666666667</c:v>
                </c:pt>
                <c:pt idx="88">
                  <c:v>7.375</c:v>
                </c:pt>
                <c:pt idx="89">
                  <c:v>7.458333333333333</c:v>
                </c:pt>
                <c:pt idx="90">
                  <c:v>7.541666666666667</c:v>
                </c:pt>
                <c:pt idx="91">
                  <c:v>7.625</c:v>
                </c:pt>
                <c:pt idx="92">
                  <c:v>7.708333333333333</c:v>
                </c:pt>
                <c:pt idx="93">
                  <c:v>7.791666666666667</c:v>
                </c:pt>
                <c:pt idx="94">
                  <c:v>7.875</c:v>
                </c:pt>
                <c:pt idx="95">
                  <c:v>7.958333333333333</c:v>
                </c:pt>
                <c:pt idx="96">
                  <c:v>8.0416666666666661</c:v>
                </c:pt>
                <c:pt idx="97">
                  <c:v>8.125</c:v>
                </c:pt>
                <c:pt idx="98">
                  <c:v>8.2083333333333339</c:v>
                </c:pt>
                <c:pt idx="99">
                  <c:v>8.2916666666666661</c:v>
                </c:pt>
                <c:pt idx="100">
                  <c:v>8.375</c:v>
                </c:pt>
                <c:pt idx="101">
                  <c:v>8.4583333333333339</c:v>
                </c:pt>
                <c:pt idx="102">
                  <c:v>8.5416666666666661</c:v>
                </c:pt>
                <c:pt idx="103">
                  <c:v>8.625</c:v>
                </c:pt>
                <c:pt idx="104">
                  <c:v>8.7083333333333339</c:v>
                </c:pt>
                <c:pt idx="105">
                  <c:v>8.7916666666666661</c:v>
                </c:pt>
                <c:pt idx="106">
                  <c:v>8.875</c:v>
                </c:pt>
                <c:pt idx="107">
                  <c:v>8.9583333333333339</c:v>
                </c:pt>
                <c:pt idx="108">
                  <c:v>9.0416666666666661</c:v>
                </c:pt>
                <c:pt idx="109">
                  <c:v>9.125</c:v>
                </c:pt>
                <c:pt idx="110">
                  <c:v>9.2083333333333339</c:v>
                </c:pt>
                <c:pt idx="111">
                  <c:v>9.2916666666666661</c:v>
                </c:pt>
                <c:pt idx="112">
                  <c:v>9.375</c:v>
                </c:pt>
                <c:pt idx="113">
                  <c:v>9.4583333333333339</c:v>
                </c:pt>
                <c:pt idx="114">
                  <c:v>9.5416666666666661</c:v>
                </c:pt>
                <c:pt idx="115">
                  <c:v>9.625</c:v>
                </c:pt>
                <c:pt idx="116">
                  <c:v>9.7083333333333339</c:v>
                </c:pt>
                <c:pt idx="117">
                  <c:v>9.7916666666666661</c:v>
                </c:pt>
                <c:pt idx="118">
                  <c:v>9.875</c:v>
                </c:pt>
                <c:pt idx="119">
                  <c:v>9.9583333333333339</c:v>
                </c:pt>
                <c:pt idx="120">
                  <c:v>10.041666666666666</c:v>
                </c:pt>
                <c:pt idx="121">
                  <c:v>10.125</c:v>
                </c:pt>
                <c:pt idx="122">
                  <c:v>10.208333333333334</c:v>
                </c:pt>
                <c:pt idx="123">
                  <c:v>10.291666666666666</c:v>
                </c:pt>
                <c:pt idx="124">
                  <c:v>10.375</c:v>
                </c:pt>
                <c:pt idx="125">
                  <c:v>10.458333333333334</c:v>
                </c:pt>
                <c:pt idx="126">
                  <c:v>10.541666666666666</c:v>
                </c:pt>
                <c:pt idx="127">
                  <c:v>10.625</c:v>
                </c:pt>
                <c:pt idx="128">
                  <c:v>10.708333333333334</c:v>
                </c:pt>
                <c:pt idx="129">
                  <c:v>10.791666666666666</c:v>
                </c:pt>
                <c:pt idx="130">
                  <c:v>10.875</c:v>
                </c:pt>
                <c:pt idx="131">
                  <c:v>10.958333333333334</c:v>
                </c:pt>
                <c:pt idx="132">
                  <c:v>11.041666666666666</c:v>
                </c:pt>
                <c:pt idx="133">
                  <c:v>11.125</c:v>
                </c:pt>
                <c:pt idx="134">
                  <c:v>11.208333333333334</c:v>
                </c:pt>
                <c:pt idx="135">
                  <c:v>11.291666666666666</c:v>
                </c:pt>
                <c:pt idx="136">
                  <c:v>11.375</c:v>
                </c:pt>
                <c:pt idx="137">
                  <c:v>11.458333333333334</c:v>
                </c:pt>
                <c:pt idx="138">
                  <c:v>11.541666666666666</c:v>
                </c:pt>
                <c:pt idx="139">
                  <c:v>11.625</c:v>
                </c:pt>
                <c:pt idx="140">
                  <c:v>11.708333333333334</c:v>
                </c:pt>
                <c:pt idx="141">
                  <c:v>11.791666666666666</c:v>
                </c:pt>
                <c:pt idx="142">
                  <c:v>11.875</c:v>
                </c:pt>
                <c:pt idx="143">
                  <c:v>11.958333333333334</c:v>
                </c:pt>
                <c:pt idx="144">
                  <c:v>12.041666666666666</c:v>
                </c:pt>
                <c:pt idx="145">
                  <c:v>12.125</c:v>
                </c:pt>
                <c:pt idx="146">
                  <c:v>12.208333333333334</c:v>
                </c:pt>
                <c:pt idx="147">
                  <c:v>12.291666666666666</c:v>
                </c:pt>
                <c:pt idx="148">
                  <c:v>12.375</c:v>
                </c:pt>
                <c:pt idx="149">
                  <c:v>12.458333333333334</c:v>
                </c:pt>
                <c:pt idx="150">
                  <c:v>12.541666666666666</c:v>
                </c:pt>
                <c:pt idx="151">
                  <c:v>12.625</c:v>
                </c:pt>
                <c:pt idx="152">
                  <c:v>12.708333333333334</c:v>
                </c:pt>
                <c:pt idx="153">
                  <c:v>12.791666666666666</c:v>
                </c:pt>
                <c:pt idx="154">
                  <c:v>12.875</c:v>
                </c:pt>
                <c:pt idx="155">
                  <c:v>12.958333333333334</c:v>
                </c:pt>
                <c:pt idx="156">
                  <c:v>13.041666666666666</c:v>
                </c:pt>
                <c:pt idx="157">
                  <c:v>13.125</c:v>
                </c:pt>
                <c:pt idx="158">
                  <c:v>13.208333333333334</c:v>
                </c:pt>
                <c:pt idx="159">
                  <c:v>13.291666666666666</c:v>
                </c:pt>
                <c:pt idx="160">
                  <c:v>13.375</c:v>
                </c:pt>
                <c:pt idx="161">
                  <c:v>13.458333333333334</c:v>
                </c:pt>
                <c:pt idx="162">
                  <c:v>13.541666666666666</c:v>
                </c:pt>
                <c:pt idx="163">
                  <c:v>13.625</c:v>
                </c:pt>
                <c:pt idx="164">
                  <c:v>13.708333333333334</c:v>
                </c:pt>
                <c:pt idx="165">
                  <c:v>13.791666666666666</c:v>
                </c:pt>
                <c:pt idx="166">
                  <c:v>13.875</c:v>
                </c:pt>
                <c:pt idx="167">
                  <c:v>13.958333333333334</c:v>
                </c:pt>
                <c:pt idx="168">
                  <c:v>14.041666666666666</c:v>
                </c:pt>
                <c:pt idx="169">
                  <c:v>14.125</c:v>
                </c:pt>
                <c:pt idx="170">
                  <c:v>14.208333333333334</c:v>
                </c:pt>
                <c:pt idx="171">
                  <c:v>14.291666666666666</c:v>
                </c:pt>
                <c:pt idx="172">
                  <c:v>14.375</c:v>
                </c:pt>
                <c:pt idx="173">
                  <c:v>14.458333333333334</c:v>
                </c:pt>
                <c:pt idx="174">
                  <c:v>14.541666666666666</c:v>
                </c:pt>
                <c:pt idx="175">
                  <c:v>14.625</c:v>
                </c:pt>
                <c:pt idx="176">
                  <c:v>14.708333333333334</c:v>
                </c:pt>
                <c:pt idx="177">
                  <c:v>14.791666666666666</c:v>
                </c:pt>
                <c:pt idx="178">
                  <c:v>14.875</c:v>
                </c:pt>
                <c:pt idx="179">
                  <c:v>14.958333333333334</c:v>
                </c:pt>
                <c:pt idx="180">
                  <c:v>15.041666666666666</c:v>
                </c:pt>
                <c:pt idx="181">
                  <c:v>15.125</c:v>
                </c:pt>
                <c:pt idx="182">
                  <c:v>15.208333333333334</c:v>
                </c:pt>
                <c:pt idx="183">
                  <c:v>15.291666666666666</c:v>
                </c:pt>
                <c:pt idx="184">
                  <c:v>15.375</c:v>
                </c:pt>
                <c:pt idx="185">
                  <c:v>15.458333333333334</c:v>
                </c:pt>
                <c:pt idx="186">
                  <c:v>15.541666666666666</c:v>
                </c:pt>
                <c:pt idx="187">
                  <c:v>15.625</c:v>
                </c:pt>
                <c:pt idx="188">
                  <c:v>15.708333333333334</c:v>
                </c:pt>
                <c:pt idx="189">
                  <c:v>15.791666666666666</c:v>
                </c:pt>
                <c:pt idx="190">
                  <c:v>15.875</c:v>
                </c:pt>
                <c:pt idx="191">
                  <c:v>15.958333333333334</c:v>
                </c:pt>
                <c:pt idx="192">
                  <c:v>16.041666666666668</c:v>
                </c:pt>
                <c:pt idx="193">
                  <c:v>16.125</c:v>
                </c:pt>
                <c:pt idx="194">
                  <c:v>16.208333333333332</c:v>
                </c:pt>
                <c:pt idx="195">
                  <c:v>16.291666666666668</c:v>
                </c:pt>
                <c:pt idx="196">
                  <c:v>16.375</c:v>
                </c:pt>
                <c:pt idx="197">
                  <c:v>16.458333333333332</c:v>
                </c:pt>
                <c:pt idx="198">
                  <c:v>16.541666666666668</c:v>
                </c:pt>
                <c:pt idx="199">
                  <c:v>16.625</c:v>
                </c:pt>
                <c:pt idx="200">
                  <c:v>16.708333333333332</c:v>
                </c:pt>
                <c:pt idx="201">
                  <c:v>16.791666666666668</c:v>
                </c:pt>
                <c:pt idx="202">
                  <c:v>16.875</c:v>
                </c:pt>
                <c:pt idx="203">
                  <c:v>16.958333333333332</c:v>
                </c:pt>
                <c:pt idx="204">
                  <c:v>17.041666666666668</c:v>
                </c:pt>
                <c:pt idx="205">
                  <c:v>17.125</c:v>
                </c:pt>
                <c:pt idx="206">
                  <c:v>17.208333333333332</c:v>
                </c:pt>
                <c:pt idx="207">
                  <c:v>17.291666666666668</c:v>
                </c:pt>
                <c:pt idx="208">
                  <c:v>17.375</c:v>
                </c:pt>
                <c:pt idx="209">
                  <c:v>17.458333333333332</c:v>
                </c:pt>
                <c:pt idx="210">
                  <c:v>17.541666666666668</c:v>
                </c:pt>
                <c:pt idx="211">
                  <c:v>17.625</c:v>
                </c:pt>
                <c:pt idx="212">
                  <c:v>17.708333333333332</c:v>
                </c:pt>
                <c:pt idx="213">
                  <c:v>17.791666666666668</c:v>
                </c:pt>
                <c:pt idx="214">
                  <c:v>17.875</c:v>
                </c:pt>
                <c:pt idx="215">
                  <c:v>17.958333333333332</c:v>
                </c:pt>
                <c:pt idx="216">
                  <c:v>18.041666666666668</c:v>
                </c:pt>
                <c:pt idx="217">
                  <c:v>18.125</c:v>
                </c:pt>
                <c:pt idx="218">
                  <c:v>18.208333333333332</c:v>
                </c:pt>
                <c:pt idx="219">
                  <c:v>18.291666666666668</c:v>
                </c:pt>
                <c:pt idx="220">
                  <c:v>18.375</c:v>
                </c:pt>
                <c:pt idx="221">
                  <c:v>18.458333333333332</c:v>
                </c:pt>
                <c:pt idx="222">
                  <c:v>18.541666666666668</c:v>
                </c:pt>
                <c:pt idx="223">
                  <c:v>18.625</c:v>
                </c:pt>
                <c:pt idx="224">
                  <c:v>18.708333333333332</c:v>
                </c:pt>
                <c:pt idx="225">
                  <c:v>18.791666666666668</c:v>
                </c:pt>
                <c:pt idx="226">
                  <c:v>18.875</c:v>
                </c:pt>
                <c:pt idx="227">
                  <c:v>18.958333333333332</c:v>
                </c:pt>
                <c:pt idx="228">
                  <c:v>19.041666666666668</c:v>
                </c:pt>
                <c:pt idx="229">
                  <c:v>19.125</c:v>
                </c:pt>
                <c:pt idx="230">
                  <c:v>19.208333333333332</c:v>
                </c:pt>
                <c:pt idx="231">
                  <c:v>19.291666666666668</c:v>
                </c:pt>
                <c:pt idx="232">
                  <c:v>19.375</c:v>
                </c:pt>
                <c:pt idx="233">
                  <c:v>19.458333333333332</c:v>
                </c:pt>
                <c:pt idx="234">
                  <c:v>19.541666666666668</c:v>
                </c:pt>
                <c:pt idx="235">
                  <c:v>19.625</c:v>
                </c:pt>
                <c:pt idx="236">
                  <c:v>19.708333333333332</c:v>
                </c:pt>
                <c:pt idx="237">
                  <c:v>19.791666666666668</c:v>
                </c:pt>
                <c:pt idx="238">
                  <c:v>19.875</c:v>
                </c:pt>
                <c:pt idx="239">
                  <c:v>19.958333333333332</c:v>
                </c:pt>
                <c:pt idx="240">
                  <c:v>20</c:v>
                </c:pt>
              </c:numCache>
            </c:numRef>
          </c:xVal>
          <c:yVal>
            <c:numRef>
              <c:f>length4age!$M$2:$M$242</c:f>
              <c:numCache>
                <c:formatCode>General</c:formatCode>
                <c:ptCount val="241"/>
                <c:pt idx="0">
                  <c:v>54.307211971577097</c:v>
                </c:pt>
                <c:pt idx="1">
                  <c:v>56.999077373104527</c:v>
                </c:pt>
                <c:pt idx="2">
                  <c:v>60.964653791663324</c:v>
                </c:pt>
                <c:pt idx="3">
                  <c:v>64.007885488854129</c:v>
                </c:pt>
                <c:pt idx="4">
                  <c:v>66.548890303238935</c:v>
                </c:pt>
                <c:pt idx="5">
                  <c:v>68.765377571731932</c:v>
                </c:pt>
                <c:pt idx="6">
                  <c:v>70.751282989523375</c:v>
                </c:pt>
                <c:pt idx="7">
                  <c:v>72.563067979042629</c:v>
                </c:pt>
                <c:pt idx="8">
                  <c:v>74.237667456552884</c:v>
                </c:pt>
                <c:pt idx="9">
                  <c:v>75.800744083243814</c:v>
                </c:pt>
                <c:pt idx="10">
                  <c:v>77.270952502648257</c:v>
                </c:pt>
                <c:pt idx="11">
                  <c:v>78.662339360672178</c:v>
                </c:pt>
                <c:pt idx="12">
                  <c:v>79.985782180866224</c:v>
                </c:pt>
                <c:pt idx="13">
                  <c:v>81.249903157893513</c:v>
                </c:pt>
                <c:pt idx="14">
                  <c:v>82.461668647254456</c:v>
                </c:pt>
                <c:pt idx="15">
                  <c:v>83.626800028509862</c:v>
                </c:pt>
                <c:pt idx="16">
                  <c:v>84.750062409489885</c:v>
                </c:pt>
                <c:pt idx="17">
                  <c:v>85.835473017739488</c:v>
                </c:pt>
                <c:pt idx="18">
                  <c:v>86.886454730588923</c:v>
                </c:pt>
                <c:pt idx="19">
                  <c:v>87.905951574616239</c:v>
                </c:pt>
                <c:pt idx="20">
                  <c:v>88.896516873789707</c:v>
                </c:pt>
                <c:pt idx="21">
                  <c:v>89.860381761665323</c:v>
                </c:pt>
                <c:pt idx="22">
                  <c:v>90.799509012129064</c:v>
                </c:pt>
                <c:pt idx="23">
                  <c:v>91.71563467589921</c:v>
                </c:pt>
                <c:pt idx="24">
                  <c:v>92.631767490000001</c:v>
                </c:pt>
                <c:pt idx="25">
                  <c:v>93.534066480000007</c:v>
                </c:pt>
                <c:pt idx="26">
                  <c:v>94.408849140000001</c:v>
                </c:pt>
                <c:pt idx="27">
                  <c:v>95.257541059999994</c:v>
                </c:pt>
                <c:pt idx="28">
                  <c:v>96.081488480000004</c:v>
                </c:pt>
                <c:pt idx="29">
                  <c:v>96.881979810000004</c:v>
                </c:pt>
                <c:pt idx="30">
                  <c:v>97.660266629999995</c:v>
                </c:pt>
                <c:pt idx="31">
                  <c:v>98.417579099999998</c:v>
                </c:pt>
                <c:pt idx="32">
                  <c:v>99.155137920000001</c:v>
                </c:pt>
                <c:pt idx="33">
                  <c:v>99.874163519999996</c:v>
                </c:pt>
                <c:pt idx="34">
                  <c:v>100.5758831</c:v>
                </c:pt>
                <c:pt idx="35">
                  <c:v>101.2615351</c:v>
                </c:pt>
                <c:pt idx="36">
                  <c:v>101.93237619999999</c:v>
                </c:pt>
                <c:pt idx="37">
                  <c:v>102.5930445</c:v>
                </c:pt>
                <c:pt idx="38">
                  <c:v>103.2470198</c:v>
                </c:pt>
                <c:pt idx="39">
                  <c:v>103.8948257</c:v>
                </c:pt>
                <c:pt idx="40">
                  <c:v>104.5369608</c:v>
                </c:pt>
                <c:pt idx="41">
                  <c:v>105.17390159999999</c:v>
                </c:pt>
                <c:pt idx="42">
                  <c:v>105.8060983</c:v>
                </c:pt>
                <c:pt idx="43">
                  <c:v>106.4339786</c:v>
                </c:pt>
                <c:pt idx="44">
                  <c:v>107.0579468</c:v>
                </c:pt>
                <c:pt idx="45">
                  <c:v>107.6783842</c:v>
                </c:pt>
                <c:pt idx="46">
                  <c:v>108.2956497</c:v>
                </c:pt>
                <c:pt idx="47">
                  <c:v>108.9100797</c:v>
                </c:pt>
                <c:pt idx="48">
                  <c:v>109.5219891</c:v>
                </c:pt>
                <c:pt idx="49">
                  <c:v>110.13167129999999</c:v>
                </c:pt>
                <c:pt idx="50">
                  <c:v>110.7393989</c:v>
                </c:pt>
                <c:pt idx="51">
                  <c:v>111.3454248</c:v>
                </c:pt>
                <c:pt idx="52">
                  <c:v>111.94997789999999</c:v>
                </c:pt>
                <c:pt idx="53">
                  <c:v>112.55327370000001</c:v>
                </c:pt>
                <c:pt idx="54">
                  <c:v>113.1555037</c:v>
                </c:pt>
                <c:pt idx="55">
                  <c:v>113.7568423</c:v>
                </c:pt>
                <c:pt idx="56">
                  <c:v>114.3574452</c:v>
                </c:pt>
                <c:pt idx="57">
                  <c:v>114.9574502</c:v>
                </c:pt>
                <c:pt idx="58">
                  <c:v>115.5569776</c:v>
                </c:pt>
                <c:pt idx="59">
                  <c:v>116.1561304</c:v>
                </c:pt>
                <c:pt idx="60">
                  <c:v>116.7549954</c:v>
                </c:pt>
                <c:pt idx="61">
                  <c:v>117.3536426</c:v>
                </c:pt>
                <c:pt idx="62">
                  <c:v>117.9521268</c:v>
                </c:pt>
                <c:pt idx="63">
                  <c:v>118.55048720000001</c:v>
                </c:pt>
                <c:pt idx="64">
                  <c:v>119.1487482</c:v>
                </c:pt>
                <c:pt idx="65">
                  <c:v>119.7469201</c:v>
                </c:pt>
                <c:pt idx="66">
                  <c:v>120.3449993</c:v>
                </c:pt>
                <c:pt idx="67">
                  <c:v>120.9429688</c:v>
                </c:pt>
                <c:pt idx="68">
                  <c:v>121.54079900000001</c:v>
                </c:pt>
                <c:pt idx="69">
                  <c:v>122.1384479</c:v>
                </c:pt>
                <c:pt idx="70">
                  <c:v>122.7358617</c:v>
                </c:pt>
                <c:pt idx="71">
                  <c:v>123.3329768</c:v>
                </c:pt>
                <c:pt idx="72">
                  <c:v>123.9297176</c:v>
                </c:pt>
                <c:pt idx="73">
                  <c:v>124.52599910000001</c:v>
                </c:pt>
                <c:pt idx="74">
                  <c:v>125.1217272</c:v>
                </c:pt>
                <c:pt idx="75">
                  <c:v>125.7167992</c:v>
                </c:pt>
                <c:pt idx="76">
                  <c:v>126.3111047</c:v>
                </c:pt>
                <c:pt idx="77">
                  <c:v>126.9045258</c:v>
                </c:pt>
                <c:pt idx="78">
                  <c:v>127.4969382</c:v>
                </c:pt>
                <c:pt idx="79">
                  <c:v>128.0882119</c:v>
                </c:pt>
                <c:pt idx="80">
                  <c:v>128.6782115</c:v>
                </c:pt>
                <c:pt idx="81">
                  <c:v>129.26679770000001</c:v>
                </c:pt>
                <c:pt idx="82">
                  <c:v>129.85382720000001</c:v>
                </c:pt>
                <c:pt idx="83">
                  <c:v>130.43915419999999</c:v>
                </c:pt>
                <c:pt idx="84">
                  <c:v>131.0226304</c:v>
                </c:pt>
                <c:pt idx="85">
                  <c:v>131.60410669999999</c:v>
                </c:pt>
                <c:pt idx="86">
                  <c:v>132.18343300000001</c:v>
                </c:pt>
                <c:pt idx="87">
                  <c:v>132.7604599</c:v>
                </c:pt>
                <c:pt idx="88">
                  <c:v>133.335037</c:v>
                </c:pt>
                <c:pt idx="89">
                  <c:v>133.90702060000001</c:v>
                </c:pt>
                <c:pt idx="90">
                  <c:v>134.47626550000001</c:v>
                </c:pt>
                <c:pt idx="91">
                  <c:v>135.04263119999999</c:v>
                </c:pt>
                <c:pt idx="92">
                  <c:v>135.60598150000001</c:v>
                </c:pt>
                <c:pt idx="93">
                  <c:v>136.1661852</c:v>
                </c:pt>
                <c:pt idx="94">
                  <c:v>136.72311730000001</c:v>
                </c:pt>
                <c:pt idx="95">
                  <c:v>137.27665920000001</c:v>
                </c:pt>
                <c:pt idx="96">
                  <c:v>137.82670010000001</c:v>
                </c:pt>
                <c:pt idx="97">
                  <c:v>138.37313760000001</c:v>
                </c:pt>
                <c:pt idx="98">
                  <c:v>138.91587849999999</c:v>
                </c:pt>
                <c:pt idx="99">
                  <c:v>139.45483949999999</c:v>
                </c:pt>
                <c:pt idx="100">
                  <c:v>139.9899485</c:v>
                </c:pt>
                <c:pt idx="101">
                  <c:v>140.52114510000001</c:v>
                </c:pt>
                <c:pt idx="102">
                  <c:v>141.04838129999999</c:v>
                </c:pt>
                <c:pt idx="103">
                  <c:v>141.57162289999999</c:v>
                </c:pt>
                <c:pt idx="104">
                  <c:v>142.0908498</c:v>
                </c:pt>
                <c:pt idx="105">
                  <c:v>142.60605709999999</c:v>
                </c:pt>
                <c:pt idx="106">
                  <c:v>143.11725620000001</c:v>
                </c:pt>
                <c:pt idx="107">
                  <c:v>143.6244753</c:v>
                </c:pt>
                <c:pt idx="108">
                  <c:v>144.12776049999999</c:v>
                </c:pt>
                <c:pt idx="109">
                  <c:v>144.62717670000001</c:v>
                </c:pt>
                <c:pt idx="110">
                  <c:v>145.1228083</c:v>
                </c:pt>
                <c:pt idx="111">
                  <c:v>145.61476020000001</c:v>
                </c:pt>
                <c:pt idx="112">
                  <c:v>146.10315900000001</c:v>
                </c:pt>
                <c:pt idx="113">
                  <c:v>146.5881531</c:v>
                </c:pt>
                <c:pt idx="114">
                  <c:v>147.06991429999999</c:v>
                </c:pt>
                <c:pt idx="115">
                  <c:v>147.5486382</c:v>
                </c:pt>
                <c:pt idx="116">
                  <c:v>148.02454520000001</c:v>
                </c:pt>
                <c:pt idx="117">
                  <c:v>148.4978811</c:v>
                </c:pt>
                <c:pt idx="118">
                  <c:v>148.96891780000001</c:v>
                </c:pt>
                <c:pt idx="119">
                  <c:v>149.4379538</c:v>
                </c:pt>
                <c:pt idx="120">
                  <c:v>149.9053151</c:v>
                </c:pt>
                <c:pt idx="121">
                  <c:v>150.3713549</c:v>
                </c:pt>
                <c:pt idx="122">
                  <c:v>150.83645430000001</c:v>
                </c:pt>
                <c:pt idx="123">
                  <c:v>151.3010223</c:v>
                </c:pt>
                <c:pt idx="124">
                  <c:v>151.76549510000001</c:v>
                </c:pt>
                <c:pt idx="125">
                  <c:v>152.2303363</c:v>
                </c:pt>
                <c:pt idx="126">
                  <c:v>152.69603549999999</c:v>
                </c:pt>
                <c:pt idx="127">
                  <c:v>153.1631074</c:v>
                </c:pt>
                <c:pt idx="128">
                  <c:v>153.63209040000001</c:v>
                </c:pt>
                <c:pt idx="129">
                  <c:v>154.103544</c:v>
                </c:pt>
                <c:pt idx="130">
                  <c:v>154.5780465</c:v>
                </c:pt>
                <c:pt idx="131">
                  <c:v>155.05619189999999</c:v>
                </c:pt>
                <c:pt idx="132">
                  <c:v>155.53858579999999</c:v>
                </c:pt>
                <c:pt idx="133">
                  <c:v>156.0258407</c:v>
                </c:pt>
                <c:pt idx="134">
                  <c:v>156.5185711</c:v>
                </c:pt>
                <c:pt idx="135">
                  <c:v>157.0173867</c:v>
                </c:pt>
                <c:pt idx="136">
                  <c:v>157.522886</c:v>
                </c:pt>
                <c:pt idx="137">
                  <c:v>158.0356481</c:v>
                </c:pt>
                <c:pt idx="138">
                  <c:v>158.5562242</c:v>
                </c:pt>
                <c:pt idx="139">
                  <c:v>159.085128</c:v>
                </c:pt>
                <c:pt idx="140">
                  <c:v>159.622826</c:v>
                </c:pt>
                <c:pt idx="141">
                  <c:v>160.16972630000001</c:v>
                </c:pt>
                <c:pt idx="142">
                  <c:v>160.72616790000001</c:v>
                </c:pt>
                <c:pt idx="143">
                  <c:v>161.29240909999999</c:v>
                </c:pt>
                <c:pt idx="144">
                  <c:v>161.86861619999999</c:v>
                </c:pt>
                <c:pt idx="145">
                  <c:v>162.45485260000001</c:v>
                </c:pt>
                <c:pt idx="146">
                  <c:v>163.05106789999999</c:v>
                </c:pt>
                <c:pt idx="147">
                  <c:v>163.65708900000001</c:v>
                </c:pt>
                <c:pt idx="148">
                  <c:v>164.27261139999999</c:v>
                </c:pt>
                <c:pt idx="149">
                  <c:v>164.89719299999999</c:v>
                </c:pt>
                <c:pt idx="150">
                  <c:v>165.53024970000001</c:v>
                </c:pt>
                <c:pt idx="151">
                  <c:v>166.17105340000001</c:v>
                </c:pt>
                <c:pt idx="152">
                  <c:v>166.81873289999999</c:v>
                </c:pt>
                <c:pt idx="153">
                  <c:v>167.47227760000001</c:v>
                </c:pt>
                <c:pt idx="154">
                  <c:v>168.13054439999999</c:v>
                </c:pt>
                <c:pt idx="155">
                  <c:v>168.7922681</c:v>
                </c:pt>
                <c:pt idx="156">
                  <c:v>169.45607419999999</c:v>
                </c:pt>
                <c:pt idx="157">
                  <c:v>170.12049590000001</c:v>
                </c:pt>
                <c:pt idx="158">
                  <c:v>170.78399089999999</c:v>
                </c:pt>
                <c:pt idx="159">
                  <c:v>171.44496599999999</c:v>
                </c:pt>
                <c:pt idx="160">
                  <c:v>172.1017957</c:v>
                </c:pt>
                <c:pt idx="161">
                  <c:v>172.75284909999999</c:v>
                </c:pt>
                <c:pt idx="162">
                  <c:v>173.39651119999999</c:v>
                </c:pt>
                <c:pt idx="163">
                  <c:v>174.0312083</c:v>
                </c:pt>
                <c:pt idx="164">
                  <c:v>174.6554295</c:v>
                </c:pt>
                <c:pt idx="165">
                  <c:v>175.26774810000001</c:v>
                </c:pt>
                <c:pt idx="166">
                  <c:v>175.86683930000001</c:v>
                </c:pt>
                <c:pt idx="167">
                  <c:v>176.45149470000001</c:v>
                </c:pt>
                <c:pt idx="168">
                  <c:v>177.02064089999999</c:v>
                </c:pt>
                <c:pt idx="169">
                  <c:v>177.57334059999999</c:v>
                </c:pt>
                <c:pt idx="170">
                  <c:v>178.1088034</c:v>
                </c:pt>
                <c:pt idx="171">
                  <c:v>178.6263873</c:v>
                </c:pt>
                <c:pt idx="172">
                  <c:v>179.12559870000001</c:v>
                </c:pt>
                <c:pt idx="173">
                  <c:v>179.6060885</c:v>
                </c:pt>
                <c:pt idx="174">
                  <c:v>180.0676464</c:v>
                </c:pt>
                <c:pt idx="175">
                  <c:v>180.51019360000001</c:v>
                </c:pt>
                <c:pt idx="176">
                  <c:v>180.9337725</c:v>
                </c:pt>
                <c:pt idx="177">
                  <c:v>181.33853640000001</c:v>
                </c:pt>
                <c:pt idx="178">
                  <c:v>181.7247376</c:v>
                </c:pt>
                <c:pt idx="179">
                  <c:v>182.09271559999999</c:v>
                </c:pt>
                <c:pt idx="180">
                  <c:v>182.44288510000001</c:v>
                </c:pt>
                <c:pt idx="181">
                  <c:v>182.7757235</c:v>
                </c:pt>
                <c:pt idx="182">
                  <c:v>183.09175999999999</c:v>
                </c:pt>
                <c:pt idx="183">
                  <c:v>183.3915648</c:v>
                </c:pt>
                <c:pt idx="184">
                  <c:v>183.67573859999999</c:v>
                </c:pt>
                <c:pt idx="185">
                  <c:v>183.94490379999999</c:v>
                </c:pt>
                <c:pt idx="186">
                  <c:v>184.19969649999999</c:v>
                </c:pt>
                <c:pt idx="187">
                  <c:v>184.44075849999999</c:v>
                </c:pt>
                <c:pt idx="188">
                  <c:v>184.6687321</c:v>
                </c:pt>
                <c:pt idx="189">
                  <c:v>184.8842531</c:v>
                </c:pt>
                <c:pt idx="190">
                  <c:v>185.08794850000001</c:v>
                </c:pt>
                <c:pt idx="191">
                  <c:v>185.28043070000001</c:v>
                </c:pt>
                <c:pt idx="192">
                  <c:v>185.4622948</c:v>
                </c:pt>
                <c:pt idx="193">
                  <c:v>185.63411830000001</c:v>
                </c:pt>
                <c:pt idx="194">
                  <c:v>185.79645650000001</c:v>
                </c:pt>
                <c:pt idx="195">
                  <c:v>185.94984299999999</c:v>
                </c:pt>
                <c:pt idx="196">
                  <c:v>186.0947883</c:v>
                </c:pt>
                <c:pt idx="197">
                  <c:v>186.23177939999999</c:v>
                </c:pt>
                <c:pt idx="198">
                  <c:v>186.36128009999999</c:v>
                </c:pt>
                <c:pt idx="199">
                  <c:v>186.4837302</c:v>
                </c:pt>
                <c:pt idx="200">
                  <c:v>186.59954680000001</c:v>
                </c:pt>
                <c:pt idx="201">
                  <c:v>186.70912419999999</c:v>
                </c:pt>
                <c:pt idx="202">
                  <c:v>186.81283479999999</c:v>
                </c:pt>
                <c:pt idx="203">
                  <c:v>186.91102960000001</c:v>
                </c:pt>
                <c:pt idx="204">
                  <c:v>187.00403940000001</c:v>
                </c:pt>
                <c:pt idx="205">
                  <c:v>187.09217530000001</c:v>
                </c:pt>
                <c:pt idx="206">
                  <c:v>187.17572949999999</c:v>
                </c:pt>
                <c:pt idx="207">
                  <c:v>187.25497669999999</c:v>
                </c:pt>
                <c:pt idx="208">
                  <c:v>187.3301745</c:v>
                </c:pt>
                <c:pt idx="209">
                  <c:v>187.40156450000001</c:v>
                </c:pt>
                <c:pt idx="210">
                  <c:v>187.46937320000001</c:v>
                </c:pt>
                <c:pt idx="211">
                  <c:v>187.53381279999999</c:v>
                </c:pt>
                <c:pt idx="212">
                  <c:v>187.59508210000001</c:v>
                </c:pt>
                <c:pt idx="213">
                  <c:v>187.65336719999999</c:v>
                </c:pt>
                <c:pt idx="214">
                  <c:v>187.70884219999999</c:v>
                </c:pt>
                <c:pt idx="215">
                  <c:v>187.7616702</c:v>
                </c:pt>
                <c:pt idx="216">
                  <c:v>187.81200380000001</c:v>
                </c:pt>
                <c:pt idx="217">
                  <c:v>187.8599859</c:v>
                </c:pt>
                <c:pt idx="218">
                  <c:v>187.90574989999999</c:v>
                </c:pt>
                <c:pt idx="219">
                  <c:v>187.9494211</c:v>
                </c:pt>
                <c:pt idx="220">
                  <c:v>187.9911165</c:v>
                </c:pt>
                <c:pt idx="221">
                  <c:v>188.0309455</c:v>
                </c:pt>
                <c:pt idx="222">
                  <c:v>188.0690108</c:v>
                </c:pt>
                <c:pt idx="223">
                  <c:v>188.10540850000001</c:v>
                </c:pt>
                <c:pt idx="224">
                  <c:v>188.14022840000001</c:v>
                </c:pt>
                <c:pt idx="225">
                  <c:v>188.1735549</c:v>
                </c:pt>
                <c:pt idx="226">
                  <c:v>188.2054669</c:v>
                </c:pt>
                <c:pt idx="227">
                  <c:v>188.2360386</c:v>
                </c:pt>
                <c:pt idx="228">
                  <c:v>188.2653392</c:v>
                </c:pt>
                <c:pt idx="229">
                  <c:v>188.29343399999999</c:v>
                </c:pt>
                <c:pt idx="230">
                  <c:v>188.32038410000001</c:v>
                </c:pt>
                <c:pt idx="231">
                  <c:v>188.34624690000001</c:v>
                </c:pt>
                <c:pt idx="232">
                  <c:v>188.3710763</c:v>
                </c:pt>
                <c:pt idx="233">
                  <c:v>188.39492300000001</c:v>
                </c:pt>
                <c:pt idx="234">
                  <c:v>188.41783469999999</c:v>
                </c:pt>
                <c:pt idx="235">
                  <c:v>188.43985620000001</c:v>
                </c:pt>
                <c:pt idx="236">
                  <c:v>188.46102970000001</c:v>
                </c:pt>
                <c:pt idx="237">
                  <c:v>188.48139499999999</c:v>
                </c:pt>
                <c:pt idx="238">
                  <c:v>188.50098940000001</c:v>
                </c:pt>
                <c:pt idx="239">
                  <c:v>188.5198484</c:v>
                </c:pt>
                <c:pt idx="240">
                  <c:v>188.52901249999999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350-4504-82E8-CD672D813146}"/>
            </c:ext>
          </c:extLst>
        </c:ser>
        <c:ser>
          <c:idx val="9"/>
          <c:order val="10"/>
          <c:tx>
            <c:v>P97 boys</c:v>
          </c:tx>
          <c:spPr>
            <a:ln w="635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length4age!$B$2:$B$242</c:f>
              <c:numCache>
                <c:formatCode>0.00</c:formatCode>
                <c:ptCount val="241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2.0416666666666665</c:v>
                </c:pt>
                <c:pt idx="25">
                  <c:v>2.125</c:v>
                </c:pt>
                <c:pt idx="26">
                  <c:v>2.2083333333333335</c:v>
                </c:pt>
                <c:pt idx="27">
                  <c:v>2.2916666666666665</c:v>
                </c:pt>
                <c:pt idx="28">
                  <c:v>2.375</c:v>
                </c:pt>
                <c:pt idx="29">
                  <c:v>2.4583333333333335</c:v>
                </c:pt>
                <c:pt idx="30">
                  <c:v>2.5416666666666665</c:v>
                </c:pt>
                <c:pt idx="31">
                  <c:v>2.625</c:v>
                </c:pt>
                <c:pt idx="32">
                  <c:v>2.7083333333333335</c:v>
                </c:pt>
                <c:pt idx="33">
                  <c:v>2.7916666666666665</c:v>
                </c:pt>
                <c:pt idx="34">
                  <c:v>2.875</c:v>
                </c:pt>
                <c:pt idx="35">
                  <c:v>2.9583333333333335</c:v>
                </c:pt>
                <c:pt idx="36">
                  <c:v>3.0416666666666665</c:v>
                </c:pt>
                <c:pt idx="37">
                  <c:v>3.125</c:v>
                </c:pt>
                <c:pt idx="38">
                  <c:v>3.2083333333333335</c:v>
                </c:pt>
                <c:pt idx="39">
                  <c:v>3.2916666666666665</c:v>
                </c:pt>
                <c:pt idx="40">
                  <c:v>3.375</c:v>
                </c:pt>
                <c:pt idx="41">
                  <c:v>3.4583333333333335</c:v>
                </c:pt>
                <c:pt idx="42">
                  <c:v>3.5416666666666665</c:v>
                </c:pt>
                <c:pt idx="43">
                  <c:v>3.625</c:v>
                </c:pt>
                <c:pt idx="44">
                  <c:v>3.7083333333333335</c:v>
                </c:pt>
                <c:pt idx="45">
                  <c:v>3.7916666666666665</c:v>
                </c:pt>
                <c:pt idx="46">
                  <c:v>3.875</c:v>
                </c:pt>
                <c:pt idx="47">
                  <c:v>3.9583333333333335</c:v>
                </c:pt>
                <c:pt idx="48">
                  <c:v>4.041666666666667</c:v>
                </c:pt>
                <c:pt idx="49">
                  <c:v>4.125</c:v>
                </c:pt>
                <c:pt idx="50">
                  <c:v>4.208333333333333</c:v>
                </c:pt>
                <c:pt idx="51">
                  <c:v>4.291666666666667</c:v>
                </c:pt>
                <c:pt idx="52">
                  <c:v>4.375</c:v>
                </c:pt>
                <c:pt idx="53">
                  <c:v>4.458333333333333</c:v>
                </c:pt>
                <c:pt idx="54">
                  <c:v>4.541666666666667</c:v>
                </c:pt>
                <c:pt idx="55">
                  <c:v>4.625</c:v>
                </c:pt>
                <c:pt idx="56">
                  <c:v>4.708333333333333</c:v>
                </c:pt>
                <c:pt idx="57">
                  <c:v>4.791666666666667</c:v>
                </c:pt>
                <c:pt idx="58">
                  <c:v>4.875</c:v>
                </c:pt>
                <c:pt idx="59">
                  <c:v>4.958333333333333</c:v>
                </c:pt>
                <c:pt idx="60">
                  <c:v>5.041666666666667</c:v>
                </c:pt>
                <c:pt idx="61">
                  <c:v>5.125</c:v>
                </c:pt>
                <c:pt idx="62">
                  <c:v>5.208333333333333</c:v>
                </c:pt>
                <c:pt idx="63">
                  <c:v>5.291666666666667</c:v>
                </c:pt>
                <c:pt idx="64">
                  <c:v>5.375</c:v>
                </c:pt>
                <c:pt idx="65">
                  <c:v>5.458333333333333</c:v>
                </c:pt>
                <c:pt idx="66">
                  <c:v>5.541666666666667</c:v>
                </c:pt>
                <c:pt idx="67">
                  <c:v>5.625</c:v>
                </c:pt>
                <c:pt idx="68">
                  <c:v>5.708333333333333</c:v>
                </c:pt>
                <c:pt idx="69">
                  <c:v>5.791666666666667</c:v>
                </c:pt>
                <c:pt idx="70">
                  <c:v>5.875</c:v>
                </c:pt>
                <c:pt idx="71">
                  <c:v>5.958333333333333</c:v>
                </c:pt>
                <c:pt idx="72">
                  <c:v>6.041666666666667</c:v>
                </c:pt>
                <c:pt idx="73">
                  <c:v>6.125</c:v>
                </c:pt>
                <c:pt idx="74">
                  <c:v>6.208333333333333</c:v>
                </c:pt>
                <c:pt idx="75">
                  <c:v>6.291666666666667</c:v>
                </c:pt>
                <c:pt idx="76">
                  <c:v>6.375</c:v>
                </c:pt>
                <c:pt idx="77">
                  <c:v>6.458333333333333</c:v>
                </c:pt>
                <c:pt idx="78">
                  <c:v>6.541666666666667</c:v>
                </c:pt>
                <c:pt idx="79">
                  <c:v>6.625</c:v>
                </c:pt>
                <c:pt idx="80">
                  <c:v>6.708333333333333</c:v>
                </c:pt>
                <c:pt idx="81">
                  <c:v>6.791666666666667</c:v>
                </c:pt>
                <c:pt idx="82">
                  <c:v>6.875</c:v>
                </c:pt>
                <c:pt idx="83">
                  <c:v>6.958333333333333</c:v>
                </c:pt>
                <c:pt idx="84">
                  <c:v>7.041666666666667</c:v>
                </c:pt>
                <c:pt idx="85">
                  <c:v>7.125</c:v>
                </c:pt>
                <c:pt idx="86">
                  <c:v>7.208333333333333</c:v>
                </c:pt>
                <c:pt idx="87">
                  <c:v>7.291666666666667</c:v>
                </c:pt>
                <c:pt idx="88">
                  <c:v>7.375</c:v>
                </c:pt>
                <c:pt idx="89">
                  <c:v>7.458333333333333</c:v>
                </c:pt>
                <c:pt idx="90">
                  <c:v>7.541666666666667</c:v>
                </c:pt>
                <c:pt idx="91">
                  <c:v>7.625</c:v>
                </c:pt>
                <c:pt idx="92">
                  <c:v>7.708333333333333</c:v>
                </c:pt>
                <c:pt idx="93">
                  <c:v>7.791666666666667</c:v>
                </c:pt>
                <c:pt idx="94">
                  <c:v>7.875</c:v>
                </c:pt>
                <c:pt idx="95">
                  <c:v>7.958333333333333</c:v>
                </c:pt>
                <c:pt idx="96">
                  <c:v>8.0416666666666661</c:v>
                </c:pt>
                <c:pt idx="97">
                  <c:v>8.125</c:v>
                </c:pt>
                <c:pt idx="98">
                  <c:v>8.2083333333333339</c:v>
                </c:pt>
                <c:pt idx="99">
                  <c:v>8.2916666666666661</c:v>
                </c:pt>
                <c:pt idx="100">
                  <c:v>8.375</c:v>
                </c:pt>
                <c:pt idx="101">
                  <c:v>8.4583333333333339</c:v>
                </c:pt>
                <c:pt idx="102">
                  <c:v>8.5416666666666661</c:v>
                </c:pt>
                <c:pt idx="103">
                  <c:v>8.625</c:v>
                </c:pt>
                <c:pt idx="104">
                  <c:v>8.7083333333333339</c:v>
                </c:pt>
                <c:pt idx="105">
                  <c:v>8.7916666666666661</c:v>
                </c:pt>
                <c:pt idx="106">
                  <c:v>8.875</c:v>
                </c:pt>
                <c:pt idx="107">
                  <c:v>8.9583333333333339</c:v>
                </c:pt>
                <c:pt idx="108">
                  <c:v>9.0416666666666661</c:v>
                </c:pt>
                <c:pt idx="109">
                  <c:v>9.125</c:v>
                </c:pt>
                <c:pt idx="110">
                  <c:v>9.2083333333333339</c:v>
                </c:pt>
                <c:pt idx="111">
                  <c:v>9.2916666666666661</c:v>
                </c:pt>
                <c:pt idx="112">
                  <c:v>9.375</c:v>
                </c:pt>
                <c:pt idx="113">
                  <c:v>9.4583333333333339</c:v>
                </c:pt>
                <c:pt idx="114">
                  <c:v>9.5416666666666661</c:v>
                </c:pt>
                <c:pt idx="115">
                  <c:v>9.625</c:v>
                </c:pt>
                <c:pt idx="116">
                  <c:v>9.7083333333333339</c:v>
                </c:pt>
                <c:pt idx="117">
                  <c:v>9.7916666666666661</c:v>
                </c:pt>
                <c:pt idx="118">
                  <c:v>9.875</c:v>
                </c:pt>
                <c:pt idx="119">
                  <c:v>9.9583333333333339</c:v>
                </c:pt>
                <c:pt idx="120">
                  <c:v>10.041666666666666</c:v>
                </c:pt>
                <c:pt idx="121">
                  <c:v>10.125</c:v>
                </c:pt>
                <c:pt idx="122">
                  <c:v>10.208333333333334</c:v>
                </c:pt>
                <c:pt idx="123">
                  <c:v>10.291666666666666</c:v>
                </c:pt>
                <c:pt idx="124">
                  <c:v>10.375</c:v>
                </c:pt>
                <c:pt idx="125">
                  <c:v>10.458333333333334</c:v>
                </c:pt>
                <c:pt idx="126">
                  <c:v>10.541666666666666</c:v>
                </c:pt>
                <c:pt idx="127">
                  <c:v>10.625</c:v>
                </c:pt>
                <c:pt idx="128">
                  <c:v>10.708333333333334</c:v>
                </c:pt>
                <c:pt idx="129">
                  <c:v>10.791666666666666</c:v>
                </c:pt>
                <c:pt idx="130">
                  <c:v>10.875</c:v>
                </c:pt>
                <c:pt idx="131">
                  <c:v>10.958333333333334</c:v>
                </c:pt>
                <c:pt idx="132">
                  <c:v>11.041666666666666</c:v>
                </c:pt>
                <c:pt idx="133">
                  <c:v>11.125</c:v>
                </c:pt>
                <c:pt idx="134">
                  <c:v>11.208333333333334</c:v>
                </c:pt>
                <c:pt idx="135">
                  <c:v>11.291666666666666</c:v>
                </c:pt>
                <c:pt idx="136">
                  <c:v>11.375</c:v>
                </c:pt>
                <c:pt idx="137">
                  <c:v>11.458333333333334</c:v>
                </c:pt>
                <c:pt idx="138">
                  <c:v>11.541666666666666</c:v>
                </c:pt>
                <c:pt idx="139">
                  <c:v>11.625</c:v>
                </c:pt>
                <c:pt idx="140">
                  <c:v>11.708333333333334</c:v>
                </c:pt>
                <c:pt idx="141">
                  <c:v>11.791666666666666</c:v>
                </c:pt>
                <c:pt idx="142">
                  <c:v>11.875</c:v>
                </c:pt>
                <c:pt idx="143">
                  <c:v>11.958333333333334</c:v>
                </c:pt>
                <c:pt idx="144">
                  <c:v>12.041666666666666</c:v>
                </c:pt>
                <c:pt idx="145">
                  <c:v>12.125</c:v>
                </c:pt>
                <c:pt idx="146">
                  <c:v>12.208333333333334</c:v>
                </c:pt>
                <c:pt idx="147">
                  <c:v>12.291666666666666</c:v>
                </c:pt>
                <c:pt idx="148">
                  <c:v>12.375</c:v>
                </c:pt>
                <c:pt idx="149">
                  <c:v>12.458333333333334</c:v>
                </c:pt>
                <c:pt idx="150">
                  <c:v>12.541666666666666</c:v>
                </c:pt>
                <c:pt idx="151">
                  <c:v>12.625</c:v>
                </c:pt>
                <c:pt idx="152">
                  <c:v>12.708333333333334</c:v>
                </c:pt>
                <c:pt idx="153">
                  <c:v>12.791666666666666</c:v>
                </c:pt>
                <c:pt idx="154">
                  <c:v>12.875</c:v>
                </c:pt>
                <c:pt idx="155">
                  <c:v>12.958333333333334</c:v>
                </c:pt>
                <c:pt idx="156">
                  <c:v>13.041666666666666</c:v>
                </c:pt>
                <c:pt idx="157">
                  <c:v>13.125</c:v>
                </c:pt>
                <c:pt idx="158">
                  <c:v>13.208333333333334</c:v>
                </c:pt>
                <c:pt idx="159">
                  <c:v>13.291666666666666</c:v>
                </c:pt>
                <c:pt idx="160">
                  <c:v>13.375</c:v>
                </c:pt>
                <c:pt idx="161">
                  <c:v>13.458333333333334</c:v>
                </c:pt>
                <c:pt idx="162">
                  <c:v>13.541666666666666</c:v>
                </c:pt>
                <c:pt idx="163">
                  <c:v>13.625</c:v>
                </c:pt>
                <c:pt idx="164">
                  <c:v>13.708333333333334</c:v>
                </c:pt>
                <c:pt idx="165">
                  <c:v>13.791666666666666</c:v>
                </c:pt>
                <c:pt idx="166">
                  <c:v>13.875</c:v>
                </c:pt>
                <c:pt idx="167">
                  <c:v>13.958333333333334</c:v>
                </c:pt>
                <c:pt idx="168">
                  <c:v>14.041666666666666</c:v>
                </c:pt>
                <c:pt idx="169">
                  <c:v>14.125</c:v>
                </c:pt>
                <c:pt idx="170">
                  <c:v>14.208333333333334</c:v>
                </c:pt>
                <c:pt idx="171">
                  <c:v>14.291666666666666</c:v>
                </c:pt>
                <c:pt idx="172">
                  <c:v>14.375</c:v>
                </c:pt>
                <c:pt idx="173">
                  <c:v>14.458333333333334</c:v>
                </c:pt>
                <c:pt idx="174">
                  <c:v>14.541666666666666</c:v>
                </c:pt>
                <c:pt idx="175">
                  <c:v>14.625</c:v>
                </c:pt>
                <c:pt idx="176">
                  <c:v>14.708333333333334</c:v>
                </c:pt>
                <c:pt idx="177">
                  <c:v>14.791666666666666</c:v>
                </c:pt>
                <c:pt idx="178">
                  <c:v>14.875</c:v>
                </c:pt>
                <c:pt idx="179">
                  <c:v>14.958333333333334</c:v>
                </c:pt>
                <c:pt idx="180">
                  <c:v>15.041666666666666</c:v>
                </c:pt>
                <c:pt idx="181">
                  <c:v>15.125</c:v>
                </c:pt>
                <c:pt idx="182">
                  <c:v>15.208333333333334</c:v>
                </c:pt>
                <c:pt idx="183">
                  <c:v>15.291666666666666</c:v>
                </c:pt>
                <c:pt idx="184">
                  <c:v>15.375</c:v>
                </c:pt>
                <c:pt idx="185">
                  <c:v>15.458333333333334</c:v>
                </c:pt>
                <c:pt idx="186">
                  <c:v>15.541666666666666</c:v>
                </c:pt>
                <c:pt idx="187">
                  <c:v>15.625</c:v>
                </c:pt>
                <c:pt idx="188">
                  <c:v>15.708333333333334</c:v>
                </c:pt>
                <c:pt idx="189">
                  <c:v>15.791666666666666</c:v>
                </c:pt>
                <c:pt idx="190">
                  <c:v>15.875</c:v>
                </c:pt>
                <c:pt idx="191">
                  <c:v>15.958333333333334</c:v>
                </c:pt>
                <c:pt idx="192">
                  <c:v>16.041666666666668</c:v>
                </c:pt>
                <c:pt idx="193">
                  <c:v>16.125</c:v>
                </c:pt>
                <c:pt idx="194">
                  <c:v>16.208333333333332</c:v>
                </c:pt>
                <c:pt idx="195">
                  <c:v>16.291666666666668</c:v>
                </c:pt>
                <c:pt idx="196">
                  <c:v>16.375</c:v>
                </c:pt>
                <c:pt idx="197">
                  <c:v>16.458333333333332</c:v>
                </c:pt>
                <c:pt idx="198">
                  <c:v>16.541666666666668</c:v>
                </c:pt>
                <c:pt idx="199">
                  <c:v>16.625</c:v>
                </c:pt>
                <c:pt idx="200">
                  <c:v>16.708333333333332</c:v>
                </c:pt>
                <c:pt idx="201">
                  <c:v>16.791666666666668</c:v>
                </c:pt>
                <c:pt idx="202">
                  <c:v>16.875</c:v>
                </c:pt>
                <c:pt idx="203">
                  <c:v>16.958333333333332</c:v>
                </c:pt>
                <c:pt idx="204">
                  <c:v>17.041666666666668</c:v>
                </c:pt>
                <c:pt idx="205">
                  <c:v>17.125</c:v>
                </c:pt>
                <c:pt idx="206">
                  <c:v>17.208333333333332</c:v>
                </c:pt>
                <c:pt idx="207">
                  <c:v>17.291666666666668</c:v>
                </c:pt>
                <c:pt idx="208">
                  <c:v>17.375</c:v>
                </c:pt>
                <c:pt idx="209">
                  <c:v>17.458333333333332</c:v>
                </c:pt>
                <c:pt idx="210">
                  <c:v>17.541666666666668</c:v>
                </c:pt>
                <c:pt idx="211">
                  <c:v>17.625</c:v>
                </c:pt>
                <c:pt idx="212">
                  <c:v>17.708333333333332</c:v>
                </c:pt>
                <c:pt idx="213">
                  <c:v>17.791666666666668</c:v>
                </c:pt>
                <c:pt idx="214">
                  <c:v>17.875</c:v>
                </c:pt>
                <c:pt idx="215">
                  <c:v>17.958333333333332</c:v>
                </c:pt>
                <c:pt idx="216">
                  <c:v>18.041666666666668</c:v>
                </c:pt>
                <c:pt idx="217">
                  <c:v>18.125</c:v>
                </c:pt>
                <c:pt idx="218">
                  <c:v>18.208333333333332</c:v>
                </c:pt>
                <c:pt idx="219">
                  <c:v>18.291666666666668</c:v>
                </c:pt>
                <c:pt idx="220">
                  <c:v>18.375</c:v>
                </c:pt>
                <c:pt idx="221">
                  <c:v>18.458333333333332</c:v>
                </c:pt>
                <c:pt idx="222">
                  <c:v>18.541666666666668</c:v>
                </c:pt>
                <c:pt idx="223">
                  <c:v>18.625</c:v>
                </c:pt>
                <c:pt idx="224">
                  <c:v>18.708333333333332</c:v>
                </c:pt>
                <c:pt idx="225">
                  <c:v>18.791666666666668</c:v>
                </c:pt>
                <c:pt idx="226">
                  <c:v>18.875</c:v>
                </c:pt>
                <c:pt idx="227">
                  <c:v>18.958333333333332</c:v>
                </c:pt>
                <c:pt idx="228">
                  <c:v>19.041666666666668</c:v>
                </c:pt>
                <c:pt idx="229">
                  <c:v>19.125</c:v>
                </c:pt>
                <c:pt idx="230">
                  <c:v>19.208333333333332</c:v>
                </c:pt>
                <c:pt idx="231">
                  <c:v>19.291666666666668</c:v>
                </c:pt>
                <c:pt idx="232">
                  <c:v>19.375</c:v>
                </c:pt>
                <c:pt idx="233">
                  <c:v>19.458333333333332</c:v>
                </c:pt>
                <c:pt idx="234">
                  <c:v>19.541666666666668</c:v>
                </c:pt>
                <c:pt idx="235">
                  <c:v>19.625</c:v>
                </c:pt>
                <c:pt idx="236">
                  <c:v>19.708333333333332</c:v>
                </c:pt>
                <c:pt idx="237">
                  <c:v>19.791666666666668</c:v>
                </c:pt>
                <c:pt idx="238">
                  <c:v>19.875</c:v>
                </c:pt>
                <c:pt idx="239">
                  <c:v>19.958333333333332</c:v>
                </c:pt>
                <c:pt idx="240">
                  <c:v>20</c:v>
                </c:pt>
              </c:numCache>
            </c:numRef>
          </c:xVal>
          <c:yVal>
            <c:numRef>
              <c:f>length4age!$N$2:$N$242</c:f>
              <c:numCache>
                <c:formatCode>General</c:formatCode>
                <c:ptCount val="241"/>
                <c:pt idx="0">
                  <c:v>54.919004453576193</c:v>
                </c:pt>
                <c:pt idx="1">
                  <c:v>57.629843227306381</c:v>
                </c:pt>
                <c:pt idx="2">
                  <c:v>61.625914875126227</c:v>
                </c:pt>
                <c:pt idx="3">
                  <c:v>64.692409090781325</c:v>
                </c:pt>
                <c:pt idx="4">
                  <c:v>67.251895966465881</c:v>
                </c:pt>
                <c:pt idx="5">
                  <c:v>69.483539658140373</c:v>
                </c:pt>
                <c:pt idx="6">
                  <c:v>71.482182248207138</c:v>
                </c:pt>
                <c:pt idx="7">
                  <c:v>73.304883493437842</c:v>
                </c:pt>
                <c:pt idx="8">
                  <c:v>74.988992819706425</c:v>
                </c:pt>
                <c:pt idx="9">
                  <c:v>76.560471121359996</c:v>
                </c:pt>
                <c:pt idx="10">
                  <c:v>78.038193670124357</c:v>
                </c:pt>
                <c:pt idx="11">
                  <c:v>79.436374982966868</c:v>
                </c:pt>
                <c:pt idx="12">
                  <c:v>80.76602066625145</c:v>
                </c:pt>
                <c:pt idx="13">
                  <c:v>82.035854738781083</c:v>
                </c:pt>
                <c:pt idx="14">
                  <c:v>83.252924278107741</c:v>
                </c:pt>
                <c:pt idx="15">
                  <c:v>84.423015699161013</c:v>
                </c:pt>
                <c:pt idx="16">
                  <c:v>85.550947042425292</c:v>
                </c:pt>
                <c:pt idx="17">
                  <c:v>86.640779021295529</c:v>
                </c:pt>
                <c:pt idx="18">
                  <c:v>87.695970515048515</c:v>
                </c:pt>
                <c:pt idx="19">
                  <c:v>88.719495577573952</c:v>
                </c:pt>
                <c:pt idx="20">
                  <c:v>89.713932725716546</c:v>
                </c:pt>
                <c:pt idx="21">
                  <c:v>90.68153435727308</c:v>
                </c:pt>
                <c:pt idx="22">
                  <c:v>91.624281289259741</c:v>
                </c:pt>
                <c:pt idx="23">
                  <c:v>92.543923885889768</c:v>
                </c:pt>
                <c:pt idx="24">
                  <c:v>93.459230289999994</c:v>
                </c:pt>
                <c:pt idx="25">
                  <c:v>94.38278047</c:v>
                </c:pt>
                <c:pt idx="26">
                  <c:v>95.277617109999994</c:v>
                </c:pt>
                <c:pt idx="27">
                  <c:v>96.145118229999994</c:v>
                </c:pt>
                <c:pt idx="28">
                  <c:v>96.986625309999994</c:v>
                </c:pt>
                <c:pt idx="29">
                  <c:v>97.803453200000007</c:v>
                </c:pt>
                <c:pt idx="30">
                  <c:v>98.596905379999995</c:v>
                </c:pt>
                <c:pt idx="31">
                  <c:v>99.368283309999995</c:v>
                </c:pt>
                <c:pt idx="32">
                  <c:v>100.1188932</c:v>
                </c:pt>
                <c:pt idx="33">
                  <c:v>100.85005080000001</c:v>
                </c:pt>
                <c:pt idx="34">
                  <c:v>101.5630853</c:v>
                </c:pt>
                <c:pt idx="35">
                  <c:v>102.2593402</c:v>
                </c:pt>
                <c:pt idx="36">
                  <c:v>102.94018199999999</c:v>
                </c:pt>
                <c:pt idx="37">
                  <c:v>103.5982668</c:v>
                </c:pt>
                <c:pt idx="38">
                  <c:v>104.2502776</c:v>
                </c:pt>
                <c:pt idx="39">
                  <c:v>104.8967054</c:v>
                </c:pt>
                <c:pt idx="40">
                  <c:v>105.5380208</c:v>
                </c:pt>
                <c:pt idx="41">
                  <c:v>106.17467790000001</c:v>
                </c:pt>
                <c:pt idx="42">
                  <c:v>106.8071048</c:v>
                </c:pt>
                <c:pt idx="43">
                  <c:v>107.43571059999999</c:v>
                </c:pt>
                <c:pt idx="44">
                  <c:v>108.0608826</c:v>
                </c:pt>
                <c:pt idx="45">
                  <c:v>108.68298660000001</c:v>
                </c:pt>
                <c:pt idx="46">
                  <c:v>109.3023669</c:v>
                </c:pt>
                <c:pt idx="47">
                  <c:v>109.9193463</c:v>
                </c:pt>
                <c:pt idx="48">
                  <c:v>110.5342263</c:v>
                </c:pt>
                <c:pt idx="49">
                  <c:v>111.14728789999999</c:v>
                </c:pt>
                <c:pt idx="50">
                  <c:v>111.7587911</c:v>
                </c:pt>
                <c:pt idx="51">
                  <c:v>112.3689778</c:v>
                </c:pt>
                <c:pt idx="52">
                  <c:v>112.9780622</c:v>
                </c:pt>
                <c:pt idx="53">
                  <c:v>113.5862516</c:v>
                </c:pt>
                <c:pt idx="54">
                  <c:v>114.1937245</c:v>
                </c:pt>
                <c:pt idx="55">
                  <c:v>114.80064400000001</c:v>
                </c:pt>
                <c:pt idx="56">
                  <c:v>115.40715489999999</c:v>
                </c:pt>
                <c:pt idx="57">
                  <c:v>116.01338370000001</c:v>
                </c:pt>
                <c:pt idx="58">
                  <c:v>116.61943979999999</c:v>
                </c:pt>
                <c:pt idx="59">
                  <c:v>117.2254154</c:v>
                </c:pt>
                <c:pt idx="60">
                  <c:v>117.83138599999999</c:v>
                </c:pt>
                <c:pt idx="61">
                  <c:v>118.43741129999999</c:v>
                </c:pt>
                <c:pt idx="62">
                  <c:v>119.0435349</c:v>
                </c:pt>
                <c:pt idx="63">
                  <c:v>119.6497853</c:v>
                </c:pt>
                <c:pt idx="64">
                  <c:v>120.2561762</c:v>
                </c:pt>
                <c:pt idx="65">
                  <c:v>120.86270690000001</c:v>
                </c:pt>
                <c:pt idx="66">
                  <c:v>121.46936289999999</c:v>
                </c:pt>
                <c:pt idx="67">
                  <c:v>122.0761162</c:v>
                </c:pt>
                <c:pt idx="68">
                  <c:v>122.68292599999999</c:v>
                </c:pt>
                <c:pt idx="69">
                  <c:v>123.2897392</c:v>
                </c:pt>
                <c:pt idx="70">
                  <c:v>123.89648990000001</c:v>
                </c:pt>
                <c:pt idx="71">
                  <c:v>124.5031042</c:v>
                </c:pt>
                <c:pt idx="72">
                  <c:v>125.1094938</c:v>
                </c:pt>
                <c:pt idx="73">
                  <c:v>125.7155618</c:v>
                </c:pt>
                <c:pt idx="74">
                  <c:v>126.32120190000001</c:v>
                </c:pt>
                <c:pt idx="75">
                  <c:v>126.926299</c:v>
                </c:pt>
                <c:pt idx="76">
                  <c:v>127.5307299</c:v>
                </c:pt>
                <c:pt idx="77">
                  <c:v>128.13436400000001</c:v>
                </c:pt>
                <c:pt idx="78">
                  <c:v>128.737064</c:v>
                </c:pt>
                <c:pt idx="79">
                  <c:v>129.33868659999999</c:v>
                </c:pt>
                <c:pt idx="80">
                  <c:v>129.93908339999999</c:v>
                </c:pt>
                <c:pt idx="81">
                  <c:v>130.53810150000001</c:v>
                </c:pt>
                <c:pt idx="82">
                  <c:v>131.1355844</c:v>
                </c:pt>
                <c:pt idx="83">
                  <c:v>131.7313729</c:v>
                </c:pt>
                <c:pt idx="84">
                  <c:v>132.3253057</c:v>
                </c:pt>
                <c:pt idx="85">
                  <c:v>132.91722050000001</c:v>
                </c:pt>
                <c:pt idx="86">
                  <c:v>133.50695479999999</c:v>
                </c:pt>
                <c:pt idx="87">
                  <c:v>134.09434669999999</c:v>
                </c:pt>
                <c:pt idx="88">
                  <c:v>134.67923210000001</c:v>
                </c:pt>
                <c:pt idx="89">
                  <c:v>135.2614591</c:v>
                </c:pt>
                <c:pt idx="90">
                  <c:v>135.8408704</c:v>
                </c:pt>
                <c:pt idx="91">
                  <c:v>136.41731559999999</c:v>
                </c:pt>
                <c:pt idx="92">
                  <c:v>136.9906494</c:v>
                </c:pt>
                <c:pt idx="93">
                  <c:v>137.56073240000001</c:v>
                </c:pt>
                <c:pt idx="94">
                  <c:v>138.12743230000001</c:v>
                </c:pt>
                <c:pt idx="95">
                  <c:v>138.69062450000001</c:v>
                </c:pt>
                <c:pt idx="96">
                  <c:v>139.2501934</c:v>
                </c:pt>
                <c:pt idx="97">
                  <c:v>139.80603249999999</c:v>
                </c:pt>
                <c:pt idx="98">
                  <c:v>140.35804619999999</c:v>
                </c:pt>
                <c:pt idx="99">
                  <c:v>140.90615020000001</c:v>
                </c:pt>
                <c:pt idx="100">
                  <c:v>141.45027229999999</c:v>
                </c:pt>
                <c:pt idx="101">
                  <c:v>141.9903534</c:v>
                </c:pt>
                <c:pt idx="102">
                  <c:v>142.52634860000001</c:v>
                </c:pt>
                <c:pt idx="103">
                  <c:v>143.05822739999999</c:v>
                </c:pt>
                <c:pt idx="104">
                  <c:v>143.5859753</c:v>
                </c:pt>
                <c:pt idx="105">
                  <c:v>144.10959399999999</c:v>
                </c:pt>
                <c:pt idx="106">
                  <c:v>144.6291028</c:v>
                </c:pt>
                <c:pt idx="107">
                  <c:v>145.1445387</c:v>
                </c:pt>
                <c:pt idx="108">
                  <c:v>145.65595809999999</c:v>
                </c:pt>
                <c:pt idx="109">
                  <c:v>146.1634368</c:v>
                </c:pt>
                <c:pt idx="110">
                  <c:v>146.6670713</c:v>
                </c:pt>
                <c:pt idx="111">
                  <c:v>147.1669794</c:v>
                </c:pt>
                <c:pt idx="112">
                  <c:v>147.66330110000001</c:v>
                </c:pt>
                <c:pt idx="113">
                  <c:v>148.15619910000001</c:v>
                </c:pt>
                <c:pt idx="114">
                  <c:v>148.64585980000001</c:v>
                </c:pt>
                <c:pt idx="115">
                  <c:v>149.13249400000001</c:v>
                </c:pt>
                <c:pt idx="116">
                  <c:v>149.6163372</c:v>
                </c:pt>
                <c:pt idx="117">
                  <c:v>150.0976507</c:v>
                </c:pt>
                <c:pt idx="118">
                  <c:v>150.57672170000001</c:v>
                </c:pt>
                <c:pt idx="119">
                  <c:v>151.05386390000001</c:v>
                </c:pt>
                <c:pt idx="120">
                  <c:v>151.5294179</c:v>
                </c:pt>
                <c:pt idx="121">
                  <c:v>152.00375109999999</c:v>
                </c:pt>
                <c:pt idx="122">
                  <c:v>152.47725790000001</c:v>
                </c:pt>
                <c:pt idx="123">
                  <c:v>152.95035960000001</c:v>
                </c:pt>
                <c:pt idx="124">
                  <c:v>153.42350350000001</c:v>
                </c:pt>
                <c:pt idx="125">
                  <c:v>153.89716240000001</c:v>
                </c:pt>
                <c:pt idx="126">
                  <c:v>154.37183350000001</c:v>
                </c:pt>
                <c:pt idx="127">
                  <c:v>154.84803669999999</c:v>
                </c:pt>
                <c:pt idx="128">
                  <c:v>155.3263129</c:v>
                </c:pt>
                <c:pt idx="129">
                  <c:v>155.80722109999999</c:v>
                </c:pt>
                <c:pt idx="130">
                  <c:v>156.2913356</c:v>
                </c:pt>
                <c:pt idx="131">
                  <c:v>156.77924229999999</c:v>
                </c:pt>
                <c:pt idx="132">
                  <c:v>157.27153419999999</c:v>
                </c:pt>
                <c:pt idx="133">
                  <c:v>157.76880629999999</c:v>
                </c:pt>
                <c:pt idx="134">
                  <c:v>158.27164999999999</c:v>
                </c:pt>
                <c:pt idx="135">
                  <c:v>158.78064620000001</c:v>
                </c:pt>
                <c:pt idx="136">
                  <c:v>159.29635780000001</c:v>
                </c:pt>
                <c:pt idx="137">
                  <c:v>159.81932209999999</c:v>
                </c:pt>
                <c:pt idx="138">
                  <c:v>160.3500415</c:v>
                </c:pt>
                <c:pt idx="139">
                  <c:v>160.8889743</c:v>
                </c:pt>
                <c:pt idx="140">
                  <c:v>161.43652449999999</c:v>
                </c:pt>
                <c:pt idx="141">
                  <c:v>161.993032</c:v>
                </c:pt>
                <c:pt idx="142">
                  <c:v>162.5587616</c:v>
                </c:pt>
                <c:pt idx="143">
                  <c:v>163.133893</c:v>
                </c:pt>
                <c:pt idx="144">
                  <c:v>163.7185106</c:v>
                </c:pt>
                <c:pt idx="145">
                  <c:v>164.3125939</c:v>
                </c:pt>
                <c:pt idx="146">
                  <c:v>164.91600890000001</c:v>
                </c:pt>
                <c:pt idx="147">
                  <c:v>165.52850040000001</c:v>
                </c:pt>
                <c:pt idx="148">
                  <c:v>166.14968630000001</c:v>
                </c:pt>
                <c:pt idx="149">
                  <c:v>166.7790531</c:v>
                </c:pt>
                <c:pt idx="150">
                  <c:v>167.41595359999999</c:v>
                </c:pt>
                <c:pt idx="151">
                  <c:v>168.05960690000001</c:v>
                </c:pt>
                <c:pt idx="152">
                  <c:v>168.70910090000001</c:v>
                </c:pt>
                <c:pt idx="153">
                  <c:v>169.36339760000001</c:v>
                </c:pt>
                <c:pt idx="154">
                  <c:v>170.02134079999999</c:v>
                </c:pt>
                <c:pt idx="155">
                  <c:v>170.68166650000001</c:v>
                </c:pt>
                <c:pt idx="156">
                  <c:v>171.34301629999999</c:v>
                </c:pt>
                <c:pt idx="157">
                  <c:v>172.00395349999999</c:v>
                </c:pt>
                <c:pt idx="158">
                  <c:v>172.66297800000001</c:v>
                </c:pt>
                <c:pt idx="159">
                  <c:v>173.3185527</c:v>
                </c:pt>
                <c:pt idx="160">
                  <c:v>173.96911639999999</c:v>
                </c:pt>
                <c:pt idx="161">
                  <c:v>174.61311230000001</c:v>
                </c:pt>
                <c:pt idx="162">
                  <c:v>175.2490052</c:v>
                </c:pt>
                <c:pt idx="163">
                  <c:v>175.87530659999999</c:v>
                </c:pt>
                <c:pt idx="164">
                  <c:v>176.49059399999999</c:v>
                </c:pt>
                <c:pt idx="165">
                  <c:v>177.09352989999999</c:v>
                </c:pt>
                <c:pt idx="166">
                  <c:v>177.68287950000001</c:v>
                </c:pt>
                <c:pt idx="167">
                  <c:v>178.25752109999999</c:v>
                </c:pt>
                <c:pt idx="168">
                  <c:v>178.81646929999999</c:v>
                </c:pt>
                <c:pt idx="169">
                  <c:v>179.3588685</c:v>
                </c:pt>
                <c:pt idx="170">
                  <c:v>179.88400659999999</c:v>
                </c:pt>
                <c:pt idx="171">
                  <c:v>180.3913154</c:v>
                </c:pt>
                <c:pt idx="172">
                  <c:v>180.88036980000001</c:v>
                </c:pt>
                <c:pt idx="173">
                  <c:v>181.3508837</c:v>
                </c:pt>
                <c:pt idx="174">
                  <c:v>181.8027041</c:v>
                </c:pt>
                <c:pt idx="175">
                  <c:v>182.23580340000001</c:v>
                </c:pt>
                <c:pt idx="176">
                  <c:v>182.65026940000001</c:v>
                </c:pt>
                <c:pt idx="177">
                  <c:v>183.04629460000001</c:v>
                </c:pt>
                <c:pt idx="178">
                  <c:v>183.42416460000001</c:v>
                </c:pt>
                <c:pt idx="179">
                  <c:v>183.78424659999999</c:v>
                </c:pt>
                <c:pt idx="180">
                  <c:v>184.1269767</c:v>
                </c:pt>
                <c:pt idx="181">
                  <c:v>184.4528488</c:v>
                </c:pt>
                <c:pt idx="182">
                  <c:v>184.7624031</c:v>
                </c:pt>
                <c:pt idx="183">
                  <c:v>185.05621590000001</c:v>
                </c:pt>
                <c:pt idx="184">
                  <c:v>185.33488929999999</c:v>
                </c:pt>
                <c:pt idx="185">
                  <c:v>185.59904309999999</c:v>
                </c:pt>
                <c:pt idx="186">
                  <c:v>185.84930629999999</c:v>
                </c:pt>
                <c:pt idx="187">
                  <c:v>186.0863109</c:v>
                </c:pt>
                <c:pt idx="188">
                  <c:v>186.31068590000001</c:v>
                </c:pt>
                <c:pt idx="189">
                  <c:v>186.52305050000001</c:v>
                </c:pt>
                <c:pt idx="190">
                  <c:v>186.72401410000001</c:v>
                </c:pt>
                <c:pt idx="191">
                  <c:v>186.91416899999999</c:v>
                </c:pt>
                <c:pt idx="192">
                  <c:v>187.09408769999999</c:v>
                </c:pt>
                <c:pt idx="193">
                  <c:v>187.26432579999999</c:v>
                </c:pt>
                <c:pt idx="194">
                  <c:v>187.4254148</c:v>
                </c:pt>
                <c:pt idx="195">
                  <c:v>187.57786429999999</c:v>
                </c:pt>
                <c:pt idx="196">
                  <c:v>187.72216069999999</c:v>
                </c:pt>
                <c:pt idx="197">
                  <c:v>187.85876709999999</c:v>
                </c:pt>
                <c:pt idx="198">
                  <c:v>187.98812330000001</c:v>
                </c:pt>
                <c:pt idx="199">
                  <c:v>188.1106465</c:v>
                </c:pt>
                <c:pt idx="200">
                  <c:v>188.22673109999999</c:v>
                </c:pt>
                <c:pt idx="201">
                  <c:v>188.33675030000001</c:v>
                </c:pt>
                <c:pt idx="202">
                  <c:v>188.44105590000001</c:v>
                </c:pt>
                <c:pt idx="203">
                  <c:v>188.5399798</c:v>
                </c:pt>
                <c:pt idx="204">
                  <c:v>188.63383450000001</c:v>
                </c:pt>
                <c:pt idx="205">
                  <c:v>188.72291419999999</c:v>
                </c:pt>
                <c:pt idx="206">
                  <c:v>188.80749549999999</c:v>
                </c:pt>
                <c:pt idx="207">
                  <c:v>188.88783860000001</c:v>
                </c:pt>
                <c:pt idx="208">
                  <c:v>188.96418779999999</c:v>
                </c:pt>
                <c:pt idx="209">
                  <c:v>189.0367727</c:v>
                </c:pt>
                <c:pt idx="210">
                  <c:v>189.1058089</c:v>
                </c:pt>
                <c:pt idx="211">
                  <c:v>189.17149879999999</c:v>
                </c:pt>
                <c:pt idx="212">
                  <c:v>189.2340323</c:v>
                </c:pt>
                <c:pt idx="213">
                  <c:v>189.29358780000001</c:v>
                </c:pt>
                <c:pt idx="214">
                  <c:v>189.3503326</c:v>
                </c:pt>
                <c:pt idx="215">
                  <c:v>189.4044237</c:v>
                </c:pt>
                <c:pt idx="216">
                  <c:v>189.45600859999999</c:v>
                </c:pt>
                <c:pt idx="217">
                  <c:v>189.50522559999999</c:v>
                </c:pt>
                <c:pt idx="218">
                  <c:v>189.55220439999999</c:v>
                </c:pt>
                <c:pt idx="219">
                  <c:v>189.5970671</c:v>
                </c:pt>
                <c:pt idx="220">
                  <c:v>189.6399279</c:v>
                </c:pt>
                <c:pt idx="221">
                  <c:v>189.68089430000001</c:v>
                </c:pt>
                <c:pt idx="222">
                  <c:v>189.72006719999999</c:v>
                </c:pt>
                <c:pt idx="223">
                  <c:v>189.75754130000001</c:v>
                </c:pt>
                <c:pt idx="224">
                  <c:v>189.7934056</c:v>
                </c:pt>
                <c:pt idx="225">
                  <c:v>189.82774380000001</c:v>
                </c:pt>
                <c:pt idx="226">
                  <c:v>189.86063440000001</c:v>
                </c:pt>
                <c:pt idx="227">
                  <c:v>189.89215139999999</c:v>
                </c:pt>
                <c:pt idx="228">
                  <c:v>189.9223642</c:v>
                </c:pt>
                <c:pt idx="229">
                  <c:v>189.9513383</c:v>
                </c:pt>
                <c:pt idx="230">
                  <c:v>189.97913510000001</c:v>
                </c:pt>
                <c:pt idx="231">
                  <c:v>190.00581260000001</c:v>
                </c:pt>
                <c:pt idx="232">
                  <c:v>190.0314253</c:v>
                </c:pt>
                <c:pt idx="233">
                  <c:v>190.05602450000001</c:v>
                </c:pt>
                <c:pt idx="234">
                  <c:v>190.0796588</c:v>
                </c:pt>
                <c:pt idx="235">
                  <c:v>190.10237380000001</c:v>
                </c:pt>
                <c:pt idx="236">
                  <c:v>190.1242124</c:v>
                </c:pt>
                <c:pt idx="237">
                  <c:v>190.14521540000001</c:v>
                </c:pt>
                <c:pt idx="238">
                  <c:v>190.1654212</c:v>
                </c:pt>
                <c:pt idx="239">
                  <c:v>190.18486580000001</c:v>
                </c:pt>
                <c:pt idx="240">
                  <c:v>190.19431349999999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350-4504-82E8-CD672D813146}"/>
            </c:ext>
          </c:extLst>
        </c:ser>
        <c:ser>
          <c:idx val="11"/>
          <c:order val="11"/>
          <c:tx>
            <c:v>P3 girls</c:v>
          </c:tx>
          <c:spPr>
            <a:ln w="6350" cap="rnd">
              <a:solidFill>
                <a:srgbClr val="FFC0CB">
                  <a:alpha val="2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length4age!$B$245:$B$487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length4age!$F$245:$F$487</c:f>
              <c:numCache>
                <c:formatCode>General</c:formatCode>
                <c:ptCount val="243"/>
                <c:pt idx="0">
                  <c:v>45.094882608675746</c:v>
                </c:pt>
                <c:pt idx="1">
                  <c:v>47.469157921079763</c:v>
                </c:pt>
                <c:pt idx="2">
                  <c:v>50.95700561782332</c:v>
                </c:pt>
                <c:pt idx="3">
                  <c:v>53.629252917235391</c:v>
                </c:pt>
                <c:pt idx="4">
                  <c:v>55.85939936383032</c:v>
                </c:pt>
                <c:pt idx="5">
                  <c:v>57.80470108913169</c:v>
                </c:pt>
                <c:pt idx="6">
                  <c:v>59.54799296623888</c:v>
                </c:pt>
                <c:pt idx="7">
                  <c:v>61.138931223928779</c:v>
                </c:pt>
                <c:pt idx="8">
                  <c:v>62.609931786015238</c:v>
                </c:pt>
                <c:pt idx="9">
                  <c:v>63.983480867886684</c:v>
                </c:pt>
                <c:pt idx="10">
                  <c:v>65.275903473377994</c:v>
                </c:pt>
                <c:pt idx="11">
                  <c:v>66.499479347543428</c:v>
                </c:pt>
                <c:pt idx="12">
                  <c:v>67.663711461033287</c:v>
                </c:pt>
                <c:pt idx="13">
                  <c:v>68.776126937662156</c:v>
                </c:pt>
                <c:pt idx="14">
                  <c:v>69.842804738036776</c:v>
                </c:pt>
                <c:pt idx="15">
                  <c:v>70.868735548975422</c:v>
                </c:pt>
                <c:pt idx="16">
                  <c:v>71.858074814416057</c:v>
                </c:pt>
                <c:pt idx="17">
                  <c:v>72.814325020420299</c:v>
                </c:pt>
                <c:pt idx="18">
                  <c:v>73.740470064912088</c:v>
                </c:pt>
                <c:pt idx="19">
                  <c:v>74.639076123350236</c:v>
                </c:pt>
                <c:pt idx="20">
                  <c:v>75.512368749377728</c:v>
                </c:pt>
                <c:pt idx="21">
                  <c:v>76.362292625153074</c:v>
                </c:pt>
                <c:pt idx="22">
                  <c:v>77.190558539651803</c:v>
                </c:pt>
                <c:pt idx="23">
                  <c:v>77.998680719464701</c:v>
                </c:pt>
                <c:pt idx="24">
                  <c:v>78.788007833420934</c:v>
                </c:pt>
                <c:pt idx="25">
                  <c:v>78.437541659999994</c:v>
                </c:pt>
                <c:pt idx="26">
                  <c:v>78.821332630000001</c:v>
                </c:pt>
                <c:pt idx="27">
                  <c:v>79.601976469999997</c:v>
                </c:pt>
                <c:pt idx="28">
                  <c:v>80.375547589999996</c:v>
                </c:pt>
                <c:pt idx="29">
                  <c:v>81.135697300000004</c:v>
                </c:pt>
                <c:pt idx="30">
                  <c:v>81.877460510000006</c:v>
                </c:pt>
                <c:pt idx="31">
                  <c:v>82.597118190000003</c:v>
                </c:pt>
                <c:pt idx="32">
                  <c:v>83.292061840000002</c:v>
                </c:pt>
                <c:pt idx="33">
                  <c:v>83.960654149999996</c:v>
                </c:pt>
                <c:pt idx="34">
                  <c:v>84.60209562</c:v>
                </c:pt>
                <c:pt idx="35">
                  <c:v>85.216303530000005</c:v>
                </c:pt>
                <c:pt idx="36">
                  <c:v>85.803789960000003</c:v>
                </c:pt>
                <c:pt idx="37">
                  <c:v>86.365572619999995</c:v>
                </c:pt>
                <c:pt idx="38">
                  <c:v>86.903073280000001</c:v>
                </c:pt>
                <c:pt idx="39">
                  <c:v>87.434820180000003</c:v>
                </c:pt>
                <c:pt idx="40">
                  <c:v>87.959451369999996</c:v>
                </c:pt>
                <c:pt idx="41">
                  <c:v>88.478499540000001</c:v>
                </c:pt>
                <c:pt idx="42">
                  <c:v>88.993302180000001</c:v>
                </c:pt>
                <c:pt idx="43">
                  <c:v>89.50502066</c:v>
                </c:pt>
                <c:pt idx="44">
                  <c:v>90.014657589999999</c:v>
                </c:pt>
                <c:pt idx="45">
                  <c:v>90.523072780000007</c:v>
                </c:pt>
                <c:pt idx="46">
                  <c:v>91.030997569999997</c:v>
                </c:pt>
                <c:pt idx="47">
                  <c:v>91.5390479</c:v>
                </c:pt>
                <c:pt idx="48">
                  <c:v>92.047736049999997</c:v>
                </c:pt>
                <c:pt idx="49">
                  <c:v>92.557481229999993</c:v>
                </c:pt>
                <c:pt idx="50">
                  <c:v>93.068619130000002</c:v>
                </c:pt>
                <c:pt idx="51">
                  <c:v>93.581410460000001</c:v>
                </c:pt>
                <c:pt idx="52">
                  <c:v>94.096048670000002</c:v>
                </c:pt>
                <c:pt idx="53">
                  <c:v>94.612666840000003</c:v>
                </c:pt>
                <c:pt idx="54">
                  <c:v>95.131343950000002</c:v>
                </c:pt>
                <c:pt idx="55">
                  <c:v>95.65211042</c:v>
                </c:pt>
                <c:pt idx="56">
                  <c:v>96.174953239999994</c:v>
                </c:pt>
                <c:pt idx="57">
                  <c:v>96.699820470000006</c:v>
                </c:pt>
                <c:pt idx="58">
                  <c:v>97.226625400000003</c:v>
                </c:pt>
                <c:pt idx="59">
                  <c:v>97.755250360000005</c:v>
                </c:pt>
                <c:pt idx="60">
                  <c:v>98.285550049999998</c:v>
                </c:pt>
                <c:pt idx="61">
                  <c:v>98.817354750000007</c:v>
                </c:pt>
                <c:pt idx="62">
                  <c:v>99.350473190000002</c:v>
                </c:pt>
                <c:pt idx="63">
                  <c:v>99.884695140000005</c:v>
                </c:pt>
                <c:pt idx="64">
                  <c:v>100.4197939</c:v>
                </c:pt>
                <c:pt idx="65">
                  <c:v>100.95552859999999</c:v>
                </c:pt>
                <c:pt idx="66">
                  <c:v>101.4916463</c:v>
                </c:pt>
                <c:pt idx="67">
                  <c:v>102.0278838</c:v>
                </c:pt>
                <c:pt idx="68">
                  <c:v>102.5639698</c:v>
                </c:pt>
                <c:pt idx="69">
                  <c:v>103.09962640000001</c:v>
                </c:pt>
                <c:pt idx="70">
                  <c:v>103.6345709</c:v>
                </c:pt>
                <c:pt idx="71">
                  <c:v>104.16851749999999</c:v>
                </c:pt>
                <c:pt idx="72">
                  <c:v>104.7011761</c:v>
                </c:pt>
                <c:pt idx="73">
                  <c:v>105.2322625</c:v>
                </c:pt>
                <c:pt idx="74">
                  <c:v>105.76148569999999</c:v>
                </c:pt>
                <c:pt idx="75">
                  <c:v>106.2885612</c:v>
                </c:pt>
                <c:pt idx="76">
                  <c:v>106.8132066</c:v>
                </c:pt>
                <c:pt idx="77">
                  <c:v>107.3351443</c:v>
                </c:pt>
                <c:pt idx="78">
                  <c:v>107.8541019</c:v>
                </c:pt>
                <c:pt idx="79">
                  <c:v>108.36981350000001</c:v>
                </c:pt>
                <c:pt idx="80">
                  <c:v>108.8820206</c:v>
                </c:pt>
                <c:pt idx="81">
                  <c:v>109.3904733</c:v>
                </c:pt>
                <c:pt idx="82">
                  <c:v>109.8949308</c:v>
                </c:pt>
                <c:pt idx="83">
                  <c:v>110.3951624</c:v>
                </c:pt>
                <c:pt idx="84">
                  <c:v>110.89094799999999</c:v>
                </c:pt>
                <c:pt idx="85">
                  <c:v>111.3820796</c:v>
                </c:pt>
                <c:pt idx="86">
                  <c:v>111.86836099999999</c:v>
                </c:pt>
                <c:pt idx="87">
                  <c:v>112.3496093</c:v>
                </c:pt>
                <c:pt idx="88">
                  <c:v>112.825655</c:v>
                </c:pt>
                <c:pt idx="89">
                  <c:v>113.2963432</c:v>
                </c:pt>
                <c:pt idx="90">
                  <c:v>113.76153360000001</c:v>
                </c:pt>
                <c:pt idx="91">
                  <c:v>114.22110139999999</c:v>
                </c:pt>
                <c:pt idx="92">
                  <c:v>114.674938</c:v>
                </c:pt>
                <c:pt idx="93">
                  <c:v>115.1229513</c:v>
                </c:pt>
                <c:pt idx="94">
                  <c:v>115.56506659999999</c:v>
                </c:pt>
                <c:pt idx="95">
                  <c:v>116.001227</c:v>
                </c:pt>
                <c:pt idx="96">
                  <c:v>116.4313942</c:v>
                </c:pt>
                <c:pt idx="97">
                  <c:v>116.85554879999999</c:v>
                </c:pt>
                <c:pt idx="98">
                  <c:v>117.27369160000001</c:v>
                </c:pt>
                <c:pt idx="99">
                  <c:v>117.68584370000001</c:v>
                </c:pt>
                <c:pt idx="100">
                  <c:v>118.09204800000001</c:v>
                </c:pt>
                <c:pt idx="101">
                  <c:v>118.49236929999999</c:v>
                </c:pt>
                <c:pt idx="102">
                  <c:v>118.8868959</c:v>
                </c:pt>
                <c:pt idx="103">
                  <c:v>119.2757403</c:v>
                </c:pt>
                <c:pt idx="104">
                  <c:v>119.65904020000001</c:v>
                </c:pt>
                <c:pt idx="105">
                  <c:v>120.0369603</c:v>
                </c:pt>
                <c:pt idx="106">
                  <c:v>120.4096928</c:v>
                </c:pt>
                <c:pt idx="107">
                  <c:v>120.7774598</c:v>
                </c:pt>
                <c:pt idx="108">
                  <c:v>121.140514</c:v>
                </c:pt>
                <c:pt idx="109">
                  <c:v>121.49914080000001</c:v>
                </c:pt>
                <c:pt idx="110">
                  <c:v>121.8536605</c:v>
                </c:pt>
                <c:pt idx="111">
                  <c:v>122.20442920000001</c:v>
                </c:pt>
                <c:pt idx="112">
                  <c:v>122.55184199999999</c:v>
                </c:pt>
                <c:pt idx="113">
                  <c:v>122.8963342</c:v>
                </c:pt>
                <c:pt idx="114">
                  <c:v>123.2383839</c:v>
                </c:pt>
                <c:pt idx="115">
                  <c:v>123.5785142</c:v>
                </c:pt>
                <c:pt idx="116">
                  <c:v>123.91729479999999</c:v>
                </c:pt>
                <c:pt idx="117">
                  <c:v>124.2553446</c:v>
                </c:pt>
                <c:pt idx="118">
                  <c:v>124.5933332</c:v>
                </c:pt>
                <c:pt idx="119">
                  <c:v>124.93198219999999</c:v>
                </c:pt>
                <c:pt idx="120">
                  <c:v>125.2720662</c:v>
                </c:pt>
                <c:pt idx="121">
                  <c:v>125.6144133</c:v>
                </c:pt>
                <c:pt idx="122">
                  <c:v>125.95990430000001</c:v>
                </c:pt>
                <c:pt idx="123">
                  <c:v>126.30947089999999</c:v>
                </c:pt>
                <c:pt idx="124">
                  <c:v>126.6640931</c:v>
                </c:pt>
                <c:pt idx="125">
                  <c:v>127.02479409999999</c:v>
                </c:pt>
                <c:pt idx="126">
                  <c:v>127.39263320000001</c:v>
                </c:pt>
                <c:pt idx="127">
                  <c:v>127.76869859999999</c:v>
                </c:pt>
                <c:pt idx="128">
                  <c:v>128.1540923</c:v>
                </c:pt>
                <c:pt idx="129">
                  <c:v>128.5499184</c:v>
                </c:pt>
                <c:pt idx="130">
                  <c:v>128.95726339999999</c:v>
                </c:pt>
                <c:pt idx="131">
                  <c:v>129.3771753</c:v>
                </c:pt>
                <c:pt idx="132">
                  <c:v>129.81063850000001</c:v>
                </c:pt>
                <c:pt idx="133">
                  <c:v>130.2585454</c:v>
                </c:pt>
                <c:pt idx="134">
                  <c:v>130.72166519999999</c:v>
                </c:pt>
                <c:pt idx="135">
                  <c:v>131.2006102</c:v>
                </c:pt>
                <c:pt idx="136">
                  <c:v>131.69580139999999</c:v>
                </c:pt>
                <c:pt idx="137">
                  <c:v>132.2074327</c:v>
                </c:pt>
                <c:pt idx="138">
                  <c:v>132.7354383</c:v>
                </c:pt>
                <c:pt idx="139">
                  <c:v>133.27946130000001</c:v>
                </c:pt>
                <c:pt idx="140">
                  <c:v>133.83883309999999</c:v>
                </c:pt>
                <c:pt idx="141">
                  <c:v>134.4125492</c:v>
                </c:pt>
                <c:pt idx="142">
                  <c:v>134.99926869999999</c:v>
                </c:pt>
                <c:pt idx="143">
                  <c:v>135.59731389999999</c:v>
                </c:pt>
                <c:pt idx="144">
                  <c:v>136.20469309999999</c:v>
                </c:pt>
                <c:pt idx="145">
                  <c:v>136.81911740000001</c:v>
                </c:pt>
                <c:pt idx="146">
                  <c:v>137.43805549999999</c:v>
                </c:pt>
                <c:pt idx="147">
                  <c:v>138.05878039999999</c:v>
                </c:pt>
                <c:pt idx="148">
                  <c:v>138.67843339999999</c:v>
                </c:pt>
                <c:pt idx="149">
                  <c:v>139.2940935</c:v>
                </c:pt>
                <c:pt idx="150">
                  <c:v>139.902849</c:v>
                </c:pt>
                <c:pt idx="151">
                  <c:v>140.50186969999999</c:v>
                </c:pt>
                <c:pt idx="152">
                  <c:v>141.0884738</c:v>
                </c:pt>
                <c:pt idx="153">
                  <c:v>141.66018829999999</c:v>
                </c:pt>
                <c:pt idx="154">
                  <c:v>142.21479840000001</c:v>
                </c:pt>
                <c:pt idx="155">
                  <c:v>142.7503859</c:v>
                </c:pt>
                <c:pt idx="156">
                  <c:v>143.26535440000001</c:v>
                </c:pt>
                <c:pt idx="157">
                  <c:v>143.7584411</c:v>
                </c:pt>
                <c:pt idx="158">
                  <c:v>144.22871789999999</c:v>
                </c:pt>
                <c:pt idx="159">
                  <c:v>144.6755805</c:v>
                </c:pt>
                <c:pt idx="160">
                  <c:v>145.09872920000001</c:v>
                </c:pt>
                <c:pt idx="161">
                  <c:v>145.49814259999999</c:v>
                </c:pt>
                <c:pt idx="162">
                  <c:v>145.8740473</c:v>
                </c:pt>
                <c:pt idx="163">
                  <c:v>146.22688360000001</c:v>
                </c:pt>
                <c:pt idx="164">
                  <c:v>146.55727139999999</c:v>
                </c:pt>
                <c:pt idx="165">
                  <c:v>146.8659759</c:v>
                </c:pt>
                <c:pt idx="166">
                  <c:v>147.15387519999999</c:v>
                </c:pt>
                <c:pt idx="167">
                  <c:v>147.42193040000001</c:v>
                </c:pt>
                <c:pt idx="168">
                  <c:v>147.67115849999999</c:v>
                </c:pt>
                <c:pt idx="169">
                  <c:v>147.90260900000001</c:v>
                </c:pt>
                <c:pt idx="170">
                  <c:v>148.1173446</c:v>
                </c:pt>
                <c:pt idx="171">
                  <c:v>148.31641859999999</c:v>
                </c:pt>
                <c:pt idx="172">
                  <c:v>148.5008727</c:v>
                </c:pt>
                <c:pt idx="173">
                  <c:v>148.67171630000001</c:v>
                </c:pt>
                <c:pt idx="174">
                  <c:v>148.8299213</c:v>
                </c:pt>
                <c:pt idx="175">
                  <c:v>148.976416</c:v>
                </c:pt>
                <c:pt idx="176">
                  <c:v>149.11208139999999</c:v>
                </c:pt>
                <c:pt idx="177">
                  <c:v>149.23774850000001</c:v>
                </c:pt>
                <c:pt idx="178">
                  <c:v>149.35419540000001</c:v>
                </c:pt>
                <c:pt idx="179">
                  <c:v>149.46215319999999</c:v>
                </c:pt>
                <c:pt idx="180">
                  <c:v>149.56229930000001</c:v>
                </c:pt>
                <c:pt idx="181">
                  <c:v>149.6552628</c:v>
                </c:pt>
                <c:pt idx="182">
                  <c:v>149.7416255</c:v>
                </c:pt>
                <c:pt idx="183">
                  <c:v>149.82192420000001</c:v>
                </c:pt>
                <c:pt idx="184">
                  <c:v>149.8966533</c:v>
                </c:pt>
                <c:pt idx="185">
                  <c:v>149.9662668</c:v>
                </c:pt>
                <c:pt idx="186">
                  <c:v>150.03118119999999</c:v>
                </c:pt>
                <c:pt idx="187">
                  <c:v>150.09177840000001</c:v>
                </c:pt>
                <c:pt idx="188">
                  <c:v>150.1484074</c:v>
                </c:pt>
                <c:pt idx="189">
                  <c:v>150.20138789999999</c:v>
                </c:pt>
                <c:pt idx="190">
                  <c:v>150.25101129999999</c:v>
                </c:pt>
                <c:pt idx="191">
                  <c:v>150.2975443</c:v>
                </c:pt>
                <c:pt idx="192">
                  <c:v>150.34122980000001</c:v>
                </c:pt>
                <c:pt idx="193">
                  <c:v>150.3822898</c:v>
                </c:pt>
                <c:pt idx="194">
                  <c:v>150.4209266</c:v>
                </c:pt>
                <c:pt idx="195">
                  <c:v>150.4573249</c:v>
                </c:pt>
                <c:pt idx="196">
                  <c:v>150.49165310000001</c:v>
                </c:pt>
                <c:pt idx="197">
                  <c:v>150.52406500000001</c:v>
                </c:pt>
                <c:pt idx="198">
                  <c:v>150.55470080000001</c:v>
                </c:pt>
                <c:pt idx="199">
                  <c:v>150.58368870000001</c:v>
                </c:pt>
                <c:pt idx="200">
                  <c:v>150.61114570000001</c:v>
                </c:pt>
                <c:pt idx="201">
                  <c:v>150.63717890000001</c:v>
                </c:pt>
                <c:pt idx="202">
                  <c:v>150.66188600000001</c:v>
                </c:pt>
                <c:pt idx="203">
                  <c:v>150.68535679999999</c:v>
                </c:pt>
                <c:pt idx="204">
                  <c:v>150.70767330000001</c:v>
                </c:pt>
                <c:pt idx="205">
                  <c:v>150.72891060000001</c:v>
                </c:pt>
                <c:pt idx="206">
                  <c:v>150.74913799999999</c:v>
                </c:pt>
                <c:pt idx="207">
                  <c:v>150.76841870000001</c:v>
                </c:pt>
                <c:pt idx="208">
                  <c:v>150.78681109999999</c:v>
                </c:pt>
                <c:pt idx="209">
                  <c:v>150.80436889999999</c:v>
                </c:pt>
                <c:pt idx="210">
                  <c:v>150.8211416</c:v>
                </c:pt>
                <c:pt idx="211">
                  <c:v>150.83717480000001</c:v>
                </c:pt>
                <c:pt idx="212">
                  <c:v>150.85251059999999</c:v>
                </c:pt>
                <c:pt idx="213">
                  <c:v>150.86718819999999</c:v>
                </c:pt>
                <c:pt idx="214">
                  <c:v>150.88124350000001</c:v>
                </c:pt>
                <c:pt idx="215">
                  <c:v>150.89471019999999</c:v>
                </c:pt>
                <c:pt idx="216">
                  <c:v>150.90761910000001</c:v>
                </c:pt>
                <c:pt idx="217">
                  <c:v>150.91999939999999</c:v>
                </c:pt>
                <c:pt idx="218">
                  <c:v>150.9318778</c:v>
                </c:pt>
                <c:pt idx="219">
                  <c:v>150.94327949999999</c:v>
                </c:pt>
                <c:pt idx="220">
                  <c:v>150.95422790000001</c:v>
                </c:pt>
                <c:pt idx="221">
                  <c:v>150.96474480000001</c:v>
                </c:pt>
                <c:pt idx="222">
                  <c:v>150.97485069999999</c:v>
                </c:pt>
                <c:pt idx="223">
                  <c:v>150.98456490000001</c:v>
                </c:pt>
                <c:pt idx="224">
                  <c:v>150.99390529999999</c:v>
                </c:pt>
                <c:pt idx="225">
                  <c:v>151.00288889999999</c:v>
                </c:pt>
                <c:pt idx="226">
                  <c:v>151.01153149999999</c:v>
                </c:pt>
                <c:pt idx="227">
                  <c:v>151.01984820000001</c:v>
                </c:pt>
                <c:pt idx="228">
                  <c:v>151.02785320000001</c:v>
                </c:pt>
                <c:pt idx="229">
                  <c:v>151.0355596</c:v>
                </c:pt>
                <c:pt idx="230">
                  <c:v>151.04298030000001</c:v>
                </c:pt>
                <c:pt idx="231">
                  <c:v>151.0501271</c:v>
                </c:pt>
                <c:pt idx="232">
                  <c:v>151.05701139999999</c:v>
                </c:pt>
                <c:pt idx="233">
                  <c:v>151.06364379999999</c:v>
                </c:pt>
                <c:pt idx="234">
                  <c:v>151.07003460000001</c:v>
                </c:pt>
                <c:pt idx="235">
                  <c:v>151.07619339999999</c:v>
                </c:pt>
                <c:pt idx="236">
                  <c:v>151.08212950000001</c:v>
                </c:pt>
                <c:pt idx="237">
                  <c:v>151.0878515</c:v>
                </c:pt>
                <c:pt idx="238">
                  <c:v>151.0933679</c:v>
                </c:pt>
                <c:pt idx="239">
                  <c:v>151.09868660000001</c:v>
                </c:pt>
                <c:pt idx="240">
                  <c:v>151.10381520000001</c:v>
                </c:pt>
                <c:pt idx="241">
                  <c:v>151.10876089999999</c:v>
                </c:pt>
                <c:pt idx="242">
                  <c:v>151.1111674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23-4CC2-A3A5-10F176397FD4}"/>
            </c:ext>
          </c:extLst>
        </c:ser>
        <c:ser>
          <c:idx val="12"/>
          <c:order val="12"/>
          <c:tx>
            <c:v>P5 girls</c:v>
          </c:tx>
          <c:spPr>
            <a:ln w="6350" cap="rnd">
              <a:solidFill>
                <a:srgbClr val="FFC0CB">
                  <a:alpha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length4age!$B$245:$B$487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length4age!$G$245:$G$487</c:f>
              <c:numCache>
                <c:formatCode>General</c:formatCode>
                <c:ptCount val="243"/>
                <c:pt idx="0">
                  <c:v>45.575607403226186</c:v>
                </c:pt>
                <c:pt idx="1">
                  <c:v>47.96323977230351</c:v>
                </c:pt>
                <c:pt idx="2">
                  <c:v>51.479956901940184</c:v>
                </c:pt>
                <c:pt idx="3">
                  <c:v>54.179073639062608</c:v>
                </c:pt>
                <c:pt idx="4">
                  <c:v>56.433349473788603</c:v>
                </c:pt>
                <c:pt idx="5">
                  <c:v>58.400324369791214</c:v>
                </c:pt>
                <c:pt idx="6">
                  <c:v>60.163230754808446</c:v>
                </c:pt>
                <c:pt idx="7">
                  <c:v>61.772080145277123</c:v>
                </c:pt>
                <c:pt idx="8">
                  <c:v>63.259579538213558</c:v>
                </c:pt>
                <c:pt idx="9">
                  <c:v>64.648448283891994</c:v>
                </c:pt>
                <c:pt idx="10">
                  <c:v>65.955197569739894</c:v>
                </c:pt>
                <c:pt idx="11">
                  <c:v>67.192256464648068</c:v>
                </c:pt>
                <c:pt idx="12">
                  <c:v>68.369248550420437</c:v>
                </c:pt>
                <c:pt idx="13">
                  <c:v>69.493799167058228</c:v>
                </c:pt>
                <c:pt idx="14">
                  <c:v>70.572067912174461</c:v>
                </c:pt>
                <c:pt idx="15">
                  <c:v>71.609112223793602</c:v>
                </c:pt>
                <c:pt idx="16">
                  <c:v>72.609143227385061</c:v>
                </c:pt>
                <c:pt idx="17">
                  <c:v>73.575710206757122</c:v>
                </c:pt>
                <c:pt idx="18">
                  <c:v>74.511836664277538</c:v>
                </c:pt>
                <c:pt idx="19">
                  <c:v>75.420122517094214</c:v>
                </c:pt>
                <c:pt idx="20">
                  <c:v>76.302822243039159</c:v>
                </c:pt>
                <c:pt idx="21">
                  <c:v>77.161905465163017</c:v>
                </c:pt>
                <c:pt idx="22">
                  <c:v>77.999104597586765</c:v>
                </c:pt>
                <c:pt idx="23">
                  <c:v>78.815952719361661</c:v>
                </c:pt>
                <c:pt idx="24">
                  <c:v>79.613814564437334</c:v>
                </c:pt>
                <c:pt idx="25">
                  <c:v>79.259819890000003</c:v>
                </c:pt>
                <c:pt idx="26">
                  <c:v>79.647768589999998</c:v>
                </c:pt>
                <c:pt idx="27">
                  <c:v>80.442257350000006</c:v>
                </c:pt>
                <c:pt idx="28">
                  <c:v>81.226661809999996</c:v>
                </c:pt>
                <c:pt idx="29">
                  <c:v>81.995395959999996</c:v>
                </c:pt>
                <c:pt idx="30">
                  <c:v>82.744108879999999</c:v>
                </c:pt>
                <c:pt idx="31">
                  <c:v>83.469565849999995</c:v>
                </c:pt>
                <c:pt idx="32">
                  <c:v>84.169529429999997</c:v>
                </c:pt>
                <c:pt idx="33">
                  <c:v>84.842639370000001</c:v>
                </c:pt>
                <c:pt idx="34">
                  <c:v>85.488297079999995</c:v>
                </c:pt>
                <c:pt idx="35">
                  <c:v>86.106558809999996</c:v>
                </c:pt>
                <c:pt idx="36">
                  <c:v>86.698031439999994</c:v>
                </c:pt>
                <c:pt idx="37">
                  <c:v>87.26378819</c:v>
                </c:pt>
                <c:pt idx="38">
                  <c:v>87.805281570000005</c:v>
                </c:pt>
                <c:pt idx="39">
                  <c:v>88.342362129999998</c:v>
                </c:pt>
                <c:pt idx="40">
                  <c:v>88.872558639999994</c:v>
                </c:pt>
                <c:pt idx="41">
                  <c:v>89.397334259999994</c:v>
                </c:pt>
                <c:pt idx="42">
                  <c:v>89.917970780000005</c:v>
                </c:pt>
                <c:pt idx="43">
                  <c:v>90.435585540000005</c:v>
                </c:pt>
                <c:pt idx="44">
                  <c:v>90.95114701</c:v>
                </c:pt>
                <c:pt idx="45">
                  <c:v>91.465489099999999</c:v>
                </c:pt>
                <c:pt idx="46">
                  <c:v>91.979324149999997</c:v>
                </c:pt>
                <c:pt idx="47">
                  <c:v>92.493254829999998</c:v>
                </c:pt>
                <c:pt idx="48">
                  <c:v>93.007784839999999</c:v>
                </c:pt>
                <c:pt idx="49">
                  <c:v>93.523328629999995</c:v>
                </c:pt>
                <c:pt idx="50">
                  <c:v>94.040220210000001</c:v>
                </c:pt>
                <c:pt idx="51">
                  <c:v>94.558721090000006</c:v>
                </c:pt>
                <c:pt idx="52">
                  <c:v>95.079027370000006</c:v>
                </c:pt>
                <c:pt idx="53">
                  <c:v>95.601276279999993</c:v>
                </c:pt>
                <c:pt idx="54">
                  <c:v>96.125552020000001</c:v>
                </c:pt>
                <c:pt idx="55">
                  <c:v>96.651890969999997</c:v>
                </c:pt>
                <c:pt idx="56">
                  <c:v>97.180286559999999</c:v>
                </c:pt>
                <c:pt idx="57">
                  <c:v>97.710693599999999</c:v>
                </c:pt>
                <c:pt idx="58">
                  <c:v>98.243032189999994</c:v>
                </c:pt>
                <c:pt idx="59">
                  <c:v>98.77719141</c:v>
                </c:pt>
                <c:pt idx="60">
                  <c:v>99.313032570000004</c:v>
                </c:pt>
                <c:pt idx="61">
                  <c:v>99.850392290000002</c:v>
                </c:pt>
                <c:pt idx="62">
                  <c:v>100.3890853</c:v>
                </c:pt>
                <c:pt idx="63">
                  <c:v>100.9289069</c:v>
                </c:pt>
                <c:pt idx="64">
                  <c:v>101.4696357</c:v>
                </c:pt>
                <c:pt idx="65">
                  <c:v>102.0110354</c:v>
                </c:pt>
                <c:pt idx="66">
                  <c:v>102.55285739999999</c:v>
                </c:pt>
                <c:pt idx="67">
                  <c:v>103.0948423</c:v>
                </c:pt>
                <c:pt idx="68">
                  <c:v>103.6367221</c:v>
                </c:pt>
                <c:pt idx="69">
                  <c:v>104.17822169999999</c:v>
                </c:pt>
                <c:pt idx="70">
                  <c:v>104.71906060000001</c:v>
                </c:pt>
                <c:pt idx="71">
                  <c:v>105.258955</c:v>
                </c:pt>
                <c:pt idx="72">
                  <c:v>105.797617</c:v>
                </c:pt>
                <c:pt idx="73">
                  <c:v>106.3347618</c:v>
                </c:pt>
                <c:pt idx="74">
                  <c:v>106.8701003</c:v>
                </c:pt>
                <c:pt idx="75">
                  <c:v>107.4033481</c:v>
                </c:pt>
                <c:pt idx="76">
                  <c:v>107.93422289999999</c:v>
                </c:pt>
                <c:pt idx="77">
                  <c:v>108.4624465</c:v>
                </c:pt>
                <c:pt idx="78">
                  <c:v>108.987746</c:v>
                </c:pt>
                <c:pt idx="79">
                  <c:v>109.5098548</c:v>
                </c:pt>
                <c:pt idx="80">
                  <c:v>110.0285133</c:v>
                </c:pt>
                <c:pt idx="81">
                  <c:v>110.5434704</c:v>
                </c:pt>
                <c:pt idx="82">
                  <c:v>111.0544841</c:v>
                </c:pt>
                <c:pt idx="83">
                  <c:v>111.5613221</c:v>
                </c:pt>
                <c:pt idx="84">
                  <c:v>112.0637632</c:v>
                </c:pt>
                <c:pt idx="85">
                  <c:v>112.5615976</c:v>
                </c:pt>
                <c:pt idx="86">
                  <c:v>113.05462799999999</c:v>
                </c:pt>
                <c:pt idx="87">
                  <c:v>113.54267</c:v>
                </c:pt>
                <c:pt idx="88">
                  <c:v>114.0255532</c:v>
                </c:pt>
                <c:pt idx="89">
                  <c:v>114.5031216</c:v>
                </c:pt>
                <c:pt idx="90">
                  <c:v>114.97523409999999</c:v>
                </c:pt>
                <c:pt idx="91">
                  <c:v>115.4417656</c:v>
                </c:pt>
                <c:pt idx="92">
                  <c:v>115.90260739999999</c:v>
                </c:pt>
                <c:pt idx="93">
                  <c:v>116.3576679</c:v>
                </c:pt>
                <c:pt idx="94">
                  <c:v>116.8068731</c:v>
                </c:pt>
                <c:pt idx="95">
                  <c:v>117.2501678</c:v>
                </c:pt>
                <c:pt idx="96">
                  <c:v>117.6875155</c:v>
                </c:pt>
                <c:pt idx="97">
                  <c:v>118.11889979999999</c:v>
                </c:pt>
                <c:pt idx="98">
                  <c:v>118.54432509999999</c:v>
                </c:pt>
                <c:pt idx="99">
                  <c:v>118.9638171</c:v>
                </c:pt>
                <c:pt idx="100">
                  <c:v>119.3774239</c:v>
                </c:pt>
                <c:pt idx="101">
                  <c:v>119.7852171</c:v>
                </c:pt>
                <c:pt idx="102">
                  <c:v>120.1872927</c:v>
                </c:pt>
                <c:pt idx="103">
                  <c:v>120.5837721</c:v>
                </c:pt>
                <c:pt idx="104">
                  <c:v>120.97480349999999</c:v>
                </c:pt>
                <c:pt idx="105">
                  <c:v>121.3605632</c:v>
                </c:pt>
                <c:pt idx="106">
                  <c:v>121.7412571</c:v>
                </c:pt>
                <c:pt idx="107">
                  <c:v>122.1171219</c:v>
                </c:pt>
                <c:pt idx="108">
                  <c:v>122.4884272</c:v>
                </c:pt>
                <c:pt idx="109">
                  <c:v>122.8554769</c:v>
                </c:pt>
                <c:pt idx="110">
                  <c:v>123.2186111</c:v>
                </c:pt>
                <c:pt idx="111">
                  <c:v>123.5782083</c:v>
                </c:pt>
                <c:pt idx="112">
                  <c:v>123.9346869</c:v>
                </c:pt>
                <c:pt idx="113">
                  <c:v>124.28850749999999</c:v>
                </c:pt>
                <c:pt idx="114">
                  <c:v>124.64017490000001</c:v>
                </c:pt>
                <c:pt idx="115">
                  <c:v>124.9902397</c:v>
                </c:pt>
                <c:pt idx="116">
                  <c:v>125.3393004</c:v>
                </c:pt>
                <c:pt idx="117">
                  <c:v>125.6880049</c:v>
                </c:pt>
                <c:pt idx="118">
                  <c:v>126.03705119999999</c:v>
                </c:pt>
                <c:pt idx="119">
                  <c:v>126.38718849999999</c:v>
                </c:pt>
                <c:pt idx="120">
                  <c:v>126.7392174</c:v>
                </c:pt>
                <c:pt idx="121">
                  <c:v>127.09398830000001</c:v>
                </c:pt>
                <c:pt idx="122">
                  <c:v>127.4524005</c:v>
                </c:pt>
                <c:pt idx="123">
                  <c:v>127.8153983</c:v>
                </c:pt>
                <c:pt idx="124">
                  <c:v>128.18396680000001</c:v>
                </c:pt>
                <c:pt idx="125">
                  <c:v>128.5591249</c:v>
                </c:pt>
                <c:pt idx="126">
                  <c:v>128.9419168</c:v>
                </c:pt>
                <c:pt idx="127">
                  <c:v>129.33340140000001</c:v>
                </c:pt>
                <c:pt idx="128">
                  <c:v>129.73463720000001</c:v>
                </c:pt>
                <c:pt idx="129">
                  <c:v>130.1466666</c:v>
                </c:pt>
                <c:pt idx="130">
                  <c:v>130.57049570000001</c:v>
                </c:pt>
                <c:pt idx="131">
                  <c:v>131.00707170000001</c:v>
                </c:pt>
                <c:pt idx="132">
                  <c:v>131.4572565</c:v>
                </c:pt>
                <c:pt idx="133">
                  <c:v>131.92179859999999</c:v>
                </c:pt>
                <c:pt idx="134">
                  <c:v>132.4013028</c:v>
                </c:pt>
                <c:pt idx="135">
                  <c:v>132.8961979</c:v>
                </c:pt>
                <c:pt idx="136">
                  <c:v>133.40670489999999</c:v>
                </c:pt>
                <c:pt idx="137">
                  <c:v>133.93280659999999</c:v>
                </c:pt>
                <c:pt idx="138">
                  <c:v>134.4742195</c:v>
                </c:pt>
                <c:pt idx="139">
                  <c:v>135.03036990000001</c:v>
                </c:pt>
                <c:pt idx="140">
                  <c:v>135.6003795</c:v>
                </c:pt>
                <c:pt idx="141">
                  <c:v>136.18305240000001</c:v>
                </c:pt>
                <c:pt idx="142">
                  <c:v>136.77688040000001</c:v>
                </c:pt>
                <c:pt idx="143">
                  <c:v>137.38005190000001</c:v>
                </c:pt>
                <c:pt idx="144">
                  <c:v>137.9904798</c:v>
                </c:pt>
                <c:pt idx="145">
                  <c:v>138.60582890000001</c:v>
                </c:pt>
                <c:pt idx="146">
                  <c:v>139.2235689</c:v>
                </c:pt>
                <c:pt idx="147">
                  <c:v>139.84102469999999</c:v>
                </c:pt>
                <c:pt idx="148">
                  <c:v>140.4554388</c:v>
                </c:pt>
                <c:pt idx="149">
                  <c:v>141.06403599999999</c:v>
                </c:pt>
                <c:pt idx="150">
                  <c:v>141.6640898</c:v>
                </c:pt>
                <c:pt idx="151">
                  <c:v>142.25298549999999</c:v>
                </c:pt>
                <c:pt idx="152">
                  <c:v>142.8282787</c:v>
                </c:pt>
                <c:pt idx="153">
                  <c:v>143.38774520000001</c:v>
                </c:pt>
                <c:pt idx="154">
                  <c:v>143.9294218</c:v>
                </c:pt>
                <c:pt idx="155">
                  <c:v>144.45163539999999</c:v>
                </c:pt>
                <c:pt idx="156">
                  <c:v>144.95302050000001</c:v>
                </c:pt>
                <c:pt idx="157">
                  <c:v>145.4325259</c:v>
                </c:pt>
                <c:pt idx="158">
                  <c:v>145.88941059999999</c:v>
                </c:pt>
                <c:pt idx="159">
                  <c:v>146.3232308</c:v>
                </c:pt>
                <c:pt idx="160">
                  <c:v>146.7338197</c:v>
                </c:pt>
                <c:pt idx="161">
                  <c:v>147.12126129999999</c:v>
                </c:pt>
                <c:pt idx="162">
                  <c:v>147.48586109999999</c:v>
                </c:pt>
                <c:pt idx="163">
                  <c:v>147.8281145</c:v>
                </c:pt>
                <c:pt idx="164">
                  <c:v>148.148675</c:v>
                </c:pt>
                <c:pt idx="165">
                  <c:v>148.44832249999999</c:v>
                </c:pt>
                <c:pt idx="166">
                  <c:v>148.72793419999999</c:v>
                </c:pt>
                <c:pt idx="167">
                  <c:v>148.98845739999999</c:v>
                </c:pt>
                <c:pt idx="168">
                  <c:v>149.23088519999999</c:v>
                </c:pt>
                <c:pt idx="169">
                  <c:v>149.45623549999999</c:v>
                </c:pt>
                <c:pt idx="170">
                  <c:v>149.6655332</c:v>
                </c:pt>
                <c:pt idx="171">
                  <c:v>149.85979259999999</c:v>
                </c:pt>
                <c:pt idx="172">
                  <c:v>150.04001070000001</c:v>
                </c:pt>
                <c:pt idx="173">
                  <c:v>150.20715319999999</c:v>
                </c:pt>
                <c:pt idx="174">
                  <c:v>150.36214820000001</c:v>
                </c:pt>
                <c:pt idx="175">
                  <c:v>150.5058813</c:v>
                </c:pt>
                <c:pt idx="176">
                  <c:v>150.63919229999999</c:v>
                </c:pt>
                <c:pt idx="177">
                  <c:v>150.76287289999999</c:v>
                </c:pt>
                <c:pt idx="178">
                  <c:v>150.87766500000001</c:v>
                </c:pt>
                <c:pt idx="179">
                  <c:v>150.9842639</c:v>
                </c:pt>
                <c:pt idx="180">
                  <c:v>151.08331530000001</c:v>
                </c:pt>
                <c:pt idx="181">
                  <c:v>151.1754186</c:v>
                </c:pt>
                <c:pt idx="182">
                  <c:v>151.2611287</c:v>
                </c:pt>
                <c:pt idx="183">
                  <c:v>151.3409575</c:v>
                </c:pt>
                <c:pt idx="184">
                  <c:v>151.41537700000001</c:v>
                </c:pt>
                <c:pt idx="185">
                  <c:v>151.48482079999999</c:v>
                </c:pt>
                <c:pt idx="186">
                  <c:v>151.54968740000001</c:v>
                </c:pt>
                <c:pt idx="187">
                  <c:v>151.610342</c:v>
                </c:pt>
                <c:pt idx="188">
                  <c:v>151.6671193</c:v>
                </c:pt>
                <c:pt idx="189">
                  <c:v>151.7203255</c:v>
                </c:pt>
                <c:pt idx="190">
                  <c:v>151.77024069999999</c:v>
                </c:pt>
                <c:pt idx="191">
                  <c:v>151.8171212</c:v>
                </c:pt>
                <c:pt idx="192">
                  <c:v>151.86120080000001</c:v>
                </c:pt>
                <c:pt idx="193">
                  <c:v>151.9026934</c:v>
                </c:pt>
                <c:pt idx="194">
                  <c:v>151.9417942</c:v>
                </c:pt>
                <c:pt idx="195">
                  <c:v>151.97868170000001</c:v>
                </c:pt>
                <c:pt idx="196">
                  <c:v>152.013519</c:v>
                </c:pt>
                <c:pt idx="197">
                  <c:v>152.04645489999999</c:v>
                </c:pt>
                <c:pt idx="198">
                  <c:v>152.0776257</c:v>
                </c:pt>
                <c:pt idx="199">
                  <c:v>152.10715579999999</c:v>
                </c:pt>
                <c:pt idx="200">
                  <c:v>152.1351593</c:v>
                </c:pt>
                <c:pt idx="201">
                  <c:v>152.16174050000001</c:v>
                </c:pt>
                <c:pt idx="202">
                  <c:v>152.1869949</c:v>
                </c:pt>
                <c:pt idx="203">
                  <c:v>152.2110102</c:v>
                </c:pt>
                <c:pt idx="204">
                  <c:v>152.23386669999999</c:v>
                </c:pt>
                <c:pt idx="205">
                  <c:v>152.25563829999999</c:v>
                </c:pt>
                <c:pt idx="206">
                  <c:v>152.27639289999999</c:v>
                </c:pt>
                <c:pt idx="207">
                  <c:v>152.29619299999999</c:v>
                </c:pt>
                <c:pt idx="208">
                  <c:v>152.31509589999999</c:v>
                </c:pt>
                <c:pt idx="209">
                  <c:v>152.33315479999999</c:v>
                </c:pt>
                <c:pt idx="210">
                  <c:v>152.35041870000001</c:v>
                </c:pt>
                <c:pt idx="211">
                  <c:v>152.36693270000001</c:v>
                </c:pt>
                <c:pt idx="212">
                  <c:v>152.3827387</c:v>
                </c:pt>
                <c:pt idx="213">
                  <c:v>152.3978755</c:v>
                </c:pt>
                <c:pt idx="214">
                  <c:v>152.41237899999999</c:v>
                </c:pt>
                <c:pt idx="215">
                  <c:v>152.4262827</c:v>
                </c:pt>
                <c:pt idx="216">
                  <c:v>152.43961770000001</c:v>
                </c:pt>
                <c:pt idx="217">
                  <c:v>152.45241279999999</c:v>
                </c:pt>
                <c:pt idx="218">
                  <c:v>152.46469500000001</c:v>
                </c:pt>
                <c:pt idx="219">
                  <c:v>152.47648950000001</c:v>
                </c:pt>
                <c:pt idx="220">
                  <c:v>152.48781980000001</c:v>
                </c:pt>
                <c:pt idx="221">
                  <c:v>152.49870799999999</c:v>
                </c:pt>
                <c:pt idx="222">
                  <c:v>152.50917469999999</c:v>
                </c:pt>
                <c:pt idx="223">
                  <c:v>152.51923930000001</c:v>
                </c:pt>
                <c:pt idx="224">
                  <c:v>152.52892</c:v>
                </c:pt>
                <c:pt idx="225">
                  <c:v>152.5382338</c:v>
                </c:pt>
                <c:pt idx="226">
                  <c:v>152.54719710000001</c:v>
                </c:pt>
                <c:pt idx="227">
                  <c:v>152.55582480000001</c:v>
                </c:pt>
                <c:pt idx="228">
                  <c:v>152.5641315</c:v>
                </c:pt>
                <c:pt idx="229">
                  <c:v>152.5721307</c:v>
                </c:pt>
                <c:pt idx="230">
                  <c:v>152.57983530000001</c:v>
                </c:pt>
                <c:pt idx="231">
                  <c:v>152.5872574</c:v>
                </c:pt>
                <c:pt idx="232">
                  <c:v>152.59440849999999</c:v>
                </c:pt>
                <c:pt idx="233">
                  <c:v>152.6012996</c:v>
                </c:pt>
                <c:pt idx="234">
                  <c:v>152.6079412</c:v>
                </c:pt>
                <c:pt idx="235">
                  <c:v>152.61434310000001</c:v>
                </c:pt>
                <c:pt idx="236">
                  <c:v>152.6205147</c:v>
                </c:pt>
                <c:pt idx="237">
                  <c:v>152.626465</c:v>
                </c:pt>
                <c:pt idx="238">
                  <c:v>152.6322026</c:v>
                </c:pt>
                <c:pt idx="239">
                  <c:v>152.63773560000001</c:v>
                </c:pt>
                <c:pt idx="240">
                  <c:v>152.6430718</c:v>
                </c:pt>
                <c:pt idx="241">
                  <c:v>152.6482187</c:v>
                </c:pt>
                <c:pt idx="242">
                  <c:v>152.6507234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23-4CC2-A3A5-10F176397FD4}"/>
            </c:ext>
          </c:extLst>
        </c:ser>
        <c:ser>
          <c:idx val="13"/>
          <c:order val="13"/>
          <c:tx>
            <c:v>P10 girls</c:v>
          </c:tx>
          <c:spPr>
            <a:ln w="6350" cap="rnd">
              <a:solidFill>
                <a:srgbClr val="FFC0CB">
                  <a:alpha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length4age!$B$245:$B$487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length4age!$H$245:$H$487</c:f>
              <c:numCache>
                <c:formatCode>General</c:formatCode>
                <c:ptCount val="243"/>
                <c:pt idx="0">
                  <c:v>46.339336510969957</c:v>
                </c:pt>
                <c:pt idx="1">
                  <c:v>48.742481675696276</c:v>
                </c:pt>
                <c:pt idx="2">
                  <c:v>52.296268711573283</c:v>
                </c:pt>
                <c:pt idx="3">
                  <c:v>55.031443057553382</c:v>
                </c:pt>
                <c:pt idx="4">
                  <c:v>57.318924381421596</c:v>
                </c:pt>
                <c:pt idx="5">
                  <c:v>59.316327681551137</c:v>
                </c:pt>
                <c:pt idx="6">
                  <c:v>61.107258362972672</c:v>
                </c:pt>
                <c:pt idx="7">
                  <c:v>62.742102831168125</c:v>
                </c:pt>
                <c:pt idx="8">
                  <c:v>64.253887803435703</c:v>
                </c:pt>
                <c:pt idx="9">
                  <c:v>65.665593898463058</c:v>
                </c:pt>
                <c:pt idx="10">
                  <c:v>66.993943711226692</c:v>
                </c:pt>
                <c:pt idx="11">
                  <c:v>68.251537657595293</c:v>
                </c:pt>
                <c:pt idx="12">
                  <c:v>69.44813905364532</c:v>
                </c:pt>
                <c:pt idx="13">
                  <c:v>70.591488102113047</c:v>
                </c:pt>
                <c:pt idx="14">
                  <c:v>71.687839598204931</c:v>
                </c:pt>
                <c:pt idx="15">
                  <c:v>72.742330546317987</c:v>
                </c:pt>
                <c:pt idx="16">
                  <c:v>73.759239094396662</c:v>
                </c:pt>
                <c:pt idx="17">
                  <c:v>74.742171418146711</c:v>
                </c:pt>
                <c:pt idx="18">
                  <c:v>75.694199652211495</c:v>
                </c:pt>
                <c:pt idx="19">
                  <c:v>76.61796556800067</c:v>
                </c:pt>
                <c:pt idx="20">
                  <c:v>77.515759886674871</c:v>
                </c:pt>
                <c:pt idx="21">
                  <c:v>78.389583800652659</c:v>
                </c:pt>
                <c:pt idx="22">
                  <c:v>79.241197372670882</c:v>
                </c:pt>
                <c:pt idx="23">
                  <c:v>80.072158027406473</c:v>
                </c:pt>
                <c:pt idx="24">
                  <c:v>80.883851467342282</c:v>
                </c:pt>
                <c:pt idx="25">
                  <c:v>80.524764669999996</c:v>
                </c:pt>
                <c:pt idx="26">
                  <c:v>80.919463019999995</c:v>
                </c:pt>
                <c:pt idx="27">
                  <c:v>81.735409570000002</c:v>
                </c:pt>
                <c:pt idx="28">
                  <c:v>82.536994399999998</c:v>
                </c:pt>
                <c:pt idx="29">
                  <c:v>83.319684530000004</c:v>
                </c:pt>
                <c:pt idx="30">
                  <c:v>84.079979089999995</c:v>
                </c:pt>
                <c:pt idx="31">
                  <c:v>84.815316789999997</c:v>
                </c:pt>
                <c:pt idx="32">
                  <c:v>85.523980129999998</c:v>
                </c:pt>
                <c:pt idx="33">
                  <c:v>86.205000709999993</c:v>
                </c:pt>
                <c:pt idx="34">
                  <c:v>86.858067520000006</c:v>
                </c:pt>
                <c:pt idx="35">
                  <c:v>87.483439219999994</c:v>
                </c:pt>
                <c:pt idx="36">
                  <c:v>88.081863249999998</c:v>
                </c:pt>
                <c:pt idx="37">
                  <c:v>88.654498799999999</c:v>
                </c:pt>
                <c:pt idx="38">
                  <c:v>89.202848930000002</c:v>
                </c:pt>
                <c:pt idx="39">
                  <c:v>89.748753219999998</c:v>
                </c:pt>
                <c:pt idx="40">
                  <c:v>90.288106990000003</c:v>
                </c:pt>
                <c:pt idx="41">
                  <c:v>90.822275489999996</c:v>
                </c:pt>
                <c:pt idx="42">
                  <c:v>91.352461739999995</c:v>
                </c:pt>
                <c:pt idx="43">
                  <c:v>91.879720509999999</c:v>
                </c:pt>
                <c:pt idx="44">
                  <c:v>92.404971439999997</c:v>
                </c:pt>
                <c:pt idx="45">
                  <c:v>92.929011119999998</c:v>
                </c:pt>
                <c:pt idx="46">
                  <c:v>93.452524220000001</c:v>
                </c:pt>
                <c:pt idx="47">
                  <c:v>93.976093739999996</c:v>
                </c:pt>
                <c:pt idx="48">
                  <c:v>94.500210280000005</c:v>
                </c:pt>
                <c:pt idx="49">
                  <c:v>95.025280629999997</c:v>
                </c:pt>
                <c:pt idx="50">
                  <c:v>95.551635450000006</c:v>
                </c:pt>
                <c:pt idx="51">
                  <c:v>96.079536340000004</c:v>
                </c:pt>
                <c:pt idx="52">
                  <c:v>96.609182259999997</c:v>
                </c:pt>
                <c:pt idx="53">
                  <c:v>97.140715349999994</c:v>
                </c:pt>
                <c:pt idx="54">
                  <c:v>97.67422621</c:v>
                </c:pt>
                <c:pt idx="55">
                  <c:v>98.209758809999997</c:v>
                </c:pt>
                <c:pt idx="56">
                  <c:v>98.747314840000001</c:v>
                </c:pt>
                <c:pt idx="57">
                  <c:v>99.286857749999996</c:v>
                </c:pt>
                <c:pt idx="58">
                  <c:v>99.828316520000001</c:v>
                </c:pt>
                <c:pt idx="59">
                  <c:v>100.371589</c:v>
                </c:pt>
                <c:pt idx="60">
                  <c:v>100.91654509999999</c:v>
                </c:pt>
                <c:pt idx="61">
                  <c:v>101.4630296</c:v>
                </c:pt>
                <c:pt idx="62">
                  <c:v>102.0108651</c:v>
                </c:pt>
                <c:pt idx="63">
                  <c:v>102.5598541</c:v>
                </c:pt>
                <c:pt idx="64">
                  <c:v>103.1097819</c:v>
                </c:pt>
                <c:pt idx="65">
                  <c:v>103.6604184</c:v>
                </c:pt>
                <c:pt idx="66">
                  <c:v>104.2115203</c:v>
                </c:pt>
                <c:pt idx="67">
                  <c:v>104.762833</c:v>
                </c:pt>
                <c:pt idx="68">
                  <c:v>105.3140925</c:v>
                </c:pt>
                <c:pt idx="69">
                  <c:v>105.8650274</c:v>
                </c:pt>
                <c:pt idx="70">
                  <c:v>106.4153599</c:v>
                </c:pt>
                <c:pt idx="71">
                  <c:v>106.9648081</c:v>
                </c:pt>
                <c:pt idx="72">
                  <c:v>107.5130874</c:v>
                </c:pt>
                <c:pt idx="73">
                  <c:v>108.0599112</c:v>
                </c:pt>
                <c:pt idx="74">
                  <c:v>108.60499350000001</c:v>
                </c:pt>
                <c:pt idx="75">
                  <c:v>109.148049</c:v>
                </c:pt>
                <c:pt idx="76">
                  <c:v>109.6887954</c:v>
                </c:pt>
                <c:pt idx="77">
                  <c:v>110.2269537</c:v>
                </c:pt>
                <c:pt idx="78">
                  <c:v>110.7622502</c:v>
                </c:pt>
                <c:pt idx="79">
                  <c:v>111.29441679999999</c:v>
                </c:pt>
                <c:pt idx="80">
                  <c:v>111.8231928</c:v>
                </c:pt>
                <c:pt idx="81">
                  <c:v>112.3483251</c:v>
                </c:pt>
                <c:pt idx="82">
                  <c:v>112.8695701</c:v>
                </c:pt>
                <c:pt idx="83">
                  <c:v>113.3866939</c:v>
                </c:pt>
                <c:pt idx="84">
                  <c:v>113.8994733</c:v>
                </c:pt>
                <c:pt idx="85">
                  <c:v>114.407697</c:v>
                </c:pt>
                <c:pt idx="86">
                  <c:v>114.9111662</c:v>
                </c:pt>
                <c:pt idx="87">
                  <c:v>115.4096953</c:v>
                </c:pt>
                <c:pt idx="88">
                  <c:v>115.90311269999999</c:v>
                </c:pt>
                <c:pt idx="89">
                  <c:v>116.391262</c:v>
                </c:pt>
                <c:pt idx="90">
                  <c:v>116.874002</c:v>
                </c:pt>
                <c:pt idx="91">
                  <c:v>117.351208</c:v>
                </c:pt>
                <c:pt idx="92">
                  <c:v>117.82277240000001</c:v>
                </c:pt>
                <c:pt idx="93">
                  <c:v>118.28860539999999</c:v>
                </c:pt>
                <c:pt idx="94">
                  <c:v>118.74863569999999</c:v>
                </c:pt>
                <c:pt idx="95">
                  <c:v>119.2028114</c:v>
                </c:pt>
                <c:pt idx="96">
                  <c:v>119.651101</c:v>
                </c:pt>
                <c:pt idx="97">
                  <c:v>120.0934937</c:v>
                </c:pt>
                <c:pt idx="98">
                  <c:v>120.5300007</c:v>
                </c:pt>
                <c:pt idx="99">
                  <c:v>120.9606563</c:v>
                </c:pt>
                <c:pt idx="100">
                  <c:v>121.3855185</c:v>
                </c:pt>
                <c:pt idx="101">
                  <c:v>121.8046703</c:v>
                </c:pt>
                <c:pt idx="102">
                  <c:v>122.2182208</c:v>
                </c:pt>
                <c:pt idx="103">
                  <c:v>122.62630660000001</c:v>
                </c:pt>
                <c:pt idx="104">
                  <c:v>123.029093</c:v>
                </c:pt>
                <c:pt idx="105">
                  <c:v>123.4267753</c:v>
                </c:pt>
                <c:pt idx="106">
                  <c:v>123.8195805</c:v>
                </c:pt>
                <c:pt idx="107">
                  <c:v>124.2077692</c:v>
                </c:pt>
                <c:pt idx="108">
                  <c:v>124.5916364</c:v>
                </c:pt>
                <c:pt idx="109">
                  <c:v>124.9715143</c:v>
                </c:pt>
                <c:pt idx="110">
                  <c:v>125.34777339999999</c:v>
                </c:pt>
                <c:pt idx="111">
                  <c:v>125.72082450000001</c:v>
                </c:pt>
                <c:pt idx="112">
                  <c:v>126.0911208</c:v>
                </c:pt>
                <c:pt idx="113">
                  <c:v>126.4591593</c:v>
                </c:pt>
                <c:pt idx="114">
                  <c:v>126.82548250000001</c:v>
                </c:pt>
                <c:pt idx="115">
                  <c:v>127.19068009999999</c:v>
                </c:pt>
                <c:pt idx="116">
                  <c:v>127.5553896</c:v>
                </c:pt>
                <c:pt idx="117">
                  <c:v>127.9202978</c:v>
                </c:pt>
                <c:pt idx="118">
                  <c:v>128.28614039999999</c:v>
                </c:pt>
                <c:pt idx="119">
                  <c:v>128.65370139999999</c:v>
                </c:pt>
                <c:pt idx="120">
                  <c:v>129.0238124</c:v>
                </c:pt>
                <c:pt idx="121">
                  <c:v>129.39734960000001</c:v>
                </c:pt>
                <c:pt idx="122">
                  <c:v>129.7752299</c:v>
                </c:pt>
                <c:pt idx="123">
                  <c:v>130.15840610000001</c:v>
                </c:pt>
                <c:pt idx="124">
                  <c:v>130.54785949999999</c:v>
                </c:pt>
                <c:pt idx="125">
                  <c:v>130.94459069999999</c:v>
                </c:pt>
                <c:pt idx="126">
                  <c:v>131.34960839999999</c:v>
                </c:pt>
                <c:pt idx="127">
                  <c:v>131.76391509999999</c:v>
                </c:pt>
                <c:pt idx="128">
                  <c:v>132.18849109999999</c:v>
                </c:pt>
                <c:pt idx="129">
                  <c:v>132.62427510000001</c:v>
                </c:pt>
                <c:pt idx="130">
                  <c:v>133.07214200000001</c:v>
                </c:pt>
                <c:pt idx="131">
                  <c:v>133.53287889999999</c:v>
                </c:pt>
                <c:pt idx="132">
                  <c:v>134.0071586</c:v>
                </c:pt>
                <c:pt idx="133">
                  <c:v>134.4955119</c:v>
                </c:pt>
                <c:pt idx="134">
                  <c:v>134.99829819999999</c:v>
                </c:pt>
                <c:pt idx="135">
                  <c:v>135.51567779999999</c:v>
                </c:pt>
                <c:pt idx="136">
                  <c:v>136.04758459999999</c:v>
                </c:pt>
                <c:pt idx="137">
                  <c:v>136.5937022</c:v>
                </c:pt>
                <c:pt idx="138">
                  <c:v>137.15344450000001</c:v>
                </c:pt>
                <c:pt idx="139">
                  <c:v>137.72594190000001</c:v>
                </c:pt>
                <c:pt idx="140">
                  <c:v>138.31003509999999</c:v>
                </c:pt>
                <c:pt idx="141">
                  <c:v>138.9042785</c:v>
                </c:pt>
                <c:pt idx="142">
                  <c:v>139.5069517</c:v>
                </c:pt>
                <c:pt idx="143">
                  <c:v>140.11608240000001</c:v>
                </c:pt>
                <c:pt idx="144">
                  <c:v>140.7294775</c:v>
                </c:pt>
                <c:pt idx="145">
                  <c:v>141.34476620000001</c:v>
                </c:pt>
                <c:pt idx="146">
                  <c:v>141.95944710000001</c:v>
                </c:pt>
                <c:pt idx="147">
                  <c:v>142.57094420000001</c:v>
                </c:pt>
                <c:pt idx="148">
                  <c:v>143.17666389999999</c:v>
                </c:pt>
                <c:pt idx="149">
                  <c:v>143.77405469999999</c:v>
                </c:pt>
                <c:pt idx="150">
                  <c:v>144.36066310000001</c:v>
                </c:pt>
                <c:pt idx="151">
                  <c:v>144.9341866</c:v>
                </c:pt>
                <c:pt idx="152">
                  <c:v>145.49251870000001</c:v>
                </c:pt>
                <c:pt idx="153">
                  <c:v>146.03378660000001</c:v>
                </c:pt>
                <c:pt idx="154">
                  <c:v>146.5563788</c:v>
                </c:pt>
                <c:pt idx="155">
                  <c:v>147.0589626</c:v>
                </c:pt>
                <c:pt idx="156">
                  <c:v>147.5404925</c:v>
                </c:pt>
                <c:pt idx="157">
                  <c:v>148.00020850000001</c:v>
                </c:pt>
                <c:pt idx="158">
                  <c:v>148.43762699999999</c:v>
                </c:pt>
                <c:pt idx="159">
                  <c:v>148.8525242</c:v>
                </c:pt>
                <c:pt idx="160">
                  <c:v>149.24491470000001</c:v>
                </c:pt>
                <c:pt idx="161">
                  <c:v>149.61502590000001</c:v>
                </c:pt>
                <c:pt idx="162">
                  <c:v>149.9632704</c:v>
                </c:pt>
                <c:pt idx="163">
                  <c:v>150.29021739999999</c:v>
                </c:pt>
                <c:pt idx="164">
                  <c:v>150.5965645</c:v>
                </c:pt>
                <c:pt idx="165">
                  <c:v>150.88310970000001</c:v>
                </c:pt>
                <c:pt idx="166">
                  <c:v>151.15072670000001</c:v>
                </c:pt>
                <c:pt idx="167">
                  <c:v>151.4003414</c:v>
                </c:pt>
                <c:pt idx="168">
                  <c:v>151.63291150000001</c:v>
                </c:pt>
                <c:pt idx="169">
                  <c:v>151.8494087</c:v>
                </c:pt>
                <c:pt idx="170">
                  <c:v>152.05080330000001</c:v>
                </c:pt>
                <c:pt idx="171">
                  <c:v>152.23805300000001</c:v>
                </c:pt>
                <c:pt idx="172">
                  <c:v>152.4120911</c:v>
                </c:pt>
                <c:pt idx="173">
                  <c:v>152.5738202</c:v>
                </c:pt>
                <c:pt idx="174">
                  <c:v>152.7241057</c:v>
                </c:pt>
                <c:pt idx="175">
                  <c:v>152.86377210000001</c:v>
                </c:pt>
                <c:pt idx="176">
                  <c:v>152.99360010000001</c:v>
                </c:pt>
                <c:pt idx="177">
                  <c:v>153.1143251</c:v>
                </c:pt>
                <c:pt idx="178">
                  <c:v>153.2266371</c:v>
                </c:pt>
                <c:pt idx="179">
                  <c:v>153.33118039999999</c:v>
                </c:pt>
                <c:pt idx="180">
                  <c:v>153.42855520000001</c:v>
                </c:pt>
                <c:pt idx="181">
                  <c:v>153.5193185</c:v>
                </c:pt>
                <c:pt idx="182">
                  <c:v>153.6039864</c:v>
                </c:pt>
                <c:pt idx="183">
                  <c:v>153.68303560000001</c:v>
                </c:pt>
                <c:pt idx="184">
                  <c:v>153.7569057</c:v>
                </c:pt>
                <c:pt idx="185">
                  <c:v>153.82600149999999</c:v>
                </c:pt>
                <c:pt idx="186">
                  <c:v>153.8906954</c:v>
                </c:pt>
                <c:pt idx="187">
                  <c:v>153.95132899999999</c:v>
                </c:pt>
                <c:pt idx="188">
                  <c:v>154.00821619999999</c:v>
                </c:pt>
                <c:pt idx="189">
                  <c:v>154.06164459999999</c:v>
                </c:pt>
                <c:pt idx="190">
                  <c:v>154.11187749999999</c:v>
                </c:pt>
                <c:pt idx="191">
                  <c:v>154.1591564</c:v>
                </c:pt>
                <c:pt idx="192">
                  <c:v>154.2037023</c:v>
                </c:pt>
                <c:pt idx="193">
                  <c:v>154.24571750000001</c:v>
                </c:pt>
                <c:pt idx="194">
                  <c:v>154.2853872</c:v>
                </c:pt>
                <c:pt idx="195">
                  <c:v>154.3228809</c:v>
                </c:pt>
                <c:pt idx="196">
                  <c:v>154.3583538</c:v>
                </c:pt>
                <c:pt idx="197">
                  <c:v>154.3919483</c:v>
                </c:pt>
                <c:pt idx="198">
                  <c:v>154.42379439999999</c:v>
                </c:pt>
                <c:pt idx="199">
                  <c:v>154.45401179999999</c:v>
                </c:pt>
                <c:pt idx="200">
                  <c:v>154.48270980000001</c:v>
                </c:pt>
                <c:pt idx="201">
                  <c:v>154.50998899999999</c:v>
                </c:pt>
                <c:pt idx="202">
                  <c:v>154.5359417</c:v>
                </c:pt>
                <c:pt idx="203">
                  <c:v>154.56065280000001</c:v>
                </c:pt>
                <c:pt idx="204">
                  <c:v>154.5842002</c:v>
                </c:pt>
                <c:pt idx="205">
                  <c:v>154.6066558</c:v>
                </c:pt>
                <c:pt idx="206">
                  <c:v>154.62808580000001</c:v>
                </c:pt>
                <c:pt idx="207">
                  <c:v>154.64855119999999</c:v>
                </c:pt>
                <c:pt idx="208">
                  <c:v>154.66810839999999</c:v>
                </c:pt>
                <c:pt idx="209">
                  <c:v>154.68680950000001</c:v>
                </c:pt>
                <c:pt idx="210">
                  <c:v>154.70470270000001</c:v>
                </c:pt>
                <c:pt idx="211">
                  <c:v>154.72183269999999</c:v>
                </c:pt>
                <c:pt idx="212">
                  <c:v>154.7382408</c:v>
                </c:pt>
                <c:pt idx="213">
                  <c:v>154.75396549999999</c:v>
                </c:pt>
                <c:pt idx="214">
                  <c:v>154.7690427</c:v>
                </c:pt>
                <c:pt idx="215">
                  <c:v>154.7835054</c:v>
                </c:pt>
                <c:pt idx="216">
                  <c:v>154.7973849</c:v>
                </c:pt>
                <c:pt idx="217">
                  <c:v>154.81071</c:v>
                </c:pt>
                <c:pt idx="218">
                  <c:v>154.82350769999999</c:v>
                </c:pt>
                <c:pt idx="219">
                  <c:v>154.8358035</c:v>
                </c:pt>
                <c:pt idx="220">
                  <c:v>154.84762079999999</c:v>
                </c:pt>
                <c:pt idx="221">
                  <c:v>154.85898209999999</c:v>
                </c:pt>
                <c:pt idx="222">
                  <c:v>154.8699082</c:v>
                </c:pt>
                <c:pt idx="223">
                  <c:v>154.88041860000001</c:v>
                </c:pt>
                <c:pt idx="224">
                  <c:v>154.89053179999999</c:v>
                </c:pt>
                <c:pt idx="225">
                  <c:v>154.90026539999999</c:v>
                </c:pt>
                <c:pt idx="226">
                  <c:v>154.9096356</c:v>
                </c:pt>
                <c:pt idx="227">
                  <c:v>154.9186579</c:v>
                </c:pt>
                <c:pt idx="228">
                  <c:v>154.92734720000001</c:v>
                </c:pt>
                <c:pt idx="229">
                  <c:v>154.93571710000001</c:v>
                </c:pt>
                <c:pt idx="230">
                  <c:v>154.94378090000001</c:v>
                </c:pt>
                <c:pt idx="231">
                  <c:v>154.95155109999999</c:v>
                </c:pt>
                <c:pt idx="232">
                  <c:v>154.95903949999999</c:v>
                </c:pt>
                <c:pt idx="233">
                  <c:v>154.96625739999999</c:v>
                </c:pt>
                <c:pt idx="234">
                  <c:v>154.97321539999999</c:v>
                </c:pt>
                <c:pt idx="235">
                  <c:v>154.9799237</c:v>
                </c:pt>
                <c:pt idx="236">
                  <c:v>154.98639220000001</c:v>
                </c:pt>
                <c:pt idx="237">
                  <c:v>154.9926299</c:v>
                </c:pt>
                <c:pt idx="238">
                  <c:v>154.99864579999999</c:v>
                </c:pt>
                <c:pt idx="239">
                  <c:v>155.00444830000001</c:v>
                </c:pt>
                <c:pt idx="240">
                  <c:v>155.0100454</c:v>
                </c:pt>
                <c:pt idx="241">
                  <c:v>155.01544490000001</c:v>
                </c:pt>
                <c:pt idx="242">
                  <c:v>155.01807289999999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23-4CC2-A3A5-10F176397FD4}"/>
            </c:ext>
          </c:extLst>
        </c:ser>
        <c:ser>
          <c:idx val="14"/>
          <c:order val="14"/>
          <c:tx>
            <c:v>P25 girls</c:v>
          </c:tx>
          <c:spPr>
            <a:ln w="6350" cap="rnd">
              <a:solidFill>
                <a:srgbClr val="FFC0CB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length4age!$B$245:$B$487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length4age!$I$245:$I$487</c:f>
              <c:numCache>
                <c:formatCode>General</c:formatCode>
                <c:ptCount val="243"/>
                <c:pt idx="0">
                  <c:v>47.683454689735115</c:v>
                </c:pt>
                <c:pt idx="1">
                  <c:v>50.096855134933449</c:v>
                </c:pt>
                <c:pt idx="2">
                  <c:v>53.690781379835585</c:v>
                </c:pt>
                <c:pt idx="3">
                  <c:v>56.471252168873022</c:v>
                </c:pt>
                <c:pt idx="4">
                  <c:v>58.803462078232961</c:v>
                </c:pt>
                <c:pt idx="5">
                  <c:v>60.843862287441013</c:v>
                </c:pt>
                <c:pt idx="6">
                  <c:v>62.675897094914937</c:v>
                </c:pt>
                <c:pt idx="7">
                  <c:v>64.350053441494182</c:v>
                </c:pt>
                <c:pt idx="8">
                  <c:v>65.899520958722746</c:v>
                </c:pt>
                <c:pt idx="9">
                  <c:v>67.347445929324536</c:v>
                </c:pt>
                <c:pt idx="10">
                  <c:v>68.710701883647985</c:v>
                </c:pt>
                <c:pt idx="11">
                  <c:v>70.002021692878529</c:v>
                </c:pt>
                <c:pt idx="12">
                  <c:v>71.23128341647255</c:v>
                </c:pt>
                <c:pt idx="13">
                  <c:v>72.406326393337736</c:v>
                </c:pt>
                <c:pt idx="14">
                  <c:v>73.533491196879822</c:v>
                </c:pt>
                <c:pt idx="15">
                  <c:v>74.61798935156294</c:v>
                </c:pt>
                <c:pt idx="16">
                  <c:v>75.664164029446539</c:v>
                </c:pt>
                <c:pt idx="17">
                  <c:v>76.675678441759487</c:v>
                </c:pt>
                <c:pt idx="18">
                  <c:v>77.655654994920198</c:v>
                </c:pt>
                <c:pt idx="19">
                  <c:v>78.606779994758725</c:v>
                </c:pt>
                <c:pt idx="20">
                  <c:v>79.531383793721574</c:v>
                </c:pt>
                <c:pt idx="21">
                  <c:v>80.43150301025635</c:v>
                </c:pt>
                <c:pt idx="22">
                  <c:v>81.308929505943297</c:v>
                </c:pt>
                <c:pt idx="23">
                  <c:v>82.165249371363132</c:v>
                </c:pt>
                <c:pt idx="24">
                  <c:v>83.001873615073819</c:v>
                </c:pt>
                <c:pt idx="25">
                  <c:v>82.635235629999997</c:v>
                </c:pt>
                <c:pt idx="26">
                  <c:v>83.042132460000005</c:v>
                </c:pt>
                <c:pt idx="27">
                  <c:v>83.894303359999995</c:v>
                </c:pt>
                <c:pt idx="28">
                  <c:v>84.725920340000002</c:v>
                </c:pt>
                <c:pt idx="29">
                  <c:v>85.533892449999996</c:v>
                </c:pt>
                <c:pt idx="30">
                  <c:v>86.315888880000003</c:v>
                </c:pt>
                <c:pt idx="31">
                  <c:v>87.070283869999997</c:v>
                </c:pt>
                <c:pt idx="32">
                  <c:v>87.796091899999993</c:v>
                </c:pt>
                <c:pt idx="33">
                  <c:v>88.49290603</c:v>
                </c:pt>
                <c:pt idx="34">
                  <c:v>89.160836239999995</c:v>
                </c:pt>
                <c:pt idx="35">
                  <c:v>89.800446440000002</c:v>
                </c:pt>
                <c:pt idx="36">
                  <c:v>90.412702969999998</c:v>
                </c:pt>
                <c:pt idx="37">
                  <c:v>90.998908389999997</c:v>
                </c:pt>
                <c:pt idx="38">
                  <c:v>91.560657809999995</c:v>
                </c:pt>
                <c:pt idx="39">
                  <c:v>92.122982629999996</c:v>
                </c:pt>
                <c:pt idx="40">
                  <c:v>92.679253220000007</c:v>
                </c:pt>
                <c:pt idx="41">
                  <c:v>93.230696219999999</c:v>
                </c:pt>
                <c:pt idx="42">
                  <c:v>93.778402110000002</c:v>
                </c:pt>
                <c:pt idx="43">
                  <c:v>94.323335499999999</c:v>
                </c:pt>
                <c:pt idx="44">
                  <c:v>94.866344769999998</c:v>
                </c:pt>
                <c:pt idx="45">
                  <c:v>95.408171289999999</c:v>
                </c:pt>
                <c:pt idx="46">
                  <c:v>95.949457929999994</c:v>
                </c:pt>
                <c:pt idx="47">
                  <c:v>96.490757040000005</c:v>
                </c:pt>
                <c:pt idx="48">
                  <c:v>97.032537880000007</c:v>
                </c:pt>
                <c:pt idx="49">
                  <c:v>97.575193409999997</c:v>
                </c:pt>
                <c:pt idx="50">
                  <c:v>98.119046620000006</c:v>
                </c:pt>
                <c:pt idx="51">
                  <c:v>98.664356369999993</c:v>
                </c:pt>
                <c:pt idx="52">
                  <c:v>99.211322699999997</c:v>
                </c:pt>
                <c:pt idx="53">
                  <c:v>99.760091849999995</c:v>
                </c:pt>
                <c:pt idx="54">
                  <c:v>100.3107608</c:v>
                </c:pt>
                <c:pt idx="55">
                  <c:v>100.8633813</c:v>
                </c:pt>
                <c:pt idx="56">
                  <c:v>101.41796410000001</c:v>
                </c:pt>
                <c:pt idx="57">
                  <c:v>101.9744822</c:v>
                </c:pt>
                <c:pt idx="58">
                  <c:v>102.53287469999999</c:v>
                </c:pt>
                <c:pt idx="59">
                  <c:v>103.0930492</c:v>
                </c:pt>
                <c:pt idx="60">
                  <c:v>103.6548853</c:v>
                </c:pt>
                <c:pt idx="61">
                  <c:v>104.2182371</c:v>
                </c:pt>
                <c:pt idx="62">
                  <c:v>104.7829358</c:v>
                </c:pt>
                <c:pt idx="63">
                  <c:v>105.348792</c:v>
                </c:pt>
                <c:pt idx="64">
                  <c:v>105.91559820000001</c:v>
                </c:pt>
                <c:pt idx="65">
                  <c:v>106.4831306</c:v>
                </c:pt>
                <c:pt idx="66">
                  <c:v>107.05115170000001</c:v>
                </c:pt>
                <c:pt idx="67">
                  <c:v>107.61941160000001</c:v>
                </c:pt>
                <c:pt idx="68">
                  <c:v>108.18765019999999</c:v>
                </c:pt>
                <c:pt idx="69">
                  <c:v>108.7555991</c:v>
                </c:pt>
                <c:pt idx="70">
                  <c:v>109.3229831</c:v>
                </c:pt>
                <c:pt idx="71">
                  <c:v>109.8895213</c:v>
                </c:pt>
                <c:pt idx="72">
                  <c:v>110.4549317</c:v>
                </c:pt>
                <c:pt idx="73">
                  <c:v>111.0189247</c:v>
                </c:pt>
                <c:pt idx="74">
                  <c:v>111.5812164</c:v>
                </c:pt>
                <c:pt idx="75">
                  <c:v>112.1415202</c:v>
                </c:pt>
                <c:pt idx="76">
                  <c:v>112.6995522</c:v>
                </c:pt>
                <c:pt idx="77">
                  <c:v>113.25503190000001</c:v>
                </c:pt>
                <c:pt idx="78">
                  <c:v>113.8076835</c:v>
                </c:pt>
                <c:pt idx="79">
                  <c:v>114.35723710000001</c:v>
                </c:pt>
                <c:pt idx="80">
                  <c:v>114.90342939999999</c:v>
                </c:pt>
                <c:pt idx="81">
                  <c:v>115.44600560000001</c:v>
                </c:pt>
                <c:pt idx="82">
                  <c:v>115.98471960000001</c:v>
                </c:pt>
                <c:pt idx="83">
                  <c:v>116.51933579999999</c:v>
                </c:pt>
                <c:pt idx="84">
                  <c:v>117.0496296</c:v>
                </c:pt>
                <c:pt idx="85">
                  <c:v>117.57538839999999</c:v>
                </c:pt>
                <c:pt idx="86">
                  <c:v>118.0964128</c:v>
                </c:pt>
                <c:pt idx="87">
                  <c:v>118.61251729999999</c:v>
                </c:pt>
                <c:pt idx="88">
                  <c:v>119.1235313</c:v>
                </c:pt>
                <c:pt idx="89">
                  <c:v>119.6293</c:v>
                </c:pt>
                <c:pt idx="90">
                  <c:v>120.1296849</c:v>
                </c:pt>
                <c:pt idx="91">
                  <c:v>120.62456539999999</c:v>
                </c:pt>
                <c:pt idx="92">
                  <c:v>121.113839</c:v>
                </c:pt>
                <c:pt idx="93">
                  <c:v>121.5974226</c:v>
                </c:pt>
                <c:pt idx="94">
                  <c:v>122.0752529</c:v>
                </c:pt>
                <c:pt idx="95">
                  <c:v>122.5472882</c:v>
                </c:pt>
                <c:pt idx="96">
                  <c:v>123.01350840000001</c:v>
                </c:pt>
                <c:pt idx="97">
                  <c:v>123.4739166</c:v>
                </c:pt>
                <c:pt idx="98">
                  <c:v>123.92854</c:v>
                </c:pt>
                <c:pt idx="99">
                  <c:v>124.37743089999999</c:v>
                </c:pt>
                <c:pt idx="100">
                  <c:v>124.8206679</c:v>
                </c:pt>
                <c:pt idx="101">
                  <c:v>125.25835720000001</c:v>
                </c:pt>
                <c:pt idx="102">
                  <c:v>125.6906338</c:v>
                </c:pt>
                <c:pt idx="103">
                  <c:v>126.11766280000001</c:v>
                </c:pt>
                <c:pt idx="104">
                  <c:v>126.5396411</c:v>
                </c:pt>
                <c:pt idx="105">
                  <c:v>126.9567984</c:v>
                </c:pt>
                <c:pt idx="106">
                  <c:v>127.36939940000001</c:v>
                </c:pt>
                <c:pt idx="107">
                  <c:v>127.77774479999999</c:v>
                </c:pt>
                <c:pt idx="108">
                  <c:v>128.18217329999999</c:v>
                </c:pt>
                <c:pt idx="109">
                  <c:v>128.58306289999999</c:v>
                </c:pt>
                <c:pt idx="110">
                  <c:v>128.9808329</c:v>
                </c:pt>
                <c:pt idx="111">
                  <c:v>129.3759451</c:v>
                </c:pt>
                <c:pt idx="112">
                  <c:v>129.7689053</c:v>
                </c:pt>
                <c:pt idx="113">
                  <c:v>130.16026429999999</c:v>
                </c:pt>
                <c:pt idx="114">
                  <c:v>130.55061929999999</c:v>
                </c:pt>
                <c:pt idx="115">
                  <c:v>130.94061350000001</c:v>
                </c:pt>
                <c:pt idx="116">
                  <c:v>131.33093700000001</c:v>
                </c:pt>
                <c:pt idx="117">
                  <c:v>131.72232539999999</c:v>
                </c:pt>
                <c:pt idx="118">
                  <c:v>132.11555870000001</c:v>
                </c:pt>
                <c:pt idx="119">
                  <c:v>132.5114586</c:v>
                </c:pt>
                <c:pt idx="120">
                  <c:v>132.91088490000001</c:v>
                </c:pt>
                <c:pt idx="121">
                  <c:v>133.31473020000001</c:v>
                </c:pt>
                <c:pt idx="122">
                  <c:v>133.72391350000001</c:v>
                </c:pt>
                <c:pt idx="123">
                  <c:v>134.13937139999999</c:v>
                </c:pt>
                <c:pt idx="124">
                  <c:v>134.5620476</c:v>
                </c:pt>
                <c:pt idx="125">
                  <c:v>134.99288039999999</c:v>
                </c:pt>
                <c:pt idx="126">
                  <c:v>135.4327874</c:v>
                </c:pt>
                <c:pt idx="127">
                  <c:v>135.8826474</c:v>
                </c:pt>
                <c:pt idx="128">
                  <c:v>136.3432832</c:v>
                </c:pt>
                <c:pt idx="129">
                  <c:v>136.81543690000001</c:v>
                </c:pt>
                <c:pt idx="130">
                  <c:v>137.29974799999999</c:v>
                </c:pt>
                <c:pt idx="131">
                  <c:v>137.79672840000001</c:v>
                </c:pt>
                <c:pt idx="132">
                  <c:v>138.3067365</c:v>
                </c:pt>
                <c:pt idx="133">
                  <c:v>138.8299523</c:v>
                </c:pt>
                <c:pt idx="134">
                  <c:v>139.3663536</c:v>
                </c:pt>
                <c:pt idx="135">
                  <c:v>139.91569380000001</c:v>
                </c:pt>
                <c:pt idx="136">
                  <c:v>140.47748480000001</c:v>
                </c:pt>
                <c:pt idx="137">
                  <c:v>141.0509836</c:v>
                </c:pt>
                <c:pt idx="138">
                  <c:v>141.63518629999999</c:v>
                </c:pt>
                <c:pt idx="139">
                  <c:v>142.22882899999999</c:v>
                </c:pt>
                <c:pt idx="140">
                  <c:v>142.83039429999999</c:v>
                </c:pt>
                <c:pt idx="141">
                  <c:v>143.43813420000001</c:v>
                </c:pt>
                <c:pt idx="142">
                  <c:v>144.05009089999999</c:v>
                </c:pt>
                <c:pt idx="143">
                  <c:v>144.66413449999999</c:v>
                </c:pt>
                <c:pt idx="144">
                  <c:v>145.27799859999999</c:v>
                </c:pt>
                <c:pt idx="145">
                  <c:v>145.88933750000001</c:v>
                </c:pt>
                <c:pt idx="146">
                  <c:v>146.49576619999999</c:v>
                </c:pt>
                <c:pt idx="147">
                  <c:v>147.09491689999999</c:v>
                </c:pt>
                <c:pt idx="148">
                  <c:v>147.6844892</c:v>
                </c:pt>
                <c:pt idx="149">
                  <c:v>148.26229789999999</c:v>
                </c:pt>
                <c:pt idx="150">
                  <c:v>148.8263158</c:v>
                </c:pt>
                <c:pt idx="151">
                  <c:v>149.3747099</c:v>
                </c:pt>
                <c:pt idx="152">
                  <c:v>149.9058698</c:v>
                </c:pt>
                <c:pt idx="153">
                  <c:v>150.4184277</c:v>
                </c:pt>
                <c:pt idx="154">
                  <c:v>150.91127030000001</c:v>
                </c:pt>
                <c:pt idx="155">
                  <c:v>151.38354129999999</c:v>
                </c:pt>
                <c:pt idx="156">
                  <c:v>151.83463810000001</c:v>
                </c:pt>
                <c:pt idx="157">
                  <c:v>152.2642007</c:v>
                </c:pt>
                <c:pt idx="158">
                  <c:v>152.67209560000001</c:v>
                </c:pt>
                <c:pt idx="159">
                  <c:v>153.05839660000001</c:v>
                </c:pt>
                <c:pt idx="160">
                  <c:v>153.42336109999999</c:v>
                </c:pt>
                <c:pt idx="161">
                  <c:v>153.76740659999999</c:v>
                </c:pt>
                <c:pt idx="162">
                  <c:v>154.09108560000001</c:v>
                </c:pt>
                <c:pt idx="163">
                  <c:v>154.39506080000001</c:v>
                </c:pt>
                <c:pt idx="164">
                  <c:v>154.6800825</c:v>
                </c:pt>
                <c:pt idx="165">
                  <c:v>154.94696590000001</c:v>
                </c:pt>
                <c:pt idx="166">
                  <c:v>155.19657179999999</c:v>
                </c:pt>
                <c:pt idx="167">
                  <c:v>155.42978880000001</c:v>
                </c:pt>
                <c:pt idx="168">
                  <c:v>155.6475179</c:v>
                </c:pt>
                <c:pt idx="169">
                  <c:v>155.85065979999999</c:v>
                </c:pt>
                <c:pt idx="170">
                  <c:v>156.04010239999999</c:v>
                </c:pt>
                <c:pt idx="171">
                  <c:v>156.21671749999999</c:v>
                </c:pt>
                <c:pt idx="172">
                  <c:v>156.3813442</c:v>
                </c:pt>
                <c:pt idx="173">
                  <c:v>156.53479139999999</c:v>
                </c:pt>
                <c:pt idx="174">
                  <c:v>156.67783209999999</c:v>
                </c:pt>
                <c:pt idx="175">
                  <c:v>156.8112003</c:v>
                </c:pt>
                <c:pt idx="176">
                  <c:v>156.93558959999999</c:v>
                </c:pt>
                <c:pt idx="177">
                  <c:v>157.05165289999999</c:v>
                </c:pt>
                <c:pt idx="178">
                  <c:v>157.1600033</c:v>
                </c:pt>
                <c:pt idx="179">
                  <c:v>157.2612106</c:v>
                </c:pt>
                <c:pt idx="180">
                  <c:v>157.35580809999999</c:v>
                </c:pt>
                <c:pt idx="181">
                  <c:v>157.4442908</c:v>
                </c:pt>
                <c:pt idx="182">
                  <c:v>157.52711780000001</c:v>
                </c:pt>
                <c:pt idx="183">
                  <c:v>157.60471390000001</c:v>
                </c:pt>
                <c:pt idx="184">
                  <c:v>157.6774719</c:v>
                </c:pt>
                <c:pt idx="185">
                  <c:v>157.74575390000001</c:v>
                </c:pt>
                <c:pt idx="186">
                  <c:v>157.80989400000001</c:v>
                </c:pt>
                <c:pt idx="187">
                  <c:v>157.87019979999999</c:v>
                </c:pt>
                <c:pt idx="188">
                  <c:v>157.92695420000001</c:v>
                </c:pt>
                <c:pt idx="189">
                  <c:v>157.98041760000001</c:v>
                </c:pt>
                <c:pt idx="190">
                  <c:v>158.0308292</c:v>
                </c:pt>
                <c:pt idx="191">
                  <c:v>158.07840880000001</c:v>
                </c:pt>
                <c:pt idx="192">
                  <c:v>158.12335830000001</c:v>
                </c:pt>
                <c:pt idx="193">
                  <c:v>158.16586330000001</c:v>
                </c:pt>
                <c:pt idx="194">
                  <c:v>158.2060942</c:v>
                </c:pt>
                <c:pt idx="195">
                  <c:v>158.24420760000001</c:v>
                </c:pt>
                <c:pt idx="196">
                  <c:v>158.28034740000001</c:v>
                </c:pt>
                <c:pt idx="197">
                  <c:v>158.31464589999999</c:v>
                </c:pt>
                <c:pt idx="198">
                  <c:v>158.34722489999999</c:v>
                </c:pt>
                <c:pt idx="199">
                  <c:v>158.37819619999999</c:v>
                </c:pt>
                <c:pt idx="200">
                  <c:v>158.40766300000001</c:v>
                </c:pt>
                <c:pt idx="201">
                  <c:v>158.43572019999999</c:v>
                </c:pt>
                <c:pt idx="202">
                  <c:v>158.46245540000001</c:v>
                </c:pt>
                <c:pt idx="203">
                  <c:v>158.4879492</c:v>
                </c:pt>
                <c:pt idx="204">
                  <c:v>158.5122763</c:v>
                </c:pt>
                <c:pt idx="205">
                  <c:v>158.53550559999999</c:v>
                </c:pt>
                <c:pt idx="206">
                  <c:v>158.55770079999999</c:v>
                </c:pt>
                <c:pt idx="207">
                  <c:v>158.57892100000001</c:v>
                </c:pt>
                <c:pt idx="208">
                  <c:v>158.59922069999999</c:v>
                </c:pt>
                <c:pt idx="209">
                  <c:v>158.61865069999999</c:v>
                </c:pt>
                <c:pt idx="210">
                  <c:v>158.63725819999999</c:v>
                </c:pt>
                <c:pt idx="211">
                  <c:v>158.65508689999999</c:v>
                </c:pt>
                <c:pt idx="212">
                  <c:v>158.6721776</c:v>
                </c:pt>
                <c:pt idx="213">
                  <c:v>158.68856819999999</c:v>
                </c:pt>
                <c:pt idx="214">
                  <c:v>158.70429419999999</c:v>
                </c:pt>
                <c:pt idx="215">
                  <c:v>158.7193886</c:v>
                </c:pt>
                <c:pt idx="216">
                  <c:v>158.7338824</c:v>
                </c:pt>
                <c:pt idx="217">
                  <c:v>158.7478045</c:v>
                </c:pt>
                <c:pt idx="218">
                  <c:v>158.76118210000001</c:v>
                </c:pt>
                <c:pt idx="219">
                  <c:v>158.77404039999999</c:v>
                </c:pt>
                <c:pt idx="220">
                  <c:v>158.7864036</c:v>
                </c:pt>
                <c:pt idx="221">
                  <c:v>158.798294</c:v>
                </c:pt>
                <c:pt idx="222">
                  <c:v>158.80973280000001</c:v>
                </c:pt>
                <c:pt idx="223">
                  <c:v>158.82073990000001</c:v>
                </c:pt>
                <c:pt idx="224">
                  <c:v>158.83133409999999</c:v>
                </c:pt>
                <c:pt idx="225">
                  <c:v>158.84153319999999</c:v>
                </c:pt>
                <c:pt idx="226">
                  <c:v>158.85135399999999</c:v>
                </c:pt>
                <c:pt idx="227">
                  <c:v>158.86081239999999</c:v>
                </c:pt>
                <c:pt idx="228">
                  <c:v>158.8699234</c:v>
                </c:pt>
                <c:pt idx="229">
                  <c:v>158.87870119999999</c:v>
                </c:pt>
                <c:pt idx="230">
                  <c:v>158.8871595</c:v>
                </c:pt>
                <c:pt idx="231">
                  <c:v>158.89531109999999</c:v>
                </c:pt>
                <c:pt idx="232">
                  <c:v>158.90316820000001</c:v>
                </c:pt>
                <c:pt idx="233">
                  <c:v>158.9107425</c:v>
                </c:pt>
                <c:pt idx="234">
                  <c:v>158.91804500000001</c:v>
                </c:pt>
                <c:pt idx="235">
                  <c:v>158.9250863</c:v>
                </c:pt>
                <c:pt idx="236">
                  <c:v>158.93187649999999</c:v>
                </c:pt>
                <c:pt idx="237">
                  <c:v>158.93842520000001</c:v>
                </c:pt>
                <c:pt idx="238">
                  <c:v>158.94474159999999</c:v>
                </c:pt>
                <c:pt idx="239">
                  <c:v>158.95083450000001</c:v>
                </c:pt>
                <c:pt idx="240">
                  <c:v>158.9567122</c:v>
                </c:pt>
                <c:pt idx="241">
                  <c:v>158.96238289999999</c:v>
                </c:pt>
                <c:pt idx="242">
                  <c:v>158.96514289999999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23-4CC2-A3A5-10F176397FD4}"/>
            </c:ext>
          </c:extLst>
        </c:ser>
        <c:ser>
          <c:idx val="15"/>
          <c:order val="15"/>
          <c:tx>
            <c:v>P50 girls</c:v>
          </c:tx>
          <c:spPr>
            <a:ln w="6350" cap="rnd">
              <a:solidFill>
                <a:srgbClr val="FFC0CB"/>
              </a:solidFill>
              <a:round/>
            </a:ln>
            <a:effectLst/>
          </c:spPr>
          <c:marker>
            <c:symbol val="none"/>
          </c:marker>
          <c:xVal>
            <c:numRef>
              <c:f>length4age!$B$245:$B$487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length4age!$J$245:$J$487</c:f>
              <c:numCache>
                <c:formatCode>General</c:formatCode>
                <c:ptCount val="243"/>
                <c:pt idx="0">
                  <c:v>49.286396117999999</c:v>
                </c:pt>
                <c:pt idx="1">
                  <c:v>51.683580573</c:v>
                </c:pt>
                <c:pt idx="2">
                  <c:v>55.286128126000001</c:v>
                </c:pt>
                <c:pt idx="3">
                  <c:v>58.093819060999998</c:v>
                </c:pt>
                <c:pt idx="4">
                  <c:v>60.459807634000001</c:v>
                </c:pt>
                <c:pt idx="5">
                  <c:v>62.536696554999999</c:v>
                </c:pt>
                <c:pt idx="6">
                  <c:v>64.406327623999999</c:v>
                </c:pt>
                <c:pt idx="7">
                  <c:v>66.118415533000004</c:v>
                </c:pt>
                <c:pt idx="8">
                  <c:v>67.705744191999997</c:v>
                </c:pt>
                <c:pt idx="9">
                  <c:v>69.191236137999994</c:v>
                </c:pt>
                <c:pt idx="10">
                  <c:v>70.591639236999995</c:v>
                </c:pt>
                <c:pt idx="11">
                  <c:v>71.919616727000005</c:v>
                </c:pt>
                <c:pt idx="12">
                  <c:v>73.185010399000006</c:v>
                </c:pt>
                <c:pt idx="13">
                  <c:v>74.395643785999994</c:v>
                </c:pt>
                <c:pt idx="14">
                  <c:v>75.557854397</c:v>
                </c:pt>
                <c:pt idx="15">
                  <c:v>76.676858713000001</c:v>
                </c:pt>
                <c:pt idx="16">
                  <c:v>77.757009855999996</c:v>
                </c:pt>
                <c:pt idx="17">
                  <c:v>78.801984055999995</c:v>
                </c:pt>
                <c:pt idx="18">
                  <c:v>79.814918523000003</c:v>
                </c:pt>
                <c:pt idx="19">
                  <c:v>80.798515316000007</c:v>
                </c:pt>
                <c:pt idx="20">
                  <c:v>81.755120921</c:v>
                </c:pt>
                <c:pt idx="21">
                  <c:v>82.686788097999994</c:v>
                </c:pt>
                <c:pt idx="22">
                  <c:v>83.595324610000006</c:v>
                </c:pt>
                <c:pt idx="23">
                  <c:v>84.482332060000005</c:v>
                </c:pt>
                <c:pt idx="24">
                  <c:v>85.349236238000003</c:v>
                </c:pt>
                <c:pt idx="25">
                  <c:v>84.975555119999996</c:v>
                </c:pt>
                <c:pt idx="26">
                  <c:v>85.397316900000007</c:v>
                </c:pt>
                <c:pt idx="27">
                  <c:v>86.290263179999997</c:v>
                </c:pt>
                <c:pt idx="28">
                  <c:v>87.157141820000007</c:v>
                </c:pt>
                <c:pt idx="29">
                  <c:v>87.996018399999997</c:v>
                </c:pt>
                <c:pt idx="30">
                  <c:v>88.805511499999994</c:v>
                </c:pt>
                <c:pt idx="31">
                  <c:v>89.584766889999997</c:v>
                </c:pt>
                <c:pt idx="32">
                  <c:v>90.333417220000001</c:v>
                </c:pt>
                <c:pt idx="33">
                  <c:v>91.051543600000002</c:v>
                </c:pt>
                <c:pt idx="34">
                  <c:v>91.739635199999995</c:v>
                </c:pt>
                <c:pt idx="35">
                  <c:v>92.398544290000004</c:v>
                </c:pt>
                <c:pt idx="36">
                  <c:v>93.029453919999995</c:v>
                </c:pt>
                <c:pt idx="37">
                  <c:v>93.633822780000003</c:v>
                </c:pt>
                <c:pt idx="38">
                  <c:v>94.213357090000002</c:v>
                </c:pt>
                <c:pt idx="39">
                  <c:v>94.796432390000007</c:v>
                </c:pt>
                <c:pt idx="40">
                  <c:v>95.373919180000001</c:v>
                </c:pt>
                <c:pt idx="41">
                  <c:v>95.946926770000005</c:v>
                </c:pt>
                <c:pt idx="42">
                  <c:v>96.516449120000004</c:v>
                </c:pt>
                <c:pt idx="43">
                  <c:v>97.083372109999999</c:v>
                </c:pt>
                <c:pt idx="44">
                  <c:v>97.648480699999993</c:v>
                </c:pt>
                <c:pt idx="45">
                  <c:v>98.212465789999996</c:v>
                </c:pt>
                <c:pt idx="46">
                  <c:v>98.775930689999996</c:v>
                </c:pt>
                <c:pt idx="47">
                  <c:v>99.339397349999999</c:v>
                </c:pt>
                <c:pt idx="48">
                  <c:v>99.903312200000002</c:v>
                </c:pt>
                <c:pt idx="49">
                  <c:v>100.4680516</c:v>
                </c:pt>
                <c:pt idx="50">
                  <c:v>101.03392700000001</c:v>
                </c:pt>
                <c:pt idx="51">
                  <c:v>101.6011898</c:v>
                </c:pt>
                <c:pt idx="52">
                  <c:v>102.17003579999999</c:v>
                </c:pt>
                <c:pt idx="53">
                  <c:v>102.7406094</c:v>
                </c:pt>
                <c:pt idx="54">
                  <c:v>103.3130077</c:v>
                </c:pt>
                <c:pt idx="55">
                  <c:v>103.8872839</c:v>
                </c:pt>
                <c:pt idx="56">
                  <c:v>104.4634511</c:v>
                </c:pt>
                <c:pt idx="57">
                  <c:v>105.04148530000001</c:v>
                </c:pt>
                <c:pt idx="58">
                  <c:v>105.62132870000001</c:v>
                </c:pt>
                <c:pt idx="59">
                  <c:v>106.2028921</c:v>
                </c:pt>
                <c:pt idx="60">
                  <c:v>106.78605829999999</c:v>
                </c:pt>
                <c:pt idx="61">
                  <c:v>107.37068410000001</c:v>
                </c:pt>
                <c:pt idx="62">
                  <c:v>107.9566031</c:v>
                </c:pt>
                <c:pt idx="63">
                  <c:v>108.5436278</c:v>
                </c:pt>
                <c:pt idx="64">
                  <c:v>109.13155209999999</c:v>
                </c:pt>
                <c:pt idx="65">
                  <c:v>109.7201531</c:v>
                </c:pt>
                <c:pt idx="66">
                  <c:v>110.3091934</c:v>
                </c:pt>
                <c:pt idx="67">
                  <c:v>110.89842280000001</c:v>
                </c:pt>
                <c:pt idx="68">
                  <c:v>111.4875806</c:v>
                </c:pt>
                <c:pt idx="69">
                  <c:v>112.0763967</c:v>
                </c:pt>
                <c:pt idx="70">
                  <c:v>112.6645943</c:v>
                </c:pt>
                <c:pt idx="71">
                  <c:v>113.25189020000001</c:v>
                </c:pt>
                <c:pt idx="72">
                  <c:v>113.8380006</c:v>
                </c:pt>
                <c:pt idx="73">
                  <c:v>114.4226317</c:v>
                </c:pt>
                <c:pt idx="74">
                  <c:v>115.0054978</c:v>
                </c:pt>
                <c:pt idx="75">
                  <c:v>115.58630890000001</c:v>
                </c:pt>
                <c:pt idx="76">
                  <c:v>116.1647782</c:v>
                </c:pt>
                <c:pt idx="77">
                  <c:v>116.7406221</c:v>
                </c:pt>
                <c:pt idx="78">
                  <c:v>117.31356220000001</c:v>
                </c:pt>
                <c:pt idx="79">
                  <c:v>117.8833259</c:v>
                </c:pt>
                <c:pt idx="80">
                  <c:v>118.4496481</c:v>
                </c:pt>
                <c:pt idx="81">
                  <c:v>119.0122722</c:v>
                </c:pt>
                <c:pt idx="82">
                  <c:v>119.5709513</c:v>
                </c:pt>
                <c:pt idx="83">
                  <c:v>120.1254495</c:v>
                </c:pt>
                <c:pt idx="84">
                  <c:v>120.67554269999999</c:v>
                </c:pt>
                <c:pt idx="85">
                  <c:v>121.22102</c:v>
                </c:pt>
                <c:pt idx="86">
                  <c:v>121.76168439999999</c:v>
                </c:pt>
                <c:pt idx="87">
                  <c:v>122.2973542</c:v>
                </c:pt>
                <c:pt idx="88">
                  <c:v>122.82786400000001</c:v>
                </c:pt>
                <c:pt idx="89">
                  <c:v>123.3530652</c:v>
                </c:pt>
                <c:pt idx="90">
                  <c:v>123.87282759999999</c:v>
                </c:pt>
                <c:pt idx="91">
                  <c:v>124.38704</c:v>
                </c:pt>
                <c:pt idx="92">
                  <c:v>124.89561140000001</c:v>
                </c:pt>
                <c:pt idx="93">
                  <c:v>125.398472</c:v>
                </c:pt>
                <c:pt idx="94">
                  <c:v>125.895574</c:v>
                </c:pt>
                <c:pt idx="95">
                  <c:v>126.38689290000001</c:v>
                </c:pt>
                <c:pt idx="96">
                  <c:v>126.8724284</c:v>
                </c:pt>
                <c:pt idx="97">
                  <c:v>127.3522056</c:v>
                </c:pt>
                <c:pt idx="98">
                  <c:v>127.8262759</c:v>
                </c:pt>
                <c:pt idx="99">
                  <c:v>128.2947187</c:v>
                </c:pt>
                <c:pt idx="100">
                  <c:v>128.757642</c:v>
                </c:pt>
                <c:pt idx="101">
                  <c:v>129.2151839</c:v>
                </c:pt>
                <c:pt idx="102">
                  <c:v>129.66751429999999</c:v>
                </c:pt>
                <c:pt idx="103">
                  <c:v>130.1148354</c:v>
                </c:pt>
                <c:pt idx="104">
                  <c:v>130.55738389999999</c:v>
                </c:pt>
                <c:pt idx="105">
                  <c:v>130.99543199999999</c:v>
                </c:pt>
                <c:pt idx="106">
                  <c:v>131.4292887</c:v>
                </c:pt>
                <c:pt idx="107">
                  <c:v>131.85930149999999</c:v>
                </c:pt>
                <c:pt idx="108">
                  <c:v>132.2858574</c:v>
                </c:pt>
                <c:pt idx="109">
                  <c:v>132.7093845</c:v>
                </c:pt>
                <c:pt idx="110">
                  <c:v>133.1303527</c:v>
                </c:pt>
                <c:pt idx="111">
                  <c:v>133.5492749</c:v>
                </c:pt>
                <c:pt idx="112">
                  <c:v>133.9667073</c:v>
                </c:pt>
                <c:pt idx="113">
                  <c:v>134.38324990000001</c:v>
                </c:pt>
                <c:pt idx="114">
                  <c:v>134.7995463</c:v>
                </c:pt>
                <c:pt idx="115">
                  <c:v>135.2162826</c:v>
                </c:pt>
                <c:pt idx="116">
                  <c:v>135.634186</c:v>
                </c:pt>
                <c:pt idx="117">
                  <c:v>136.05402230000001</c:v>
                </c:pt>
                <c:pt idx="118">
                  <c:v>136.47659250000001</c:v>
                </c:pt>
                <c:pt idx="119">
                  <c:v>136.90272809999999</c:v>
                </c:pt>
                <c:pt idx="120">
                  <c:v>137.33328460000001</c:v>
                </c:pt>
                <c:pt idx="121">
                  <c:v>137.76913390000001</c:v>
                </c:pt>
                <c:pt idx="122">
                  <c:v>138.21115520000001</c:v>
                </c:pt>
                <c:pt idx="123">
                  <c:v>138.66022280000001</c:v>
                </c:pt>
                <c:pt idx="124">
                  <c:v>139.1171933</c:v>
                </c:pt>
                <c:pt idx="125">
                  <c:v>139.5828898</c:v>
                </c:pt>
                <c:pt idx="126">
                  <c:v>140.05808479999999</c:v>
                </c:pt>
                <c:pt idx="127">
                  <c:v>140.54347870000001</c:v>
                </c:pt>
                <c:pt idx="128">
                  <c:v>141.03968320000001</c:v>
                </c:pt>
                <c:pt idx="129">
                  <c:v>141.54719449999999</c:v>
                </c:pt>
                <c:pt idx="130">
                  <c:v>142.06637309999999</c:v>
                </c:pt>
                <c:pt idx="131">
                  <c:v>142.59742</c:v>
                </c:pt>
                <c:pt idx="132">
                  <c:v>143.14035530000001</c:v>
                </c:pt>
                <c:pt idx="133">
                  <c:v>143.69499809999999</c:v>
                </c:pt>
                <c:pt idx="134">
                  <c:v>144.2609497</c:v>
                </c:pt>
                <c:pt idx="135">
                  <c:v>144.83758090000001</c:v>
                </c:pt>
                <c:pt idx="136">
                  <c:v>145.4240246</c:v>
                </c:pt>
                <c:pt idx="137">
                  <c:v>146.0191748</c:v>
                </c:pt>
                <c:pt idx="138">
                  <c:v>146.621692</c:v>
                </c:pt>
                <c:pt idx="139">
                  <c:v>147.23001769999999</c:v>
                </c:pt>
                <c:pt idx="140">
                  <c:v>147.8423918</c:v>
                </c:pt>
                <c:pt idx="141">
                  <c:v>148.4568879</c:v>
                </c:pt>
                <c:pt idx="142">
                  <c:v>149.0714413</c:v>
                </c:pt>
                <c:pt idx="143">
                  <c:v>149.68389429999999</c:v>
                </c:pt>
                <c:pt idx="144">
                  <c:v>150.29203279999999</c:v>
                </c:pt>
                <c:pt idx="145">
                  <c:v>150.89364689999999</c:v>
                </c:pt>
                <c:pt idx="146">
                  <c:v>151.48656360000001</c:v>
                </c:pt>
                <c:pt idx="147">
                  <c:v>152.06869850000001</c:v>
                </c:pt>
                <c:pt idx="148">
                  <c:v>152.63809549999999</c:v>
                </c:pt>
                <c:pt idx="149">
                  <c:v>153.19296309999999</c:v>
                </c:pt>
                <c:pt idx="150">
                  <c:v>153.7317031</c:v>
                </c:pt>
                <c:pt idx="151">
                  <c:v>154.2529332</c:v>
                </c:pt>
                <c:pt idx="152">
                  <c:v>154.75550100000001</c:v>
                </c:pt>
                <c:pt idx="153">
                  <c:v>155.23849039999999</c:v>
                </c:pt>
                <c:pt idx="154">
                  <c:v>155.7012216</c:v>
                </c:pt>
                <c:pt idx="155">
                  <c:v>156.14324379999999</c:v>
                </c:pt>
                <c:pt idx="156">
                  <c:v>156.564323</c:v>
                </c:pt>
                <c:pt idx="157">
                  <c:v>156.96442579999999</c:v>
                </c:pt>
                <c:pt idx="158">
                  <c:v>157.34369950000001</c:v>
                </c:pt>
                <c:pt idx="159">
                  <c:v>157.70245070000001</c:v>
                </c:pt>
                <c:pt idx="160">
                  <c:v>158.04112330000001</c:v>
                </c:pt>
                <c:pt idx="161">
                  <c:v>158.36027559999999</c:v>
                </c:pt>
                <c:pt idx="162">
                  <c:v>158.66055879999999</c:v>
                </c:pt>
                <c:pt idx="163">
                  <c:v>158.94269639999999</c:v>
                </c:pt>
                <c:pt idx="164">
                  <c:v>159.20746539999999</c:v>
                </c:pt>
                <c:pt idx="165">
                  <c:v>159.455679</c:v>
                </c:pt>
                <c:pt idx="166">
                  <c:v>159.68817200000001</c:v>
                </c:pt>
                <c:pt idx="167">
                  <c:v>159.9057871</c:v>
                </c:pt>
                <c:pt idx="168">
                  <c:v>160.10936469999999</c:v>
                </c:pt>
                <c:pt idx="169">
                  <c:v>160.299733</c:v>
                </c:pt>
                <c:pt idx="170">
                  <c:v>160.47769959999999</c:v>
                </c:pt>
                <c:pt idx="171">
                  <c:v>160.64405260000001</c:v>
                </c:pt>
                <c:pt idx="172">
                  <c:v>160.79954280000001</c:v>
                </c:pt>
                <c:pt idx="173">
                  <c:v>160.94489160000001</c:v>
                </c:pt>
                <c:pt idx="174">
                  <c:v>161.08078570000001</c:v>
                </c:pt>
                <c:pt idx="175">
                  <c:v>161.2078755</c:v>
                </c:pt>
                <c:pt idx="176">
                  <c:v>161.32677440000001</c:v>
                </c:pt>
                <c:pt idx="177">
                  <c:v>161.43805929999999</c:v>
                </c:pt>
                <c:pt idx="178">
                  <c:v>161.54227259999999</c:v>
                </c:pt>
                <c:pt idx="179">
                  <c:v>161.639917</c:v>
                </c:pt>
                <c:pt idx="180">
                  <c:v>161.73146449999999</c:v>
                </c:pt>
                <c:pt idx="181">
                  <c:v>161.8173534</c:v>
                </c:pt>
                <c:pt idx="182">
                  <c:v>161.8979913</c:v>
                </c:pt>
                <c:pt idx="183">
                  <c:v>161.97375579999999</c:v>
                </c:pt>
                <c:pt idx="184">
                  <c:v>162.0449969</c:v>
                </c:pt>
                <c:pt idx="185">
                  <c:v>162.11203860000001</c:v>
                </c:pt>
                <c:pt idx="186">
                  <c:v>162.17518000000001</c:v>
                </c:pt>
                <c:pt idx="187">
                  <c:v>162.23469789999999</c:v>
                </c:pt>
                <c:pt idx="188">
                  <c:v>162.29084739999999</c:v>
                </c:pt>
                <c:pt idx="189">
                  <c:v>162.343864</c:v>
                </c:pt>
                <c:pt idx="190">
                  <c:v>162.3939652</c:v>
                </c:pt>
                <c:pt idx="191">
                  <c:v>162.44135130000001</c:v>
                </c:pt>
                <c:pt idx="192">
                  <c:v>162.4862071</c:v>
                </c:pt>
                <c:pt idx="193">
                  <c:v>162.52870290000001</c:v>
                </c:pt>
                <c:pt idx="194">
                  <c:v>162.56899580000001</c:v>
                </c:pt>
                <c:pt idx="195">
                  <c:v>162.60723089999999</c:v>
                </c:pt>
                <c:pt idx="196">
                  <c:v>162.64354180000001</c:v>
                </c:pt>
                <c:pt idx="197">
                  <c:v>162.67805190000001</c:v>
                </c:pt>
                <c:pt idx="198">
                  <c:v>162.71087510000001</c:v>
                </c:pt>
                <c:pt idx="199">
                  <c:v>162.74211679999999</c:v>
                </c:pt>
                <c:pt idx="200">
                  <c:v>162.77187409999999</c:v>
                </c:pt>
                <c:pt idx="201">
                  <c:v>162.8002371</c:v>
                </c:pt>
                <c:pt idx="202">
                  <c:v>162.82728890000001</c:v>
                </c:pt>
                <c:pt idx="203">
                  <c:v>162.85310670000001</c:v>
                </c:pt>
                <c:pt idx="204">
                  <c:v>162.8777619</c:v>
                </c:pt>
                <c:pt idx="205">
                  <c:v>162.90132080000001</c:v>
                </c:pt>
                <c:pt idx="206">
                  <c:v>162.92384490000001</c:v>
                </c:pt>
                <c:pt idx="207">
                  <c:v>162.94539119999999</c:v>
                </c:pt>
                <c:pt idx="208">
                  <c:v>162.9660131</c:v>
                </c:pt>
                <c:pt idx="209">
                  <c:v>162.98575990000001</c:v>
                </c:pt>
                <c:pt idx="210">
                  <c:v>163.00467760000001</c:v>
                </c:pt>
                <c:pt idx="211">
                  <c:v>163.0228094</c:v>
                </c:pt>
                <c:pt idx="212">
                  <c:v>163.04019529999999</c:v>
                </c:pt>
                <c:pt idx="213">
                  <c:v>163.05687270000001</c:v>
                </c:pt>
                <c:pt idx="214">
                  <c:v>163.07287679999999</c:v>
                </c:pt>
                <c:pt idx="215">
                  <c:v>163.08824039999999</c:v>
                </c:pt>
                <c:pt idx="216">
                  <c:v>163.10299430000001</c:v>
                </c:pt>
                <c:pt idx="217">
                  <c:v>163.11716730000001</c:v>
                </c:pt>
                <c:pt idx="218">
                  <c:v>163.13078659999999</c:v>
                </c:pt>
                <c:pt idx="219">
                  <c:v>163.1438776</c:v>
                </c:pt>
                <c:pt idx="220">
                  <c:v>163.1564644</c:v>
                </c:pt>
                <c:pt idx="221">
                  <c:v>163.16856970000001</c:v>
                </c:pt>
                <c:pt idx="222">
                  <c:v>163.1802146</c:v>
                </c:pt>
                <c:pt idx="223">
                  <c:v>163.1914194</c:v>
                </c:pt>
                <c:pt idx="224">
                  <c:v>163.202203</c:v>
                </c:pt>
                <c:pt idx="225">
                  <c:v>163.21258349999999</c:v>
                </c:pt>
                <c:pt idx="226">
                  <c:v>163.2225779</c:v>
                </c:pt>
                <c:pt idx="227">
                  <c:v>163.23220240000001</c:v>
                </c:pt>
                <c:pt idx="228">
                  <c:v>163.2414722</c:v>
                </c:pt>
                <c:pt idx="229">
                  <c:v>163.25040190000001</c:v>
                </c:pt>
                <c:pt idx="230">
                  <c:v>163.25900519999999</c:v>
                </c:pt>
                <c:pt idx="231">
                  <c:v>163.26729539999999</c:v>
                </c:pt>
                <c:pt idx="232">
                  <c:v>163.27528480000001</c:v>
                </c:pt>
                <c:pt idx="233">
                  <c:v>163.2829854</c:v>
                </c:pt>
                <c:pt idx="234">
                  <c:v>163.29040860000001</c:v>
                </c:pt>
                <c:pt idx="235">
                  <c:v>163.29756499999999</c:v>
                </c:pt>
                <c:pt idx="236">
                  <c:v>163.30446499999999</c:v>
                </c:pt>
                <c:pt idx="237">
                  <c:v>163.31111849999999</c:v>
                </c:pt>
                <c:pt idx="238">
                  <c:v>163.3175349</c:v>
                </c:pt>
                <c:pt idx="239">
                  <c:v>163.3237231</c:v>
                </c:pt>
                <c:pt idx="240">
                  <c:v>163.32969180000001</c:v>
                </c:pt>
                <c:pt idx="241">
                  <c:v>163.33544910000001</c:v>
                </c:pt>
                <c:pt idx="242">
                  <c:v>163.33825100000001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23-4CC2-A3A5-10F176397FD4}"/>
            </c:ext>
          </c:extLst>
        </c:ser>
        <c:ser>
          <c:idx val="16"/>
          <c:order val="16"/>
          <c:tx>
            <c:v>P75 girls</c:v>
          </c:tx>
          <c:spPr>
            <a:ln w="6350" cap="rnd">
              <a:solidFill>
                <a:srgbClr val="FFC0CB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length4age!$B$245:$B$487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length4age!$K$245:$K$487</c:f>
              <c:numCache>
                <c:formatCode>General</c:formatCode>
                <c:ptCount val="243"/>
                <c:pt idx="0">
                  <c:v>51.018695737467304</c:v>
                </c:pt>
                <c:pt idx="1">
                  <c:v>53.363623387634725</c:v>
                </c:pt>
                <c:pt idx="2">
                  <c:v>56.931360766911745</c:v>
                </c:pt>
                <c:pt idx="3">
                  <c:v>59.740446937242901</c:v>
                </c:pt>
                <c:pt idx="4">
                  <c:v>62.123295130009758</c:v>
                </c:pt>
                <c:pt idx="5">
                  <c:v>64.225071271992505</c:v>
                </c:pt>
                <c:pt idx="6">
                  <c:v>66.124178519523809</c:v>
                </c:pt>
                <c:pt idx="7">
                  <c:v>67.868499370471071</c:v>
                </c:pt>
                <c:pt idx="8">
                  <c:v>69.489749500251889</c:v>
                </c:pt>
                <c:pt idx="9">
                  <c:v>71.010189053394782</c:v>
                </c:pt>
                <c:pt idx="10">
                  <c:v>72.446136694944258</c:v>
                </c:pt>
                <c:pt idx="11">
                  <c:v>73.809968477397234</c:v>
                </c:pt>
                <c:pt idx="12">
                  <c:v>75.1113294629031</c:v>
                </c:pt>
                <c:pt idx="13">
                  <c:v>76.357906171938623</c:v>
                </c:pt>
                <c:pt idx="14">
                  <c:v>77.555939635004179</c:v>
                </c:pt>
                <c:pt idx="15">
                  <c:v>78.710578049922077</c:v>
                </c:pt>
                <c:pt idx="16">
                  <c:v>79.8261262130668</c:v>
                </c:pt>
                <c:pt idx="17">
                  <c:v>80.90622640643474</c:v>
                </c:pt>
                <c:pt idx="18">
                  <c:v>81.953992365373082</c:v>
                </c:pt>
                <c:pt idx="19">
                  <c:v>82.972110396500142</c:v>
                </c:pt>
                <c:pt idx="20">
                  <c:v>83.962916961886265</c:v>
                </c:pt>
                <c:pt idx="21">
                  <c:v>84.92845907743542</c:v>
                </c:pt>
                <c:pt idx="22">
                  <c:v>85.870541969533264</c:v>
                </c:pt>
                <c:pt idx="23">
                  <c:v>86.790767123858274</c:v>
                </c:pt>
                <c:pt idx="24">
                  <c:v>87.690562257869132</c:v>
                </c:pt>
                <c:pt idx="25">
                  <c:v>87.311213559999999</c:v>
                </c:pt>
                <c:pt idx="26">
                  <c:v>87.749175219999998</c:v>
                </c:pt>
                <c:pt idx="27">
                  <c:v>88.683435000000003</c:v>
                </c:pt>
                <c:pt idx="28">
                  <c:v>89.587509499999996</c:v>
                </c:pt>
                <c:pt idx="29">
                  <c:v>90.460175649999996</c:v>
                </c:pt>
                <c:pt idx="30">
                  <c:v>91.300651729999998</c:v>
                </c:pt>
                <c:pt idx="31">
                  <c:v>92.108585980000001</c:v>
                </c:pt>
                <c:pt idx="32">
                  <c:v>92.884030409999994</c:v>
                </c:pt>
                <c:pt idx="33">
                  <c:v>93.627413250000004</c:v>
                </c:pt>
                <c:pt idx="34">
                  <c:v>94.339508409999993</c:v>
                </c:pt>
                <c:pt idx="35">
                  <c:v>95.021400259999993</c:v>
                </c:pt>
                <c:pt idx="36">
                  <c:v>95.674457230000002</c:v>
                </c:pt>
                <c:pt idx="37">
                  <c:v>96.300287510000004</c:v>
                </c:pt>
                <c:pt idx="38">
                  <c:v>96.900714800000003</c:v>
                </c:pt>
                <c:pt idx="39">
                  <c:v>97.50723533</c:v>
                </c:pt>
                <c:pt idx="40">
                  <c:v>98.108547689999995</c:v>
                </c:pt>
                <c:pt idx="41">
                  <c:v>98.705682839999994</c:v>
                </c:pt>
                <c:pt idx="42">
                  <c:v>99.299568600000001</c:v>
                </c:pt>
                <c:pt idx="43">
                  <c:v>99.891035389999999</c:v>
                </c:pt>
                <c:pt idx="44">
                  <c:v>100.4808219</c:v>
                </c:pt>
                <c:pt idx="45">
                  <c:v>101.0695807</c:v>
                </c:pt>
                <c:pt idx="46">
                  <c:v>101.6578832</c:v>
                </c:pt>
                <c:pt idx="47">
                  <c:v>102.24622530000001</c:v>
                </c:pt>
                <c:pt idx="48">
                  <c:v>102.8350319</c:v>
                </c:pt>
                <c:pt idx="49">
                  <c:v>103.42466159999999</c:v>
                </c:pt>
                <c:pt idx="50">
                  <c:v>104.0154114</c:v>
                </c:pt>
                <c:pt idx="51">
                  <c:v>104.6075204</c:v>
                </c:pt>
                <c:pt idx="52">
                  <c:v>105.20117430000001</c:v>
                </c:pt>
                <c:pt idx="53">
                  <c:v>105.7965086</c:v>
                </c:pt>
                <c:pt idx="54">
                  <c:v>106.39361289999999</c:v>
                </c:pt>
                <c:pt idx="55">
                  <c:v>106.9925336</c:v>
                </c:pt>
                <c:pt idx="56">
                  <c:v>107.5932772</c:v>
                </c:pt>
                <c:pt idx="57">
                  <c:v>108.1958137</c:v>
                </c:pt>
                <c:pt idx="58">
                  <c:v>108.80007929999999</c:v>
                </c:pt>
                <c:pt idx="59">
                  <c:v>109.405979</c:v>
                </c:pt>
                <c:pt idx="60">
                  <c:v>110.01338939999999</c:v>
                </c:pt>
                <c:pt idx="61">
                  <c:v>110.6221611</c:v>
                </c:pt>
                <c:pt idx="62">
                  <c:v>111.2321213</c:v>
                </c:pt>
                <c:pt idx="63">
                  <c:v>111.84307579999999</c:v>
                </c:pt>
                <c:pt idx="64">
                  <c:v>112.4548114</c:v>
                </c:pt>
                <c:pt idx="65">
                  <c:v>113.06709840000001</c:v>
                </c:pt>
                <c:pt idx="66">
                  <c:v>113.6796918</c:v>
                </c:pt>
                <c:pt idx="67">
                  <c:v>114.2923342</c:v>
                </c:pt>
                <c:pt idx="68">
                  <c:v>114.90475720000001</c:v>
                </c:pt>
                <c:pt idx="69">
                  <c:v>115.51668340000001</c:v>
                </c:pt>
                <c:pt idx="70">
                  <c:v>116.1278283</c:v>
                </c:pt>
                <c:pt idx="71">
                  <c:v>116.73790169999999</c:v>
                </c:pt>
                <c:pt idx="72">
                  <c:v>117.3466121</c:v>
                </c:pt>
                <c:pt idx="73">
                  <c:v>117.95365990000001</c:v>
                </c:pt>
                <c:pt idx="74">
                  <c:v>118.5587525</c:v>
                </c:pt>
                <c:pt idx="75">
                  <c:v>119.1615941</c:v>
                </c:pt>
                <c:pt idx="76">
                  <c:v>119.7618926</c:v>
                </c:pt>
                <c:pt idx="77">
                  <c:v>120.35936030000001</c:v>
                </c:pt>
                <c:pt idx="78">
                  <c:v>120.95371470000001</c:v>
                </c:pt>
                <c:pt idx="79">
                  <c:v>121.5446807</c:v>
                </c:pt>
                <c:pt idx="80">
                  <c:v>122.1319914</c:v>
                </c:pt>
                <c:pt idx="81">
                  <c:v>122.71538959999999</c:v>
                </c:pt>
                <c:pt idx="82">
                  <c:v>123.29462909999999</c:v>
                </c:pt>
                <c:pt idx="83">
                  <c:v>123.8694758</c:v>
                </c:pt>
                <c:pt idx="84">
                  <c:v>124.4397092</c:v>
                </c:pt>
                <c:pt idx="85">
                  <c:v>125.00512310000001</c:v>
                </c:pt>
                <c:pt idx="86">
                  <c:v>125.5655273</c:v>
                </c:pt>
                <c:pt idx="87">
                  <c:v>126.1207484</c:v>
                </c:pt>
                <c:pt idx="88">
                  <c:v>126.6706308</c:v>
                </c:pt>
                <c:pt idx="89">
                  <c:v>127.2150383</c:v>
                </c:pt>
                <c:pt idx="90">
                  <c:v>127.7538545</c:v>
                </c:pt>
                <c:pt idx="91">
                  <c:v>128.28698449999999</c:v>
                </c:pt>
                <c:pt idx="92">
                  <c:v>128.8143555</c:v>
                </c:pt>
                <c:pt idx="93">
                  <c:v>129.33591809999999</c:v>
                </c:pt>
                <c:pt idx="94">
                  <c:v>129.85164739999999</c:v>
                </c:pt>
                <c:pt idx="95">
                  <c:v>130.3615441</c:v>
                </c:pt>
                <c:pt idx="96">
                  <c:v>130.8656354</c:v>
                </c:pt>
                <c:pt idx="97">
                  <c:v>131.36397629999999</c:v>
                </c:pt>
                <c:pt idx="98">
                  <c:v>131.85665059999999</c:v>
                </c:pt>
                <c:pt idx="99">
                  <c:v>132.34377240000001</c:v>
                </c:pt>
                <c:pt idx="100">
                  <c:v>132.8254867</c:v>
                </c:pt>
                <c:pt idx="101">
                  <c:v>133.30197129999999</c:v>
                </c:pt>
                <c:pt idx="102">
                  <c:v>133.7734371</c:v>
                </c:pt>
                <c:pt idx="103">
                  <c:v>134.24013020000001</c:v>
                </c:pt>
                <c:pt idx="104">
                  <c:v>134.70233239999999</c:v>
                </c:pt>
                <c:pt idx="105">
                  <c:v>135.16036260000001</c:v>
                </c:pt>
                <c:pt idx="106">
                  <c:v>135.61457770000001</c:v>
                </c:pt>
                <c:pt idx="107">
                  <c:v>136.06537370000001</c:v>
                </c:pt>
                <c:pt idx="108">
                  <c:v>136.5131864</c:v>
                </c:pt>
                <c:pt idx="109">
                  <c:v>136.9584917</c:v>
                </c:pt>
                <c:pt idx="110">
                  <c:v>137.40180659999999</c:v>
                </c:pt>
                <c:pt idx="111">
                  <c:v>137.84368839999999</c:v>
                </c:pt>
                <c:pt idx="112">
                  <c:v>138.28473460000001</c:v>
                </c:pt>
                <c:pt idx="113">
                  <c:v>138.72558219999999</c:v>
                </c:pt>
                <c:pt idx="114">
                  <c:v>139.1669053</c:v>
                </c:pt>
                <c:pt idx="115">
                  <c:v>139.6094137</c:v>
                </c:pt>
                <c:pt idx="116">
                  <c:v>140.05384849999999</c:v>
                </c:pt>
                <c:pt idx="117">
                  <c:v>140.50097880000001</c:v>
                </c:pt>
                <c:pt idx="118">
                  <c:v>140.95159530000001</c:v>
                </c:pt>
                <c:pt idx="119">
                  <c:v>141.40650400000001</c:v>
                </c:pt>
                <c:pt idx="120">
                  <c:v>141.8665172</c:v>
                </c:pt>
                <c:pt idx="121">
                  <c:v>142.33244429999999</c:v>
                </c:pt>
                <c:pt idx="122">
                  <c:v>142.80507940000001</c:v>
                </c:pt>
                <c:pt idx="123">
                  <c:v>143.28518790000001</c:v>
                </c:pt>
                <c:pt idx="124">
                  <c:v>143.77349190000001</c:v>
                </c:pt>
                <c:pt idx="125">
                  <c:v>144.2706527</c:v>
                </c:pt>
                <c:pt idx="126">
                  <c:v>144.77725340000001</c:v>
                </c:pt>
                <c:pt idx="127">
                  <c:v>145.29377790000001</c:v>
                </c:pt>
                <c:pt idx="128">
                  <c:v>145.8205935</c:v>
                </c:pt>
                <c:pt idx="129">
                  <c:v>146.3579283</c:v>
                </c:pt>
                <c:pt idx="130">
                  <c:v>146.90585290000001</c:v>
                </c:pt>
                <c:pt idx="131">
                  <c:v>147.46426170000001</c:v>
                </c:pt>
                <c:pt idx="132">
                  <c:v>148.03285729999999</c:v>
                </c:pt>
                <c:pt idx="133">
                  <c:v>148.61113779999999</c:v>
                </c:pt>
                <c:pt idx="134">
                  <c:v>149.19838809999999</c:v>
                </c:pt>
                <c:pt idx="135">
                  <c:v>149.79367669999999</c:v>
                </c:pt>
                <c:pt idx="136">
                  <c:v>150.39585829999999</c:v>
                </c:pt>
                <c:pt idx="137">
                  <c:v>151.00358230000001</c:v>
                </c:pt>
                <c:pt idx="138">
                  <c:v>151.61530830000001</c:v>
                </c:pt>
                <c:pt idx="139">
                  <c:v>152.22932879999999</c:v>
                </c:pt>
                <c:pt idx="140">
                  <c:v>152.84379440000001</c:v>
                </c:pt>
                <c:pt idx="141">
                  <c:v>153.45675259999999</c:v>
                </c:pt>
                <c:pt idx="142">
                  <c:v>154.06618030000001</c:v>
                </c:pt>
                <c:pt idx="143">
                  <c:v>154.67002740000001</c:v>
                </c:pt>
                <c:pt idx="144">
                  <c:v>155.26625340000001</c:v>
                </c:pt>
                <c:pt idx="145">
                  <c:v>155.8528786</c:v>
                </c:pt>
                <c:pt idx="146">
                  <c:v>156.42801259999999</c:v>
                </c:pt>
                <c:pt idx="147">
                  <c:v>156.9898953</c:v>
                </c:pt>
                <c:pt idx="148">
                  <c:v>157.53692620000001</c:v>
                </c:pt>
                <c:pt idx="149">
                  <c:v>158.06768869999999</c:v>
                </c:pt>
                <c:pt idx="150">
                  <c:v>158.58096829999999</c:v>
                </c:pt>
                <c:pt idx="151">
                  <c:v>159.07576359999999</c:v>
                </c:pt>
                <c:pt idx="152">
                  <c:v>159.5512908</c:v>
                </c:pt>
                <c:pt idx="153">
                  <c:v>160.00698199999999</c:v>
                </c:pt>
                <c:pt idx="154">
                  <c:v>160.4424774</c:v>
                </c:pt>
                <c:pt idx="155">
                  <c:v>160.85761389999999</c:v>
                </c:pt>
                <c:pt idx="156">
                  <c:v>161.252409</c:v>
                </c:pt>
                <c:pt idx="157">
                  <c:v>161.6270427</c:v>
                </c:pt>
                <c:pt idx="158">
                  <c:v>161.9818377</c:v>
                </c:pt>
                <c:pt idx="159">
                  <c:v>162.317239</c:v>
                </c:pt>
                <c:pt idx="160">
                  <c:v>162.633793</c:v>
                </c:pt>
                <c:pt idx="161">
                  <c:v>162.93212819999999</c:v>
                </c:pt>
                <c:pt idx="162">
                  <c:v>163.21293679999999</c:v>
                </c:pt>
                <c:pt idx="163">
                  <c:v>163.476957</c:v>
                </c:pt>
                <c:pt idx="164">
                  <c:v>163.7249588</c:v>
                </c:pt>
                <c:pt idx="165">
                  <c:v>163.95772969999999</c:v>
                </c:pt>
                <c:pt idx="166">
                  <c:v>164.17606369999999</c:v>
                </c:pt>
                <c:pt idx="167">
                  <c:v>164.38075140000001</c:v>
                </c:pt>
                <c:pt idx="168">
                  <c:v>164.57257200000001</c:v>
                </c:pt>
                <c:pt idx="169">
                  <c:v>164.75228680000001</c:v>
                </c:pt>
                <c:pt idx="170">
                  <c:v>164.92063300000001</c:v>
                </c:pt>
                <c:pt idx="171">
                  <c:v>165.07832479999999</c:v>
                </c:pt>
                <c:pt idx="172">
                  <c:v>165.2260411</c:v>
                </c:pt>
                <c:pt idx="173">
                  <c:v>165.36443159999999</c:v>
                </c:pt>
                <c:pt idx="174">
                  <c:v>165.49411330000001</c:v>
                </c:pt>
                <c:pt idx="175">
                  <c:v>165.61566970000001</c:v>
                </c:pt>
                <c:pt idx="176">
                  <c:v>165.7296508</c:v>
                </c:pt>
                <c:pt idx="177">
                  <c:v>165.8365737</c:v>
                </c:pt>
                <c:pt idx="178">
                  <c:v>165.93692480000001</c:v>
                </c:pt>
                <c:pt idx="179">
                  <c:v>166.03115560000001</c:v>
                </c:pt>
                <c:pt idx="180">
                  <c:v>166.1196904</c:v>
                </c:pt>
                <c:pt idx="181">
                  <c:v>166.202924</c:v>
                </c:pt>
                <c:pt idx="182">
                  <c:v>166.28122400000001</c:v>
                </c:pt>
                <c:pt idx="183">
                  <c:v>166.35493210000001</c:v>
                </c:pt>
                <c:pt idx="184">
                  <c:v>166.42436549999999</c:v>
                </c:pt>
                <c:pt idx="185">
                  <c:v>166.48981879999999</c:v>
                </c:pt>
                <c:pt idx="186">
                  <c:v>166.5515647</c:v>
                </c:pt>
                <c:pt idx="187">
                  <c:v>166.6098562</c:v>
                </c:pt>
                <c:pt idx="188">
                  <c:v>166.66492740000001</c:v>
                </c:pt>
                <c:pt idx="189">
                  <c:v>166.71699509999999</c:v>
                </c:pt>
                <c:pt idx="190">
                  <c:v>166.76625989999999</c:v>
                </c:pt>
                <c:pt idx="191">
                  <c:v>166.8129074</c:v>
                </c:pt>
                <c:pt idx="192">
                  <c:v>166.85710929999999</c:v>
                </c:pt>
                <c:pt idx="193">
                  <c:v>166.89902459999999</c:v>
                </c:pt>
                <c:pt idx="194">
                  <c:v>166.9388003</c:v>
                </c:pt>
                <c:pt idx="195">
                  <c:v>166.97657229999999</c:v>
                </c:pt>
                <c:pt idx="196">
                  <c:v>167.0124668</c:v>
                </c:pt>
                <c:pt idx="197">
                  <c:v>167.04660039999999</c:v>
                </c:pt>
                <c:pt idx="198">
                  <c:v>167.0790811</c:v>
                </c:pt>
                <c:pt idx="199">
                  <c:v>167.11000899999999</c:v>
                </c:pt>
                <c:pt idx="200">
                  <c:v>167.13947709999999</c:v>
                </c:pt>
                <c:pt idx="201">
                  <c:v>167.16757150000001</c:v>
                </c:pt>
                <c:pt idx="202">
                  <c:v>167.19437210000001</c:v>
                </c:pt>
                <c:pt idx="203">
                  <c:v>167.21995319999999</c:v>
                </c:pt>
                <c:pt idx="204">
                  <c:v>167.244384</c:v>
                </c:pt>
                <c:pt idx="205">
                  <c:v>167.2677286</c:v>
                </c:pt>
                <c:pt idx="206">
                  <c:v>167.2900467</c:v>
                </c:pt>
                <c:pt idx="207">
                  <c:v>167.3113942</c:v>
                </c:pt>
                <c:pt idx="208">
                  <c:v>167.33182289999999</c:v>
                </c:pt>
                <c:pt idx="209">
                  <c:v>167.35138119999999</c:v>
                </c:pt>
                <c:pt idx="210">
                  <c:v>167.3701145</c:v>
                </c:pt>
                <c:pt idx="211">
                  <c:v>167.38806500000001</c:v>
                </c:pt>
                <c:pt idx="212">
                  <c:v>167.40527230000001</c:v>
                </c:pt>
                <c:pt idx="213">
                  <c:v>167.42177340000001</c:v>
                </c:pt>
                <c:pt idx="214">
                  <c:v>167.437603</c:v>
                </c:pt>
                <c:pt idx="215">
                  <c:v>167.45279379999999</c:v>
                </c:pt>
                <c:pt idx="216">
                  <c:v>167.46737630000001</c:v>
                </c:pt>
                <c:pt idx="217">
                  <c:v>167.48137919999999</c:v>
                </c:pt>
                <c:pt idx="218">
                  <c:v>167.4948296</c:v>
                </c:pt>
                <c:pt idx="219">
                  <c:v>167.50775290000001</c:v>
                </c:pt>
                <c:pt idx="220">
                  <c:v>167.520173</c:v>
                </c:pt>
                <c:pt idx="221">
                  <c:v>167.53211279999999</c:v>
                </c:pt>
                <c:pt idx="222">
                  <c:v>167.5435933</c:v>
                </c:pt>
                <c:pt idx="223">
                  <c:v>167.55463499999999</c:v>
                </c:pt>
                <c:pt idx="224">
                  <c:v>167.56525669999999</c:v>
                </c:pt>
                <c:pt idx="225">
                  <c:v>167.5754766</c:v>
                </c:pt>
                <c:pt idx="226">
                  <c:v>167.5853118</c:v>
                </c:pt>
                <c:pt idx="227">
                  <c:v>167.59477849999999</c:v>
                </c:pt>
                <c:pt idx="228">
                  <c:v>167.6038921</c:v>
                </c:pt>
                <c:pt idx="229">
                  <c:v>167.61266710000001</c:v>
                </c:pt>
                <c:pt idx="230">
                  <c:v>167.6211174</c:v>
                </c:pt>
                <c:pt idx="231">
                  <c:v>167.62925630000001</c:v>
                </c:pt>
                <c:pt idx="232">
                  <c:v>167.6370963</c:v>
                </c:pt>
                <c:pt idx="233">
                  <c:v>167.64464939999999</c:v>
                </c:pt>
                <c:pt idx="234">
                  <c:v>167.65192690000001</c:v>
                </c:pt>
                <c:pt idx="235">
                  <c:v>167.65893969999999</c:v>
                </c:pt>
                <c:pt idx="236">
                  <c:v>167.66569809999999</c:v>
                </c:pt>
                <c:pt idx="237">
                  <c:v>167.6722121</c:v>
                </c:pt>
                <c:pt idx="238">
                  <c:v>167.67849100000001</c:v>
                </c:pt>
                <c:pt idx="239">
                  <c:v>167.68454399999999</c:v>
                </c:pt>
                <c:pt idx="240">
                  <c:v>167.69037969999999</c:v>
                </c:pt>
                <c:pt idx="241">
                  <c:v>167.6960062</c:v>
                </c:pt>
                <c:pt idx="242">
                  <c:v>167.6987436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23-4CC2-A3A5-10F176397FD4}"/>
            </c:ext>
          </c:extLst>
        </c:ser>
        <c:ser>
          <c:idx val="17"/>
          <c:order val="17"/>
          <c:tx>
            <c:v>P90 girls</c:v>
          </c:tx>
          <c:spPr>
            <a:ln w="6350" cap="rnd">
              <a:solidFill>
                <a:srgbClr val="FFC0CB">
                  <a:alpha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length4age!$B$245:$B$487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length4age!$L$245:$L$487</c:f>
              <c:numCache>
                <c:formatCode>General</c:formatCode>
                <c:ptCount val="243"/>
                <c:pt idx="0">
                  <c:v>52.702501151536332</c:v>
                </c:pt>
                <c:pt idx="1">
                  <c:v>54.962222761384631</c:v>
                </c:pt>
                <c:pt idx="2">
                  <c:v>58.456123688201231</c:v>
                </c:pt>
                <c:pt idx="3">
                  <c:v>61.243057507968153</c:v>
                </c:pt>
                <c:pt idx="4">
                  <c:v>63.626478503480357</c:v>
                </c:pt>
                <c:pt idx="5">
                  <c:v>65.740958948104435</c:v>
                </c:pt>
                <c:pt idx="6">
                  <c:v>67.659952176214787</c:v>
                </c:pt>
                <c:pt idx="7">
                  <c:v>69.428684245188634</c:v>
                </c:pt>
                <c:pt idx="8">
                  <c:v>71.077310633282977</c:v>
                </c:pt>
                <c:pt idx="9">
                  <c:v>72.627114950958088</c:v>
                </c:pt>
                <c:pt idx="10">
                  <c:v>74.093775124029563</c:v>
                </c:pt>
                <c:pt idx="11">
                  <c:v>75.489231298874515</c:v>
                </c:pt>
                <c:pt idx="12">
                  <c:v>76.822823451438495</c:v>
                </c:pt>
                <c:pt idx="13">
                  <c:v>78.102019734356674</c:v>
                </c:pt>
                <c:pt idx="14">
                  <c:v>79.332902044041504</c:v>
                </c:pt>
                <c:pt idx="15">
                  <c:v>80.520500975714057</c:v>
                </c:pt>
                <c:pt idx="16">
                  <c:v>81.669033445160309</c:v>
                </c:pt>
                <c:pt idx="17">
                  <c:v>82.782075541616962</c:v>
                </c:pt>
                <c:pt idx="18">
                  <c:v>83.862690867100795</c:v>
                </c:pt>
                <c:pt idx="19">
                  <c:v>84.913527660739518</c:v>
                </c:pt>
                <c:pt idx="20">
                  <c:v>85.936893478434342</c:v>
                </c:pt>
                <c:pt idx="21">
                  <c:v>86.934813460879212</c:v>
                </c:pt>
                <c:pt idx="22">
                  <c:v>87.909076399945903</c:v>
                </c:pt>
                <c:pt idx="23">
                  <c:v>88.861271598425006</c:v>
                </c:pt>
                <c:pt idx="24">
                  <c:v>89.792818519404349</c:v>
                </c:pt>
                <c:pt idx="25">
                  <c:v>89.409511589999994</c:v>
                </c:pt>
                <c:pt idx="26">
                  <c:v>89.863158339999998</c:v>
                </c:pt>
                <c:pt idx="27">
                  <c:v>90.835047849999995</c:v>
                </c:pt>
                <c:pt idx="28">
                  <c:v>91.774205839999993</c:v>
                </c:pt>
                <c:pt idx="29">
                  <c:v>92.679687759999993</c:v>
                </c:pt>
                <c:pt idx="30">
                  <c:v>93.550968220000001</c:v>
                </c:pt>
                <c:pt idx="31">
                  <c:v>94.387928160000001</c:v>
                </c:pt>
                <c:pt idx="32">
                  <c:v>95.190832619999995</c:v>
                </c:pt>
                <c:pt idx="33">
                  <c:v>95.960303589999995</c:v>
                </c:pt>
                <c:pt idx="34">
                  <c:v>96.697289780000006</c:v>
                </c:pt>
                <c:pt idx="35">
                  <c:v>97.403034210000001</c:v>
                </c:pt>
                <c:pt idx="36">
                  <c:v>98.079042659999999</c:v>
                </c:pt>
                <c:pt idx="37">
                  <c:v>98.727049539999996</c:v>
                </c:pt>
                <c:pt idx="38">
                  <c:v>99.348987440000002</c:v>
                </c:pt>
                <c:pt idx="39">
                  <c:v>99.978961229999996</c:v>
                </c:pt>
                <c:pt idx="40">
                  <c:v>100.6040005</c:v>
                </c:pt>
                <c:pt idx="41">
                  <c:v>101.2250993</c:v>
                </c:pt>
                <c:pt idx="42">
                  <c:v>101.8431523</c:v>
                </c:pt>
                <c:pt idx="43">
                  <c:v>102.4589604</c:v>
                </c:pt>
                <c:pt idx="44">
                  <c:v>103.0732359</c:v>
                </c:pt>
                <c:pt idx="45">
                  <c:v>103.6866076</c:v>
                </c:pt>
                <c:pt idx="46">
                  <c:v>104.29962570000001</c:v>
                </c:pt>
                <c:pt idx="47">
                  <c:v>104.9127666</c:v>
                </c:pt>
                <c:pt idx="48">
                  <c:v>105.5264371</c:v>
                </c:pt>
                <c:pt idx="49">
                  <c:v>106.1409795</c:v>
                </c:pt>
                <c:pt idx="50">
                  <c:v>106.7566748</c:v>
                </c:pt>
                <c:pt idx="51">
                  <c:v>107.37374749999999</c:v>
                </c:pt>
                <c:pt idx="52">
                  <c:v>107.9923687</c:v>
                </c:pt>
                <c:pt idx="53">
                  <c:v>108.6126601</c:v>
                </c:pt>
                <c:pt idx="54">
                  <c:v>109.2346972</c:v>
                </c:pt>
                <c:pt idx="55">
                  <c:v>109.8585126</c:v>
                </c:pt>
                <c:pt idx="56">
                  <c:v>110.4840992</c:v>
                </c:pt>
                <c:pt idx="57">
                  <c:v>111.11141309999999</c:v>
                </c:pt>
                <c:pt idx="58">
                  <c:v>111.7403765</c:v>
                </c:pt>
                <c:pt idx="59">
                  <c:v>112.37088009999999</c:v>
                </c:pt>
                <c:pt idx="60">
                  <c:v>113.0027865</c:v>
                </c:pt>
                <c:pt idx="61">
                  <c:v>113.6359317</c:v>
                </c:pt>
                <c:pt idx="62">
                  <c:v>114.2701285</c:v>
                </c:pt>
                <c:pt idx="63">
                  <c:v>114.9051683</c:v>
                </c:pt>
                <c:pt idx="64">
                  <c:v>115.5408235</c:v>
                </c:pt>
                <c:pt idx="65">
                  <c:v>116.1768496</c:v>
                </c:pt>
                <c:pt idx="66">
                  <c:v>116.8129879</c:v>
                </c:pt>
                <c:pt idx="67">
                  <c:v>117.4489667</c:v>
                </c:pt>
                <c:pt idx="68">
                  <c:v>118.0845041</c:v>
                </c:pt>
                <c:pt idx="69">
                  <c:v>118.7193096</c:v>
                </c:pt>
                <c:pt idx="70">
                  <c:v>119.35308620000001</c:v>
                </c:pt>
                <c:pt idx="71">
                  <c:v>119.9855318</c:v>
                </c:pt>
                <c:pt idx="72">
                  <c:v>120.6163423</c:v>
                </c:pt>
                <c:pt idx="73">
                  <c:v>121.2452109</c:v>
                </c:pt>
                <c:pt idx="74">
                  <c:v>121.8718331</c:v>
                </c:pt>
                <c:pt idx="75">
                  <c:v>122.49590569999999</c:v>
                </c:pt>
                <c:pt idx="76">
                  <c:v>123.1171295</c:v>
                </c:pt>
                <c:pt idx="77">
                  <c:v>123.7352109</c:v>
                </c:pt>
                <c:pt idx="78">
                  <c:v>124.3498634</c:v>
                </c:pt>
                <c:pt idx="79">
                  <c:v>124.9608087</c:v>
                </c:pt>
                <c:pt idx="80">
                  <c:v>125.5677788</c:v>
                </c:pt>
                <c:pt idx="81">
                  <c:v>126.17051669999999</c:v>
                </c:pt>
                <c:pt idx="82">
                  <c:v>126.7687784</c:v>
                </c:pt>
                <c:pt idx="83">
                  <c:v>127.3623338</c:v>
                </c:pt>
                <c:pt idx="84">
                  <c:v>127.9509681</c:v>
                </c:pt>
                <c:pt idx="85">
                  <c:v>128.53448320000001</c:v>
                </c:pt>
                <c:pt idx="86">
                  <c:v>129.11269859999999</c:v>
                </c:pt>
                <c:pt idx="87">
                  <c:v>129.6854529</c:v>
                </c:pt>
                <c:pt idx="88">
                  <c:v>130.25260470000001</c:v>
                </c:pt>
                <c:pt idx="89">
                  <c:v>130.81403420000001</c:v>
                </c:pt>
                <c:pt idx="90">
                  <c:v>131.36964359999999</c:v>
                </c:pt>
                <c:pt idx="91">
                  <c:v>131.9193587</c:v>
                </c:pt>
                <c:pt idx="92">
                  <c:v>132.46313019999999</c:v>
                </c:pt>
                <c:pt idx="93">
                  <c:v>133.000934</c:v>
                </c:pt>
                <c:pt idx="94">
                  <c:v>133.53277309999999</c:v>
                </c:pt>
                <c:pt idx="95">
                  <c:v>134.0586782</c:v>
                </c:pt>
                <c:pt idx="96">
                  <c:v>134.57870890000001</c:v>
                </c:pt>
                <c:pt idx="97">
                  <c:v>135.0929548</c:v>
                </c:pt>
                <c:pt idx="98">
                  <c:v>135.60153639999999</c:v>
                </c:pt>
                <c:pt idx="99">
                  <c:v>136.10460660000001</c:v>
                </c:pt>
                <c:pt idx="100">
                  <c:v>136.602351</c:v>
                </c:pt>
                <c:pt idx="101">
                  <c:v>137.0949894</c:v>
                </c:pt>
                <c:pt idx="102">
                  <c:v>137.5827768</c:v>
                </c:pt>
                <c:pt idx="103">
                  <c:v>138.06600409999999</c:v>
                </c:pt>
                <c:pt idx="104">
                  <c:v>138.54499860000001</c:v>
                </c:pt>
                <c:pt idx="105">
                  <c:v>139.0201256</c:v>
                </c:pt>
                <c:pt idx="106">
                  <c:v>139.49178789999999</c:v>
                </c:pt>
                <c:pt idx="107">
                  <c:v>139.9604267</c:v>
                </c:pt>
                <c:pt idx="108">
                  <c:v>140.4265216</c:v>
                </c:pt>
                <c:pt idx="109">
                  <c:v>140.89059030000001</c:v>
                </c:pt>
                <c:pt idx="110">
                  <c:v>141.35318789999999</c:v>
                </c:pt>
                <c:pt idx="111">
                  <c:v>141.81490590000001</c:v>
                </c:pt>
                <c:pt idx="112">
                  <c:v>142.27637060000001</c:v>
                </c:pt>
                <c:pt idx="113">
                  <c:v>142.73824049999999</c:v>
                </c:pt>
                <c:pt idx="114">
                  <c:v>143.2012034</c:v>
                </c:pt>
                <c:pt idx="115">
                  <c:v>143.6659721</c:v>
                </c:pt>
                <c:pt idx="116">
                  <c:v>144.13327989999999</c:v>
                </c:pt>
                <c:pt idx="117">
                  <c:v>144.6038739</c:v>
                </c:pt>
                <c:pt idx="118">
                  <c:v>145.07850790000001</c:v>
                </c:pt>
                <c:pt idx="119">
                  <c:v>145.55793349999999</c:v>
                </c:pt>
                <c:pt idx="120">
                  <c:v>146.04289019999999</c:v>
                </c:pt>
                <c:pt idx="121">
                  <c:v>146.53409360000001</c:v>
                </c:pt>
                <c:pt idx="122">
                  <c:v>147.03222249999999</c:v>
                </c:pt>
                <c:pt idx="123">
                  <c:v>147.5379045</c:v>
                </c:pt>
                <c:pt idx="124">
                  <c:v>148.05170039999999</c:v>
                </c:pt>
                <c:pt idx="125">
                  <c:v>148.57408810000001</c:v>
                </c:pt>
                <c:pt idx="126">
                  <c:v>149.1054445</c:v>
                </c:pt>
                <c:pt idx="127">
                  <c:v>149.6460289</c:v>
                </c:pt>
                <c:pt idx="128">
                  <c:v>150.19596569999999</c:v>
                </c:pt>
                <c:pt idx="129">
                  <c:v>150.7552278</c:v>
                </c:pt>
                <c:pt idx="130">
                  <c:v>151.32362259999999</c:v>
                </c:pt>
                <c:pt idx="131">
                  <c:v>151.90077959999999</c:v>
                </c:pt>
                <c:pt idx="132">
                  <c:v>152.48614140000001</c:v>
                </c:pt>
                <c:pt idx="133">
                  <c:v>153.07895880000001</c:v>
                </c:pt>
                <c:pt idx="134">
                  <c:v>153.6782905</c:v>
                </c:pt>
                <c:pt idx="135">
                  <c:v>154.2830074</c:v>
                </c:pt>
                <c:pt idx="136">
                  <c:v>154.89180329999999</c:v>
                </c:pt>
                <c:pt idx="137">
                  <c:v>155.50321049999999</c:v>
                </c:pt>
                <c:pt idx="138">
                  <c:v>156.11562069999999</c:v>
                </c:pt>
                <c:pt idx="139">
                  <c:v>156.72731139999999</c:v>
                </c:pt>
                <c:pt idx="140">
                  <c:v>157.336476</c:v>
                </c:pt>
                <c:pt idx="141">
                  <c:v>157.94125740000001</c:v>
                </c:pt>
                <c:pt idx="142">
                  <c:v>158.53978319999999</c:v>
                </c:pt>
                <c:pt idx="143">
                  <c:v>159.13020180000001</c:v>
                </c:pt>
                <c:pt idx="144">
                  <c:v>159.71071699999999</c:v>
                </c:pt>
                <c:pt idx="145">
                  <c:v>160.27962260000001</c:v>
                </c:pt>
                <c:pt idx="146">
                  <c:v>160.83533109999999</c:v>
                </c:pt>
                <c:pt idx="147">
                  <c:v>161.37639949999999</c:v>
                </c:pt>
                <c:pt idx="148">
                  <c:v>161.90155010000001</c:v>
                </c:pt>
                <c:pt idx="149">
                  <c:v>162.40968570000001</c:v>
                </c:pt>
                <c:pt idx="150">
                  <c:v>162.89989850000001</c:v>
                </c:pt>
                <c:pt idx="151">
                  <c:v>163.3714746</c:v>
                </c:pt>
                <c:pt idx="152">
                  <c:v>163.82389230000001</c:v>
                </c:pt>
                <c:pt idx="153">
                  <c:v>164.2568163</c:v>
                </c:pt>
                <c:pt idx="154">
                  <c:v>164.6700879</c:v>
                </c:pt>
                <c:pt idx="155">
                  <c:v>165.06371179999999</c:v>
                </c:pt>
                <c:pt idx="156">
                  <c:v>165.4378408</c:v>
                </c:pt>
                <c:pt idx="157">
                  <c:v>165.7927589</c:v>
                </c:pt>
                <c:pt idx="158">
                  <c:v>166.1288638</c:v>
                </c:pt>
                <c:pt idx="159">
                  <c:v>166.44664879999999</c:v>
                </c:pt>
                <c:pt idx="160">
                  <c:v>166.74668589999999</c:v>
                </c:pt>
                <c:pt idx="161">
                  <c:v>167.02960870000001</c:v>
                </c:pt>
                <c:pt idx="162">
                  <c:v>167.29609780000001</c:v>
                </c:pt>
                <c:pt idx="163">
                  <c:v>167.5468664</c:v>
                </c:pt>
                <c:pt idx="164">
                  <c:v>167.78264809999999</c:v>
                </c:pt>
                <c:pt idx="165">
                  <c:v>168.0041861</c:v>
                </c:pt>
                <c:pt idx="166">
                  <c:v>168.21222409999999</c:v>
                </c:pt>
                <c:pt idx="167">
                  <c:v>168.40749829999999</c:v>
                </c:pt>
                <c:pt idx="168">
                  <c:v>168.59073129999999</c:v>
                </c:pt>
                <c:pt idx="169">
                  <c:v>168.76262679999999</c:v>
                </c:pt>
                <c:pt idx="170">
                  <c:v>168.92386540000001</c:v>
                </c:pt>
                <c:pt idx="171">
                  <c:v>169.07510260000001</c:v>
                </c:pt>
                <c:pt idx="172">
                  <c:v>169.21696510000001</c:v>
                </c:pt>
                <c:pt idx="173">
                  <c:v>169.35005039999999</c:v>
                </c:pt>
                <c:pt idx="174">
                  <c:v>169.4749261</c:v>
                </c:pt>
                <c:pt idx="175">
                  <c:v>169.59212909999999</c:v>
                </c:pt>
                <c:pt idx="176">
                  <c:v>169.70216619999999</c:v>
                </c:pt>
                <c:pt idx="177">
                  <c:v>169.8055142</c:v>
                </c:pt>
                <c:pt idx="178">
                  <c:v>169.90262089999999</c:v>
                </c:pt>
                <c:pt idx="179">
                  <c:v>169.99390560000001</c:v>
                </c:pt>
                <c:pt idx="180">
                  <c:v>170.0797608</c:v>
                </c:pt>
                <c:pt idx="181">
                  <c:v>170.16055299999999</c:v>
                </c:pt>
                <c:pt idx="182">
                  <c:v>170.23662400000001</c:v>
                </c:pt>
                <c:pt idx="183">
                  <c:v>170.30829209999999</c:v>
                </c:pt>
                <c:pt idx="184">
                  <c:v>170.37585390000001</c:v>
                </c:pt>
                <c:pt idx="185">
                  <c:v>170.43958470000001</c:v>
                </c:pt>
                <c:pt idx="186">
                  <c:v>170.49974080000001</c:v>
                </c:pt>
                <c:pt idx="187">
                  <c:v>170.5565599</c:v>
                </c:pt>
                <c:pt idx="188">
                  <c:v>170.61026269999999</c:v>
                </c:pt>
                <c:pt idx="189">
                  <c:v>170.6610542</c:v>
                </c:pt>
                <c:pt idx="190">
                  <c:v>170.70912430000001</c:v>
                </c:pt>
                <c:pt idx="191">
                  <c:v>170.75464940000001</c:v>
                </c:pt>
                <c:pt idx="192">
                  <c:v>170.79779289999999</c:v>
                </c:pt>
                <c:pt idx="193">
                  <c:v>170.83870640000001</c:v>
                </c:pt>
                <c:pt idx="194">
                  <c:v>170.8775306</c:v>
                </c:pt>
                <c:pt idx="195">
                  <c:v>170.91439600000001</c:v>
                </c:pt>
                <c:pt idx="196">
                  <c:v>170.94942359999999</c:v>
                </c:pt>
                <c:pt idx="197">
                  <c:v>170.9827258</c:v>
                </c:pt>
                <c:pt idx="198">
                  <c:v>171.01440700000001</c:v>
                </c:pt>
                <c:pt idx="199">
                  <c:v>171.0445641</c:v>
                </c:pt>
                <c:pt idx="200">
                  <c:v>171.07328709999999</c:v>
                </c:pt>
                <c:pt idx="201">
                  <c:v>171.10065979999999</c:v>
                </c:pt>
                <c:pt idx="202">
                  <c:v>171.1267599</c:v>
                </c:pt>
                <c:pt idx="203">
                  <c:v>171.15166009999999</c:v>
                </c:pt>
                <c:pt idx="204">
                  <c:v>171.1754277</c:v>
                </c:pt>
                <c:pt idx="205">
                  <c:v>171.19812580000001</c:v>
                </c:pt>
                <c:pt idx="206">
                  <c:v>171.2198128</c:v>
                </c:pt>
                <c:pt idx="207">
                  <c:v>171.2405436</c:v>
                </c:pt>
                <c:pt idx="208">
                  <c:v>171.26036930000001</c:v>
                </c:pt>
                <c:pt idx="209">
                  <c:v>171.2793375</c:v>
                </c:pt>
                <c:pt idx="210">
                  <c:v>171.29749290000001</c:v>
                </c:pt>
                <c:pt idx="211">
                  <c:v>171.3148774</c:v>
                </c:pt>
                <c:pt idx="212">
                  <c:v>171.33152999999999</c:v>
                </c:pt>
                <c:pt idx="213">
                  <c:v>171.34748740000001</c:v>
                </c:pt>
                <c:pt idx="214">
                  <c:v>171.362784</c:v>
                </c:pt>
                <c:pt idx="215">
                  <c:v>171.3774521</c:v>
                </c:pt>
                <c:pt idx="216">
                  <c:v>171.3915221</c:v>
                </c:pt>
                <c:pt idx="217">
                  <c:v>171.4050225</c:v>
                </c:pt>
                <c:pt idx="218">
                  <c:v>171.41798019999999</c:v>
                </c:pt>
                <c:pt idx="219">
                  <c:v>171.4304205</c:v>
                </c:pt>
                <c:pt idx="220">
                  <c:v>171.44236710000001</c:v>
                </c:pt>
                <c:pt idx="221">
                  <c:v>171.4538427</c:v>
                </c:pt>
                <c:pt idx="222">
                  <c:v>171.4648684</c:v>
                </c:pt>
                <c:pt idx="223">
                  <c:v>171.47546439999999</c:v>
                </c:pt>
                <c:pt idx="224">
                  <c:v>171.48564949999999</c:v>
                </c:pt>
                <c:pt idx="225">
                  <c:v>171.49544180000001</c:v>
                </c:pt>
                <c:pt idx="226">
                  <c:v>171.5048583</c:v>
                </c:pt>
                <c:pt idx="227">
                  <c:v>171.51391509999999</c:v>
                </c:pt>
                <c:pt idx="228">
                  <c:v>171.5226274</c:v>
                </c:pt>
                <c:pt idx="229">
                  <c:v>171.53100979999999</c:v>
                </c:pt>
                <c:pt idx="230">
                  <c:v>171.53907609999999</c:v>
                </c:pt>
                <c:pt idx="231">
                  <c:v>171.54683940000001</c:v>
                </c:pt>
                <c:pt idx="232">
                  <c:v>171.5543121</c:v>
                </c:pt>
                <c:pt idx="233">
                  <c:v>171.56150600000001</c:v>
                </c:pt>
                <c:pt idx="234">
                  <c:v>171.56843259999999</c:v>
                </c:pt>
                <c:pt idx="235">
                  <c:v>171.57510239999999</c:v>
                </c:pt>
                <c:pt idx="236">
                  <c:v>171.58152580000001</c:v>
                </c:pt>
                <c:pt idx="237">
                  <c:v>171.5877126</c:v>
                </c:pt>
                <c:pt idx="238">
                  <c:v>171.59367209999999</c:v>
                </c:pt>
                <c:pt idx="239">
                  <c:v>171.59941319999999</c:v>
                </c:pt>
                <c:pt idx="240">
                  <c:v>171.60494439999999</c:v>
                </c:pt>
                <c:pt idx="241">
                  <c:v>171.61027379999999</c:v>
                </c:pt>
                <c:pt idx="242">
                  <c:v>171.61286530000001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23-4CC2-A3A5-10F176397FD4}"/>
            </c:ext>
          </c:extLst>
        </c:ser>
        <c:ser>
          <c:idx val="18"/>
          <c:order val="18"/>
          <c:tx>
            <c:v>P95 girls</c:v>
          </c:tx>
          <c:spPr>
            <a:ln w="6350" cap="rnd">
              <a:solidFill>
                <a:srgbClr val="FFC0CB">
                  <a:alpha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length4age!$B$245:$B$487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length4age!$M$245:$M$487</c:f>
              <c:numCache>
                <c:formatCode>General</c:formatCode>
                <c:ptCount val="243"/>
                <c:pt idx="0">
                  <c:v>53.772908778138486</c:v>
                </c:pt>
                <c:pt idx="1">
                  <c:v>55.960942258356916</c:v>
                </c:pt>
                <c:pt idx="2">
                  <c:v>59.389107340130749</c:v>
                </c:pt>
                <c:pt idx="3">
                  <c:v>62.151655786981593</c:v>
                </c:pt>
                <c:pt idx="4">
                  <c:v>64.528753258692944</c:v>
                </c:pt>
                <c:pt idx="5">
                  <c:v>66.646525556748202</c:v>
                </c:pt>
                <c:pt idx="6">
                  <c:v>68.574516066986661</c:v>
                </c:pt>
                <c:pt idx="7">
                  <c:v>70.355869074993691</c:v>
                </c:pt>
                <c:pt idx="8">
                  <c:v>72.019524546504115</c:v>
                </c:pt>
                <c:pt idx="9">
                  <c:v>73.586008064004389</c:v>
                </c:pt>
                <c:pt idx="10">
                  <c:v>75.070500875252549</c:v>
                </c:pt>
                <c:pt idx="11">
                  <c:v>76.48460494801607</c:v>
                </c:pt>
                <c:pt idx="12">
                  <c:v>77.837422851772288</c:v>
                </c:pt>
                <c:pt idx="13">
                  <c:v>79.136251913718183</c:v>
                </c:pt>
                <c:pt idx="14">
                  <c:v>80.387048595795946</c:v>
                </c:pt>
                <c:pt idx="15">
                  <c:v>81.594749856291926</c:v>
                </c:pt>
                <c:pt idx="16">
                  <c:v>82.763501742148236</c:v>
                </c:pt>
                <c:pt idx="17">
                  <c:v>83.896826111433583</c:v>
                </c:pt>
                <c:pt idx="18">
                  <c:v>84.997744690060316</c:v>
                </c:pt>
                <c:pt idx="19">
                  <c:v>86.068873158956748</c:v>
                </c:pt>
                <c:pt idx="20">
                  <c:v>87.112493628013169</c:v>
                </c:pt>
                <c:pt idx="21">
                  <c:v>88.130611284977363</c:v>
                </c:pt>
                <c:pt idx="22">
                  <c:v>89.124999252460725</c:v>
                </c:pt>
                <c:pt idx="23">
                  <c:v>90.097234540126905</c:v>
                </c:pt>
                <c:pt idx="24">
                  <c:v>91.048727519795364</c:v>
                </c:pt>
                <c:pt idx="25">
                  <c:v>90.663548710000001</c:v>
                </c:pt>
                <c:pt idx="26">
                  <c:v>91.127069710000001</c:v>
                </c:pt>
                <c:pt idx="27">
                  <c:v>92.121676309999998</c:v>
                </c:pt>
                <c:pt idx="28">
                  <c:v>93.082540820000006</c:v>
                </c:pt>
                <c:pt idx="29">
                  <c:v>94.008728189999999</c:v>
                </c:pt>
                <c:pt idx="30">
                  <c:v>94.899743639999997</c:v>
                </c:pt>
                <c:pt idx="31">
                  <c:v>95.755511709999993</c:v>
                </c:pt>
                <c:pt idx="32">
                  <c:v>96.576352529999994</c:v>
                </c:pt>
                <c:pt idx="33">
                  <c:v>97.362951030000005</c:v>
                </c:pt>
                <c:pt idx="34">
                  <c:v>98.116323420000001</c:v>
                </c:pt>
                <c:pt idx="35">
                  <c:v>98.837784170000006</c:v>
                </c:pt>
                <c:pt idx="36">
                  <c:v>99.528906980000002</c:v>
                </c:pt>
                <c:pt idx="37">
                  <c:v>100.191497</c:v>
                </c:pt>
                <c:pt idx="38">
                  <c:v>100.8275527</c:v>
                </c:pt>
                <c:pt idx="39">
                  <c:v>101.4726459</c:v>
                </c:pt>
                <c:pt idx="40">
                  <c:v>102.112939</c:v>
                </c:pt>
                <c:pt idx="41">
                  <c:v>102.7494191</c:v>
                </c:pt>
                <c:pt idx="42">
                  <c:v>103.3829734</c:v>
                </c:pt>
                <c:pt idx="43">
                  <c:v>104.0143944</c:v>
                </c:pt>
                <c:pt idx="44">
                  <c:v>104.6443859</c:v>
                </c:pt>
                <c:pt idx="45">
                  <c:v>105.27356760000001</c:v>
                </c:pt>
                <c:pt idx="46">
                  <c:v>105.90248029999999</c:v>
                </c:pt>
                <c:pt idx="47">
                  <c:v>106.5315907</c:v>
                </c:pt>
                <c:pt idx="48">
                  <c:v>107.16129599999999</c:v>
                </c:pt>
                <c:pt idx="49">
                  <c:v>107.7919282</c:v>
                </c:pt>
                <c:pt idx="50">
                  <c:v>108.4237579</c:v>
                </c:pt>
                <c:pt idx="51">
                  <c:v>109.0569988</c:v>
                </c:pt>
                <c:pt idx="52">
                  <c:v>109.6918111</c:v>
                </c:pt>
                <c:pt idx="53">
                  <c:v>110.3283052</c:v>
                </c:pt>
                <c:pt idx="54">
                  <c:v>110.9665451</c:v>
                </c:pt>
                <c:pt idx="55">
                  <c:v>111.60655149999999</c:v>
                </c:pt>
                <c:pt idx="56">
                  <c:v>112.2483051</c:v>
                </c:pt>
                <c:pt idx="57">
                  <c:v>112.8917498</c:v>
                </c:pt>
                <c:pt idx="58">
                  <c:v>113.536795</c:v>
                </c:pt>
                <c:pt idx="59">
                  <c:v>114.1833188</c:v>
                </c:pt>
                <c:pt idx="60">
                  <c:v>114.8311708</c:v>
                </c:pt>
                <c:pt idx="61">
                  <c:v>115.4801741</c:v>
                </c:pt>
                <c:pt idx="62">
                  <c:v>116.1301284</c:v>
                </c:pt>
                <c:pt idx="63">
                  <c:v>116.780812</c:v>
                </c:pt>
                <c:pt idx="64">
                  <c:v>117.43198460000001</c:v>
                </c:pt>
                <c:pt idx="65">
                  <c:v>118.0833889</c:v>
                </c:pt>
                <c:pt idx="66">
                  <c:v>118.7347537</c:v>
                </c:pt>
                <c:pt idx="67">
                  <c:v>119.3857953</c:v>
                </c:pt>
                <c:pt idx="68">
                  <c:v>120.03622</c:v>
                </c:pt>
                <c:pt idx="69">
                  <c:v>120.685726</c:v>
                </c:pt>
                <c:pt idx="70">
                  <c:v>121.33400570000001</c:v>
                </c:pt>
                <c:pt idx="71">
                  <c:v>121.9807474</c:v>
                </c:pt>
                <c:pt idx="72">
                  <c:v>122.62563609999999</c:v>
                </c:pt>
                <c:pt idx="73">
                  <c:v>123.2683596</c:v>
                </c:pt>
                <c:pt idx="74">
                  <c:v>123.9086035</c:v>
                </c:pt>
                <c:pt idx="75">
                  <c:v>124.5460585</c:v>
                </c:pt>
                <c:pt idx="76">
                  <c:v>125.18042029999999</c:v>
                </c:pt>
                <c:pt idx="77">
                  <c:v>125.8113907</c:v>
                </c:pt>
                <c:pt idx="78">
                  <c:v>126.4386798</c:v>
                </c:pt>
                <c:pt idx="79">
                  <c:v>127.0620077</c:v>
                </c:pt>
                <c:pt idx="80">
                  <c:v>127.6811055</c:v>
                </c:pt>
                <c:pt idx="81">
                  <c:v>128.2957169</c:v>
                </c:pt>
                <c:pt idx="82">
                  <c:v>128.90559999999999</c:v>
                </c:pt>
                <c:pt idx="83">
                  <c:v>129.51052809999999</c:v>
                </c:pt>
                <c:pt idx="84">
                  <c:v>130.11029139999999</c:v>
                </c:pt>
                <c:pt idx="85">
                  <c:v>130.7046982</c:v>
                </c:pt>
                <c:pt idx="86">
                  <c:v>131.2935761</c:v>
                </c:pt>
                <c:pt idx="87">
                  <c:v>131.87677299999999</c:v>
                </c:pt>
                <c:pt idx="88">
                  <c:v>132.45415869999999</c:v>
                </c:pt>
                <c:pt idx="89">
                  <c:v>133.02562599999999</c:v>
                </c:pt>
                <c:pt idx="90">
                  <c:v>133.59109119999999</c:v>
                </c:pt>
                <c:pt idx="91">
                  <c:v>134.150496</c:v>
                </c:pt>
                <c:pt idx="92">
                  <c:v>134.7038082</c:v>
                </c:pt>
                <c:pt idx="93">
                  <c:v>135.25102269999999</c:v>
                </c:pt>
                <c:pt idx="94">
                  <c:v>135.7921628</c:v>
                </c:pt>
                <c:pt idx="95">
                  <c:v>136.32728090000001</c:v>
                </c:pt>
                <c:pt idx="96">
                  <c:v>136.85645980000001</c:v>
                </c:pt>
                <c:pt idx="97">
                  <c:v>137.3798137</c:v>
                </c:pt>
                <c:pt idx="98">
                  <c:v>137.8974887</c:v>
                </c:pt>
                <c:pt idx="99">
                  <c:v>138.40966449999999</c:v>
                </c:pt>
                <c:pt idx="100">
                  <c:v>138.91655460000001</c:v>
                </c:pt>
                <c:pt idx="101">
                  <c:v>139.4184075</c:v>
                </c:pt>
                <c:pt idx="102">
                  <c:v>139.91550749999999</c:v>
                </c:pt>
                <c:pt idx="103">
                  <c:v>140.40817490000001</c:v>
                </c:pt>
                <c:pt idx="104">
                  <c:v>140.8967672</c:v>
                </c:pt>
                <c:pt idx="105">
                  <c:v>141.3816789</c:v>
                </c:pt>
                <c:pt idx="106">
                  <c:v>141.86334170000001</c:v>
                </c:pt>
                <c:pt idx="107">
                  <c:v>142.3422248</c:v>
                </c:pt>
                <c:pt idx="108">
                  <c:v>142.81883400000001</c:v>
                </c:pt>
                <c:pt idx="109">
                  <c:v>143.29371080000001</c:v>
                </c:pt>
                <c:pt idx="110">
                  <c:v>143.76743160000001</c:v>
                </c:pt>
                <c:pt idx="111">
                  <c:v>144.2406053</c:v>
                </c:pt>
                <c:pt idx="112">
                  <c:v>144.7138712</c:v>
                </c:pt>
                <c:pt idx="113">
                  <c:v>145.18789520000001</c:v>
                </c:pt>
                <c:pt idx="114">
                  <c:v>145.6633664</c:v>
                </c:pt>
                <c:pt idx="115">
                  <c:v>146.1409913</c:v>
                </c:pt>
                <c:pt idx="116">
                  <c:v>146.62148819999999</c:v>
                </c:pt>
                <c:pt idx="117">
                  <c:v>147.10557969999999</c:v>
                </c:pt>
                <c:pt idx="118">
                  <c:v>147.59398429999999</c:v>
                </c:pt>
                <c:pt idx="119">
                  <c:v>148.08740649999999</c:v>
                </c:pt>
                <c:pt idx="120">
                  <c:v>148.58652599999999</c:v>
                </c:pt>
                <c:pt idx="121">
                  <c:v>149.0919854</c:v>
                </c:pt>
                <c:pt idx="122">
                  <c:v>149.60437669999999</c:v>
                </c:pt>
                <c:pt idx="123">
                  <c:v>150.1242269</c:v>
                </c:pt>
                <c:pt idx="124">
                  <c:v>150.65198280000001</c:v>
                </c:pt>
                <c:pt idx="125">
                  <c:v>151.18799509999999</c:v>
                </c:pt>
                <c:pt idx="126">
                  <c:v>151.73250289999999</c:v>
                </c:pt>
                <c:pt idx="127">
                  <c:v>152.2856189</c:v>
                </c:pt>
                <c:pt idx="128">
                  <c:v>152.84731310000001</c:v>
                </c:pt>
                <c:pt idx="129">
                  <c:v>153.41740189999999</c:v>
                </c:pt>
                <c:pt idx="130">
                  <c:v>153.9955367</c:v>
                </c:pt>
                <c:pt idx="131">
                  <c:v>154.58119600000001</c:v>
                </c:pt>
                <c:pt idx="132">
                  <c:v>155.17368149999999</c:v>
                </c:pt>
                <c:pt idx="133">
                  <c:v>155.7721177</c:v>
                </c:pt>
                <c:pt idx="134">
                  <c:v>156.37545660000001</c:v>
                </c:pt>
                <c:pt idx="135">
                  <c:v>156.98248659999999</c:v>
                </c:pt>
                <c:pt idx="136">
                  <c:v>157.591847</c:v>
                </c:pt>
                <c:pt idx="137">
                  <c:v>158.20204659999999</c:v>
                </c:pt>
                <c:pt idx="138">
                  <c:v>158.81148659999999</c:v>
                </c:pt>
                <c:pt idx="139">
                  <c:v>159.4184879</c:v>
                </c:pt>
                <c:pt idx="140">
                  <c:v>160.02132159999999</c:v>
                </c:pt>
                <c:pt idx="141">
                  <c:v>160.6182378</c:v>
                </c:pt>
                <c:pt idx="142">
                  <c:v>161.2075007</c:v>
                </c:pt>
                <c:pt idx="143">
                  <c:v>161.78741819999999</c:v>
                </c:pt>
                <c:pt idx="144">
                  <c:v>162.35637539999999</c:v>
                </c:pt>
                <c:pt idx="145">
                  <c:v>162.9128551</c:v>
                </c:pt>
                <c:pt idx="146">
                  <c:v>163.4554684</c:v>
                </c:pt>
                <c:pt idx="147">
                  <c:v>163.98297049999999</c:v>
                </c:pt>
                <c:pt idx="148">
                  <c:v>164.49427639999999</c:v>
                </c:pt>
                <c:pt idx="149">
                  <c:v>164.98847050000001</c:v>
                </c:pt>
                <c:pt idx="150">
                  <c:v>165.46481180000001</c:v>
                </c:pt>
                <c:pt idx="151">
                  <c:v>165.92273449999999</c:v>
                </c:pt>
                <c:pt idx="152">
                  <c:v>166.36184449999999</c:v>
                </c:pt>
                <c:pt idx="153">
                  <c:v>166.78191229999999</c:v>
                </c:pt>
                <c:pt idx="154">
                  <c:v>167.18286269999999</c:v>
                </c:pt>
                <c:pt idx="155">
                  <c:v>167.56476309999999</c:v>
                </c:pt>
                <c:pt idx="156">
                  <c:v>167.92780930000001</c:v>
                </c:pt>
                <c:pt idx="157">
                  <c:v>168.27231040000001</c:v>
                </c:pt>
                <c:pt idx="158">
                  <c:v>168.59867360000001</c:v>
                </c:pt>
                <c:pt idx="159">
                  <c:v>168.90738920000001</c:v>
                </c:pt>
                <c:pt idx="160">
                  <c:v>169.1990151</c:v>
                </c:pt>
                <c:pt idx="161">
                  <c:v>169.474163</c:v>
                </c:pt>
                <c:pt idx="162">
                  <c:v>169.73348490000001</c:v>
                </c:pt>
                <c:pt idx="163">
                  <c:v>169.97766179999999</c:v>
                </c:pt>
                <c:pt idx="164">
                  <c:v>170.207392</c:v>
                </c:pt>
                <c:pt idx="165">
                  <c:v>170.42338219999999</c:v>
                </c:pt>
                <c:pt idx="166">
                  <c:v>170.62633919999999</c:v>
                </c:pt>
                <c:pt idx="167">
                  <c:v>170.81696289999999</c:v>
                </c:pt>
                <c:pt idx="168">
                  <c:v>170.99594070000001</c:v>
                </c:pt>
                <c:pt idx="169">
                  <c:v>171.1639423</c:v>
                </c:pt>
                <c:pt idx="170">
                  <c:v>171.32161740000001</c:v>
                </c:pt>
                <c:pt idx="171">
                  <c:v>171.46958900000001</c:v>
                </c:pt>
                <c:pt idx="172">
                  <c:v>171.60845789999999</c:v>
                </c:pt>
                <c:pt idx="173">
                  <c:v>171.7387957</c:v>
                </c:pt>
                <c:pt idx="174">
                  <c:v>171.86114610000001</c:v>
                </c:pt>
                <c:pt idx="175">
                  <c:v>171.97602420000001</c:v>
                </c:pt>
                <c:pt idx="176">
                  <c:v>172.0839168</c:v>
                </c:pt>
                <c:pt idx="177">
                  <c:v>172.18528240000001</c:v>
                </c:pt>
                <c:pt idx="178">
                  <c:v>172.28055140000001</c:v>
                </c:pt>
                <c:pt idx="179">
                  <c:v>172.37012970000001</c:v>
                </c:pt>
                <c:pt idx="180">
                  <c:v>172.45439569999999</c:v>
                </c:pt>
                <c:pt idx="181">
                  <c:v>172.53370380000001</c:v>
                </c:pt>
                <c:pt idx="182">
                  <c:v>172.6083849</c:v>
                </c:pt>
                <c:pt idx="183">
                  <c:v>172.6787478</c:v>
                </c:pt>
                <c:pt idx="184">
                  <c:v>172.74507990000001</c:v>
                </c:pt>
                <c:pt idx="185">
                  <c:v>172.80764909999999</c:v>
                </c:pt>
                <c:pt idx="186">
                  <c:v>172.8667045</c:v>
                </c:pt>
                <c:pt idx="187">
                  <c:v>172.9224777</c:v>
                </c:pt>
                <c:pt idx="188">
                  <c:v>172.9751838</c:v>
                </c:pt>
                <c:pt idx="189">
                  <c:v>173.025023</c:v>
                </c:pt>
                <c:pt idx="190">
                  <c:v>173.07218080000001</c:v>
                </c:pt>
                <c:pt idx="191">
                  <c:v>173.1168298</c:v>
                </c:pt>
                <c:pt idx="192">
                  <c:v>173.1591301</c:v>
                </c:pt>
                <c:pt idx="193">
                  <c:v>173.19923030000001</c:v>
                </c:pt>
                <c:pt idx="194">
                  <c:v>173.2372685</c:v>
                </c:pt>
                <c:pt idx="195">
                  <c:v>173.2733728</c:v>
                </c:pt>
                <c:pt idx="196">
                  <c:v>173.3076624</c:v>
                </c:pt>
                <c:pt idx="197">
                  <c:v>173.34024779999999</c:v>
                </c:pt>
                <c:pt idx="198">
                  <c:v>173.3712319</c:v>
                </c:pt>
                <c:pt idx="199">
                  <c:v>173.40071019999999</c:v>
                </c:pt>
                <c:pt idx="200">
                  <c:v>173.4287717</c:v>
                </c:pt>
                <c:pt idx="201">
                  <c:v>173.455499</c:v>
                </c:pt>
                <c:pt idx="202">
                  <c:v>173.48096910000001</c:v>
                </c:pt>
                <c:pt idx="203">
                  <c:v>173.50525379999999</c:v>
                </c:pt>
                <c:pt idx="204">
                  <c:v>173.52841979999999</c:v>
                </c:pt>
                <c:pt idx="205">
                  <c:v>173.5505296</c:v>
                </c:pt>
                <c:pt idx="206">
                  <c:v>173.57164109999999</c:v>
                </c:pt>
                <c:pt idx="207">
                  <c:v>173.5918087</c:v>
                </c:pt>
                <c:pt idx="208">
                  <c:v>173.6110831</c:v>
                </c:pt>
                <c:pt idx="209">
                  <c:v>173.62951169999999</c:v>
                </c:pt>
                <c:pt idx="210">
                  <c:v>173.64713889999999</c:v>
                </c:pt>
                <c:pt idx="211">
                  <c:v>173.66400609999999</c:v>
                </c:pt>
                <c:pt idx="212">
                  <c:v>173.68015220000001</c:v>
                </c:pt>
                <c:pt idx="213">
                  <c:v>173.69561379999999</c:v>
                </c:pt>
                <c:pt idx="214">
                  <c:v>173.71042499999999</c:v>
                </c:pt>
                <c:pt idx="215">
                  <c:v>173.7246179</c:v>
                </c:pt>
                <c:pt idx="216">
                  <c:v>173.73822279999999</c:v>
                </c:pt>
                <c:pt idx="217">
                  <c:v>173.75126800000001</c:v>
                </c:pt>
                <c:pt idx="218">
                  <c:v>173.76378020000001</c:v>
                </c:pt>
                <c:pt idx="219">
                  <c:v>173.7757847</c:v>
                </c:pt>
                <c:pt idx="220">
                  <c:v>173.787305</c:v>
                </c:pt>
                <c:pt idx="221">
                  <c:v>173.79836359999999</c:v>
                </c:pt>
                <c:pt idx="222">
                  <c:v>173.80898160000001</c:v>
                </c:pt>
                <c:pt idx="223">
                  <c:v>173.8191789</c:v>
                </c:pt>
                <c:pt idx="224">
                  <c:v>173.82897439999999</c:v>
                </c:pt>
                <c:pt idx="225">
                  <c:v>173.8383858</c:v>
                </c:pt>
                <c:pt idx="226">
                  <c:v>173.84743019999999</c:v>
                </c:pt>
                <c:pt idx="227">
                  <c:v>173.8561235</c:v>
                </c:pt>
                <c:pt idx="228">
                  <c:v>173.8644808</c:v>
                </c:pt>
                <c:pt idx="229">
                  <c:v>173.87251660000001</c:v>
                </c:pt>
                <c:pt idx="230">
                  <c:v>173.8802445</c:v>
                </c:pt>
                <c:pt idx="231">
                  <c:v>173.8876774</c:v>
                </c:pt>
                <c:pt idx="232">
                  <c:v>173.89482770000001</c:v>
                </c:pt>
                <c:pt idx="233">
                  <c:v>173.90170710000001</c:v>
                </c:pt>
                <c:pt idx="234">
                  <c:v>173.9083268</c:v>
                </c:pt>
                <c:pt idx="235">
                  <c:v>173.9146973</c:v>
                </c:pt>
                <c:pt idx="236">
                  <c:v>173.9208289</c:v>
                </c:pt>
                <c:pt idx="237">
                  <c:v>173.92673110000001</c:v>
                </c:pt>
                <c:pt idx="238">
                  <c:v>173.93241320000001</c:v>
                </c:pt>
                <c:pt idx="239">
                  <c:v>173.9378839</c:v>
                </c:pt>
                <c:pt idx="240">
                  <c:v>173.94315169999999</c:v>
                </c:pt>
                <c:pt idx="241">
                  <c:v>173.94822439999999</c:v>
                </c:pt>
                <c:pt idx="242">
                  <c:v>173.9506901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23-4CC2-A3A5-10F176397FD4}"/>
            </c:ext>
          </c:extLst>
        </c:ser>
        <c:ser>
          <c:idx val="19"/>
          <c:order val="19"/>
          <c:tx>
            <c:v>P97 girls</c:v>
          </c:tx>
          <c:spPr>
            <a:ln w="9525" cap="rnd">
              <a:solidFill>
                <a:srgbClr val="FFC0CB">
                  <a:alpha val="2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length4age!$B$245:$B$487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length4age!$N$245:$N$487</c:f>
              <c:numCache>
                <c:formatCode>General</c:formatCode>
                <c:ptCount val="243"/>
                <c:pt idx="0">
                  <c:v>54.495273640368801</c:v>
                </c:pt>
                <c:pt idx="1">
                  <c:v>56.627280630005593</c:v>
                </c:pt>
                <c:pt idx="2">
                  <c:v>60.003377712664744</c:v>
                </c:pt>
                <c:pt idx="3">
                  <c:v>62.745469972374693</c:v>
                </c:pt>
                <c:pt idx="4">
                  <c:v>65.115773002808027</c:v>
                </c:pt>
                <c:pt idx="5">
                  <c:v>67.233977412166539</c:v>
                </c:pt>
                <c:pt idx="6">
                  <c:v>69.166676189482189</c:v>
                </c:pt>
                <c:pt idx="7">
                  <c:v>70.955454592505447</c:v>
                </c:pt>
                <c:pt idx="8">
                  <c:v>72.628347498004672</c:v>
                </c:pt>
                <c:pt idx="9">
                  <c:v>74.205318368479169</c:v>
                </c:pt>
                <c:pt idx="10">
                  <c:v>75.701181126368013</c:v>
                </c:pt>
                <c:pt idx="11">
                  <c:v>77.127287985903948</c:v>
                </c:pt>
                <c:pt idx="12">
                  <c:v>78.492566224792668</c:v>
                </c:pt>
                <c:pt idx="13">
                  <c:v>79.80418692509808</c:v>
                </c:pt>
                <c:pt idx="14">
                  <c:v>81.068013664563466</c:v>
                </c:pt>
                <c:pt idx="15">
                  <c:v>82.288913848706486</c:v>
                </c:pt>
                <c:pt idx="16">
                  <c:v>83.470980662383752</c:v>
                </c:pt>
                <c:pt idx="17">
                  <c:v>84.617695293096531</c:v>
                </c:pt>
                <c:pt idx="18">
                  <c:v>85.732047851903303</c:v>
                </c:pt>
                <c:pt idx="19">
                  <c:v>86.816629239480221</c:v>
                </c:pt>
                <c:pt idx="20">
                  <c:v>87.87370200947133</c:v>
                </c:pt>
                <c:pt idx="21">
                  <c:v>88.905255835732802</c:v>
                </c:pt>
                <c:pt idx="22">
                  <c:v>89.913051487192448</c:v>
                </c:pt>
                <c:pt idx="23">
                  <c:v>90.898656117558261</c:v>
                </c:pt>
                <c:pt idx="24">
                  <c:v>91.863472638030657</c:v>
                </c:pt>
                <c:pt idx="25">
                  <c:v>91.477286890000002</c:v>
                </c:pt>
                <c:pt idx="26">
                  <c:v>91.947412249999999</c:v>
                </c:pt>
                <c:pt idx="27">
                  <c:v>92.956849750000003</c:v>
                </c:pt>
                <c:pt idx="28">
                  <c:v>93.932091200000002</c:v>
                </c:pt>
                <c:pt idx="29">
                  <c:v>94.872146610000001</c:v>
                </c:pt>
                <c:pt idx="30">
                  <c:v>95.776493389999999</c:v>
                </c:pt>
                <c:pt idx="31">
                  <c:v>96.645047120000001</c:v>
                </c:pt>
                <c:pt idx="32">
                  <c:v>97.478135280000004</c:v>
                </c:pt>
                <c:pt idx="33">
                  <c:v>98.276462640000005</c:v>
                </c:pt>
                <c:pt idx="34">
                  <c:v>99.041074350000002</c:v>
                </c:pt>
                <c:pt idx="35">
                  <c:v>99.773321659999993</c:v>
                </c:pt>
                <c:pt idx="36">
                  <c:v>100.47481639999999</c:v>
                </c:pt>
                <c:pt idx="37">
                  <c:v>101.1474075</c:v>
                </c:pt>
                <c:pt idx="38">
                  <c:v>101.7931359</c:v>
                </c:pt>
                <c:pt idx="39">
                  <c:v>102.448488</c:v>
                </c:pt>
                <c:pt idx="40">
                  <c:v>103.0991159</c:v>
                </c:pt>
                <c:pt idx="41">
                  <c:v>103.7460086</c:v>
                </c:pt>
                <c:pt idx="42">
                  <c:v>104.3900531</c:v>
                </c:pt>
                <c:pt idx="43">
                  <c:v>105.03204049999999</c:v>
                </c:pt>
                <c:pt idx="44">
                  <c:v>105.6726719</c:v>
                </c:pt>
                <c:pt idx="45">
                  <c:v>106.31256329999999</c:v>
                </c:pt>
                <c:pt idx="46">
                  <c:v>106.9522508</c:v>
                </c:pt>
                <c:pt idx="47">
                  <c:v>107.59219589999999</c:v>
                </c:pt>
                <c:pt idx="48">
                  <c:v>108.2327896</c:v>
                </c:pt>
                <c:pt idx="49">
                  <c:v>108.8743573</c:v>
                </c:pt>
                <c:pt idx="50">
                  <c:v>109.5171624</c:v>
                </c:pt>
                <c:pt idx="51">
                  <c:v>110.1614111</c:v>
                </c:pt>
                <c:pt idx="52">
                  <c:v>110.8072554</c:v>
                </c:pt>
                <c:pt idx="53">
                  <c:v>111.45479709999999</c:v>
                </c:pt>
                <c:pt idx="54">
                  <c:v>112.1040915</c:v>
                </c:pt>
                <c:pt idx="55">
                  <c:v>112.75515009999999</c:v>
                </c:pt>
                <c:pt idx="56">
                  <c:v>113.4079442</c:v>
                </c:pt>
                <c:pt idx="57">
                  <c:v>114.0624076</c:v>
                </c:pt>
                <c:pt idx="58">
                  <c:v>114.7184401</c:v>
                </c:pt>
                <c:pt idx="59">
                  <c:v>115.3759096</c:v>
                </c:pt>
                <c:pt idx="60">
                  <c:v>116.0346553</c:v>
                </c:pt>
                <c:pt idx="61">
                  <c:v>116.6944901</c:v>
                </c:pt>
                <c:pt idx="62">
                  <c:v>117.35520320000001</c:v>
                </c:pt>
                <c:pt idx="63">
                  <c:v>118.0165629</c:v>
                </c:pt>
                <c:pt idx="64">
                  <c:v>118.6783183</c:v>
                </c:pt>
                <c:pt idx="65">
                  <c:v>119.3402023</c:v>
                </c:pt>
                <c:pt idx="66">
                  <c:v>120.0019338</c:v>
                </c:pt>
                <c:pt idx="67">
                  <c:v>120.6632194</c:v>
                </c:pt>
                <c:pt idx="68">
                  <c:v>121.32375639999999</c:v>
                </c:pt>
                <c:pt idx="69">
                  <c:v>121.9832342</c:v>
                </c:pt>
                <c:pt idx="70">
                  <c:v>122.6413368</c:v>
                </c:pt>
                <c:pt idx="71">
                  <c:v>123.29774500000001</c:v>
                </c:pt>
                <c:pt idx="72">
                  <c:v>123.95213529999999</c:v>
                </c:pt>
                <c:pt idx="73">
                  <c:v>124.60419159999999</c:v>
                </c:pt>
                <c:pt idx="74">
                  <c:v>125.25359159999999</c:v>
                </c:pt>
                <c:pt idx="75">
                  <c:v>125.9000218</c:v>
                </c:pt>
                <c:pt idx="76">
                  <c:v>126.54317349999999</c:v>
                </c:pt>
                <c:pt idx="77">
                  <c:v>127.18274529999999</c:v>
                </c:pt>
                <c:pt idx="78">
                  <c:v>127.81844510000001</c:v>
                </c:pt>
                <c:pt idx="79">
                  <c:v>128.44999139999999</c:v>
                </c:pt>
                <c:pt idx="80">
                  <c:v>129.0771148</c:v>
                </c:pt>
                <c:pt idx="81">
                  <c:v>129.69955999999999</c:v>
                </c:pt>
                <c:pt idx="82">
                  <c:v>130.3170863</c:v>
                </c:pt>
                <c:pt idx="83">
                  <c:v>130.9294701</c:v>
                </c:pt>
                <c:pt idx="84">
                  <c:v>131.53650529999999</c:v>
                </c:pt>
                <c:pt idx="85">
                  <c:v>132.13800520000001</c:v>
                </c:pt>
                <c:pt idx="86">
                  <c:v>132.73380330000001</c:v>
                </c:pt>
                <c:pt idx="87">
                  <c:v>133.32375500000001</c:v>
                </c:pt>
                <c:pt idx="88">
                  <c:v>133.90773830000001</c:v>
                </c:pt>
                <c:pt idx="89">
                  <c:v>134.4856552</c:v>
                </c:pt>
                <c:pt idx="90">
                  <c:v>135.05743279999999</c:v>
                </c:pt>
                <c:pt idx="91">
                  <c:v>135.62302450000001</c:v>
                </c:pt>
                <c:pt idx="92">
                  <c:v>136.18241069999999</c:v>
                </c:pt>
                <c:pt idx="93">
                  <c:v>136.73560000000001</c:v>
                </c:pt>
                <c:pt idx="94">
                  <c:v>137.2826306</c:v>
                </c:pt>
                <c:pt idx="95">
                  <c:v>137.8235707</c:v>
                </c:pt>
                <c:pt idx="96">
                  <c:v>138.35851969999999</c:v>
                </c:pt>
                <c:pt idx="97">
                  <c:v>138.88760920000001</c:v>
                </c:pt>
                <c:pt idx="98">
                  <c:v>139.41100399999999</c:v>
                </c:pt>
                <c:pt idx="99">
                  <c:v>139.9289024</c:v>
                </c:pt>
                <c:pt idx="100">
                  <c:v>140.44153779999999</c:v>
                </c:pt>
                <c:pt idx="101">
                  <c:v>140.94917849999999</c:v>
                </c:pt>
                <c:pt idx="102">
                  <c:v>141.4521292</c:v>
                </c:pt>
                <c:pt idx="103">
                  <c:v>141.9507308</c:v>
                </c:pt>
                <c:pt idx="104">
                  <c:v>142.4453609</c:v>
                </c:pt>
                <c:pt idx="105">
                  <c:v>142.93643399999999</c:v>
                </c:pt>
                <c:pt idx="106">
                  <c:v>143.4244013</c:v>
                </c:pt>
                <c:pt idx="107">
                  <c:v>143.90975019999999</c:v>
                </c:pt>
                <c:pt idx="108">
                  <c:v>144.3930034</c:v>
                </c:pt>
                <c:pt idx="109">
                  <c:v>144.87471790000001</c:v>
                </c:pt>
                <c:pt idx="110">
                  <c:v>145.3554829</c:v>
                </c:pt>
                <c:pt idx="111">
                  <c:v>145.83591730000001</c:v>
                </c:pt>
                <c:pt idx="112">
                  <c:v>146.31666709999999</c:v>
                </c:pt>
                <c:pt idx="113">
                  <c:v>146.79840100000001</c:v>
                </c:pt>
                <c:pt idx="114">
                  <c:v>147.28180570000001</c:v>
                </c:pt>
                <c:pt idx="115">
                  <c:v>147.76758029999999</c:v>
                </c:pt>
                <c:pt idx="116">
                  <c:v>148.25642920000001</c:v>
                </c:pt>
                <c:pt idx="117">
                  <c:v>148.74905430000001</c:v>
                </c:pt>
                <c:pt idx="118">
                  <c:v>149.24614560000001</c:v>
                </c:pt>
                <c:pt idx="119">
                  <c:v>149.7483713</c:v>
                </c:pt>
                <c:pt idx="120">
                  <c:v>150.25636560000001</c:v>
                </c:pt>
                <c:pt idx="121">
                  <c:v>150.7707169</c:v>
                </c:pt>
                <c:pt idx="122">
                  <c:v>151.29195340000001</c:v>
                </c:pt>
                <c:pt idx="123">
                  <c:v>151.82052970000001</c:v>
                </c:pt>
                <c:pt idx="124">
                  <c:v>152.3568114</c:v>
                </c:pt>
                <c:pt idx="125">
                  <c:v>152.90106030000001</c:v>
                </c:pt>
                <c:pt idx="126">
                  <c:v>153.45342009999999</c:v>
                </c:pt>
                <c:pt idx="127">
                  <c:v>154.0139039</c:v>
                </c:pt>
                <c:pt idx="128">
                  <c:v>154.5823786</c:v>
                </c:pt>
                <c:pt idx="129">
                  <c:v>155.15855780000001</c:v>
                </c:pt>
                <c:pt idx="130">
                  <c:v>155.74199300000001</c:v>
                </c:pt>
                <c:pt idx="131">
                  <c:v>156.33206860000001</c:v>
                </c:pt>
                <c:pt idx="132">
                  <c:v>156.92800120000001</c:v>
                </c:pt>
                <c:pt idx="133">
                  <c:v>157.5288429</c:v>
                </c:pt>
                <c:pt idx="134">
                  <c:v>158.13348859999999</c:v>
                </c:pt>
                <c:pt idx="135">
                  <c:v>158.74068800000001</c:v>
                </c:pt>
                <c:pt idx="136">
                  <c:v>159.34906179999999</c:v>
                </c:pt>
                <c:pt idx="137">
                  <c:v>159.95712230000001</c:v>
                </c:pt>
                <c:pt idx="138">
                  <c:v>160.56329690000001</c:v>
                </c:pt>
                <c:pt idx="139">
                  <c:v>161.1659545</c:v>
                </c:pt>
                <c:pt idx="140">
                  <c:v>161.7634371</c:v>
                </c:pt>
                <c:pt idx="141">
                  <c:v>162.3540831</c:v>
                </c:pt>
                <c:pt idx="142">
                  <c:v>162.9362629</c:v>
                </c:pt>
                <c:pt idx="143">
                  <c:v>163.5084028</c:v>
                </c:pt>
                <c:pt idx="144">
                  <c:v>164.06901809999999</c:v>
                </c:pt>
                <c:pt idx="145">
                  <c:v>164.61672340000001</c:v>
                </c:pt>
                <c:pt idx="146">
                  <c:v>165.15026470000001</c:v>
                </c:pt>
                <c:pt idx="147">
                  <c:v>165.66852850000001</c:v>
                </c:pt>
                <c:pt idx="148">
                  <c:v>166.17055389999999</c:v>
                </c:pt>
                <c:pt idx="149">
                  <c:v>166.6555396</c:v>
                </c:pt>
                <c:pt idx="150">
                  <c:v>167.12284589999999</c:v>
                </c:pt>
                <c:pt idx="151">
                  <c:v>167.5719943</c:v>
                </c:pt>
                <c:pt idx="152">
                  <c:v>168.0026622</c:v>
                </c:pt>
                <c:pt idx="153">
                  <c:v>168.41467589999999</c:v>
                </c:pt>
                <c:pt idx="154">
                  <c:v>168.80800120000001</c:v>
                </c:pt>
                <c:pt idx="155">
                  <c:v>169.18273170000001</c:v>
                </c:pt>
                <c:pt idx="156">
                  <c:v>169.53907659999999</c:v>
                </c:pt>
                <c:pt idx="157">
                  <c:v>169.87734710000001</c:v>
                </c:pt>
                <c:pt idx="158">
                  <c:v>170.1979436</c:v>
                </c:pt>
                <c:pt idx="159">
                  <c:v>170.5013414</c:v>
                </c:pt>
                <c:pt idx="160">
                  <c:v>170.78807839999999</c:v>
                </c:pt>
                <c:pt idx="161">
                  <c:v>171.0587419</c:v>
                </c:pt>
                <c:pt idx="162">
                  <c:v>171.31395749999999</c:v>
                </c:pt>
                <c:pt idx="163">
                  <c:v>171.5543778</c:v>
                </c:pt>
                <c:pt idx="164">
                  <c:v>171.78067300000001</c:v>
                </c:pt>
                <c:pt idx="165">
                  <c:v>171.99352189999999</c:v>
                </c:pt>
                <c:pt idx="166">
                  <c:v>172.19360470000001</c:v>
                </c:pt>
                <c:pt idx="167">
                  <c:v>172.38159590000001</c:v>
                </c:pt>
                <c:pt idx="168">
                  <c:v>172.55815910000001</c:v>
                </c:pt>
                <c:pt idx="169">
                  <c:v>172.72394259999999</c:v>
                </c:pt>
                <c:pt idx="170">
                  <c:v>172.87957639999999</c:v>
                </c:pt>
                <c:pt idx="171">
                  <c:v>173.02566379999999</c:v>
                </c:pt>
                <c:pt idx="172">
                  <c:v>173.16279059999999</c:v>
                </c:pt>
                <c:pt idx="173">
                  <c:v>173.29151379999999</c:v>
                </c:pt>
                <c:pt idx="174">
                  <c:v>173.4123635</c:v>
                </c:pt>
                <c:pt idx="175">
                  <c:v>173.5258431</c:v>
                </c:pt>
                <c:pt idx="176">
                  <c:v>173.63242869999999</c:v>
                </c:pt>
                <c:pt idx="177">
                  <c:v>173.73256939999999</c:v>
                </c:pt>
                <c:pt idx="178">
                  <c:v>173.82668630000001</c:v>
                </c:pt>
                <c:pt idx="179">
                  <c:v>173.91517880000001</c:v>
                </c:pt>
                <c:pt idx="180">
                  <c:v>173.99841850000001</c:v>
                </c:pt>
                <c:pt idx="181">
                  <c:v>174.07675380000001</c:v>
                </c:pt>
                <c:pt idx="182">
                  <c:v>174.15051020000001</c:v>
                </c:pt>
                <c:pt idx="183">
                  <c:v>174.2199918</c:v>
                </c:pt>
                <c:pt idx="184">
                  <c:v>174.28548190000001</c:v>
                </c:pt>
                <c:pt idx="185">
                  <c:v>174.3472447</c:v>
                </c:pt>
                <c:pt idx="186">
                  <c:v>174.40552600000001</c:v>
                </c:pt>
                <c:pt idx="187">
                  <c:v>174.4605545</c:v>
                </c:pt>
                <c:pt idx="188">
                  <c:v>174.51254280000001</c:v>
                </c:pt>
                <c:pt idx="189">
                  <c:v>174.5616886</c:v>
                </c:pt>
                <c:pt idx="190">
                  <c:v>174.6081757</c:v>
                </c:pt>
                <c:pt idx="191">
                  <c:v>174.65217469999999</c:v>
                </c:pt>
                <c:pt idx="192">
                  <c:v>174.6938442</c:v>
                </c:pt>
                <c:pt idx="193">
                  <c:v>174.7333314</c:v>
                </c:pt>
                <c:pt idx="194">
                  <c:v>174.77077320000001</c:v>
                </c:pt>
                <c:pt idx="195">
                  <c:v>174.80629669999999</c:v>
                </c:pt>
                <c:pt idx="196">
                  <c:v>174.8400201</c:v>
                </c:pt>
                <c:pt idx="197">
                  <c:v>174.87205320000001</c:v>
                </c:pt>
                <c:pt idx="198">
                  <c:v>174.90249800000001</c:v>
                </c:pt>
                <c:pt idx="199">
                  <c:v>174.93144939999999</c:v>
                </c:pt>
                <c:pt idx="200">
                  <c:v>174.95899589999999</c:v>
                </c:pt>
                <c:pt idx="201">
                  <c:v>174.98521969999999</c:v>
                </c:pt>
                <c:pt idx="202">
                  <c:v>175.01019729999999</c:v>
                </c:pt>
                <c:pt idx="203">
                  <c:v>175.03399999999999</c:v>
                </c:pt>
                <c:pt idx="204">
                  <c:v>175.0566944</c:v>
                </c:pt>
                <c:pt idx="205">
                  <c:v>175.0783424</c:v>
                </c:pt>
                <c:pt idx="206">
                  <c:v>175.09900200000001</c:v>
                </c:pt>
                <c:pt idx="207">
                  <c:v>175.1187272</c:v>
                </c:pt>
                <c:pt idx="208">
                  <c:v>175.13756849999999</c:v>
                </c:pt>
                <c:pt idx="209">
                  <c:v>175.155573</c:v>
                </c:pt>
                <c:pt idx="210">
                  <c:v>175.1727851</c:v>
                </c:pt>
                <c:pt idx="211">
                  <c:v>175.1892459</c:v>
                </c:pt>
                <c:pt idx="212">
                  <c:v>175.2049944</c:v>
                </c:pt>
                <c:pt idx="213">
                  <c:v>175.22006669999999</c:v>
                </c:pt>
                <c:pt idx="214">
                  <c:v>175.2344971</c:v>
                </c:pt>
                <c:pt idx="215">
                  <c:v>175.24831739999999</c:v>
                </c:pt>
                <c:pt idx="216">
                  <c:v>175.2615577</c:v>
                </c:pt>
                <c:pt idx="217">
                  <c:v>175.27424640000001</c:v>
                </c:pt>
                <c:pt idx="218">
                  <c:v>175.28641010000001</c:v>
                </c:pt>
                <c:pt idx="219">
                  <c:v>175.29807360000001</c:v>
                </c:pt>
                <c:pt idx="220">
                  <c:v>175.3092608</c:v>
                </c:pt>
                <c:pt idx="221">
                  <c:v>175.31999379999999</c:v>
                </c:pt>
                <c:pt idx="222">
                  <c:v>175.3302936</c:v>
                </c:pt>
                <c:pt idx="223">
                  <c:v>175.3401801</c:v>
                </c:pt>
                <c:pt idx="224">
                  <c:v>175.349672</c:v>
                </c:pt>
                <c:pt idx="225">
                  <c:v>175.35878700000001</c:v>
                </c:pt>
                <c:pt idx="226">
                  <c:v>175.36754199999999</c:v>
                </c:pt>
                <c:pt idx="227">
                  <c:v>175.3759527</c:v>
                </c:pt>
                <c:pt idx="228">
                  <c:v>175.3840343</c:v>
                </c:pt>
                <c:pt idx="229">
                  <c:v>175.39180099999999</c:v>
                </c:pt>
                <c:pt idx="230">
                  <c:v>175.39926639999999</c:v>
                </c:pt>
                <c:pt idx="231">
                  <c:v>175.40644330000001</c:v>
                </c:pt>
                <c:pt idx="232">
                  <c:v>175.4133439</c:v>
                </c:pt>
                <c:pt idx="233">
                  <c:v>175.41997989999999</c:v>
                </c:pt>
                <c:pt idx="234">
                  <c:v>175.42636229999999</c:v>
                </c:pt>
                <c:pt idx="235">
                  <c:v>175.4325015</c:v>
                </c:pt>
                <c:pt idx="236">
                  <c:v>175.43840760000001</c:v>
                </c:pt>
                <c:pt idx="237">
                  <c:v>175.44409020000001</c:v>
                </c:pt>
                <c:pt idx="238">
                  <c:v>175.44955830000001</c:v>
                </c:pt>
                <c:pt idx="239">
                  <c:v>175.45482060000001</c:v>
                </c:pt>
                <c:pt idx="240">
                  <c:v>175.4598853</c:v>
                </c:pt>
                <c:pt idx="241">
                  <c:v>175.46476039999999</c:v>
                </c:pt>
                <c:pt idx="242">
                  <c:v>175.46712919999999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23-4CC2-A3A5-10F176397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691968"/>
        <c:axId val="1597695296"/>
      </c:scatterChart>
      <c:valAx>
        <c:axId val="159769196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yr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695296"/>
        <c:crosses val="autoZero"/>
        <c:crossBetween val="midCat"/>
        <c:majorUnit val="2"/>
        <c:minorUnit val="0.25"/>
      </c:valAx>
      <c:valAx>
        <c:axId val="1597695296"/>
        <c:scaling>
          <c:orientation val="minMax"/>
          <c:max val="20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cm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691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weight(age)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measurements1!$B$1</c:f>
              <c:strCache>
                <c:ptCount val="1"/>
                <c:pt idx="0">
                  <c:v>boy1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measurements1!$C$5:$C$7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measurements1!$D$5:$D$7</c:f>
              <c:numCache>
                <c:formatCode>0.000\ "kg"</c:formatCode>
                <c:ptCount val="3"/>
                <c:pt idx="0">
                  <c:v>3.5</c:v>
                </c:pt>
                <c:pt idx="1">
                  <c:v>10</c:v>
                </c:pt>
                <c:pt idx="2">
                  <c:v>12.5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0F-462B-A57B-FCC97BC6EE07}"/>
            </c:ext>
          </c:extLst>
        </c:ser>
        <c:ser>
          <c:idx val="10"/>
          <c:order val="1"/>
          <c:tx>
            <c:strRef>
              <c:f>measurements2!$B$1</c:f>
              <c:strCache>
                <c:ptCount val="1"/>
                <c:pt idx="0">
                  <c:v>boy2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measurements2!$C$5:$C$7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measurements2!$D$5:$D$7</c:f>
              <c:numCache>
                <c:formatCode>0.000\ "kg"</c:formatCode>
                <c:ptCount val="3"/>
                <c:pt idx="0">
                  <c:v>3.5</c:v>
                </c:pt>
                <c:pt idx="1">
                  <c:v>10.5</c:v>
                </c:pt>
                <c:pt idx="2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89-41DD-8520-BF5506839FE5}"/>
            </c:ext>
          </c:extLst>
        </c:ser>
        <c:ser>
          <c:idx val="2"/>
          <c:order val="2"/>
          <c:tx>
            <c:v>P3 boys</c:v>
          </c:tx>
          <c:spPr>
            <a:ln w="635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weight4age!$B$2:$B$244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weight4age!$F$2:$F$244</c:f>
              <c:numCache>
                <c:formatCode>General</c:formatCode>
                <c:ptCount val="243"/>
                <c:pt idx="0">
                  <c:v>2.3554509860000001</c:v>
                </c:pt>
                <c:pt idx="1">
                  <c:v>2.7995486409999999</c:v>
                </c:pt>
                <c:pt idx="2">
                  <c:v>3.6146880719999999</c:v>
                </c:pt>
                <c:pt idx="3">
                  <c:v>4.3423414500000002</c:v>
                </c:pt>
                <c:pt idx="4">
                  <c:v>4.9928978959999997</c:v>
                </c:pt>
                <c:pt idx="5">
                  <c:v>5.575169066</c:v>
                </c:pt>
                <c:pt idx="6">
                  <c:v>6.0967752739999996</c:v>
                </c:pt>
                <c:pt idx="7">
                  <c:v>6.564430346</c:v>
                </c:pt>
                <c:pt idx="8">
                  <c:v>6.9841233379999998</c:v>
                </c:pt>
                <c:pt idx="9">
                  <c:v>7.3612361159999997</c:v>
                </c:pt>
                <c:pt idx="10">
                  <c:v>7.7006244050000001</c:v>
                </c:pt>
                <c:pt idx="11">
                  <c:v>8.0066774469999995</c:v>
                </c:pt>
                <c:pt idx="12">
                  <c:v>8.2833648550000003</c:v>
                </c:pt>
                <c:pt idx="13">
                  <c:v>8.5342750279999997</c:v>
                </c:pt>
                <c:pt idx="14">
                  <c:v>8.7626485820000006</c:v>
                </c:pt>
                <c:pt idx="15">
                  <c:v>8.9714072869999999</c:v>
                </c:pt>
                <c:pt idx="16">
                  <c:v>9.1631803170000001</c:v>
                </c:pt>
                <c:pt idx="17">
                  <c:v>9.3403280679999998</c:v>
                </c:pt>
                <c:pt idx="18">
                  <c:v>9.5049640140000005</c:v>
                </c:pt>
                <c:pt idx="19">
                  <c:v>9.658974787</c:v>
                </c:pt>
                <c:pt idx="20">
                  <c:v>9.8040391089999996</c:v>
                </c:pt>
                <c:pt idx="21">
                  <c:v>9.941644878</c:v>
                </c:pt>
                <c:pt idx="22">
                  <c:v>10.07310549</c:v>
                </c:pt>
                <c:pt idx="23">
                  <c:v>10.19957488</c:v>
                </c:pt>
                <c:pt idx="24">
                  <c:v>10.32206165</c:v>
                </c:pt>
                <c:pt idx="25">
                  <c:v>10.382090249999999</c:v>
                </c:pt>
                <c:pt idx="26">
                  <c:v>10.441442199999999</c:v>
                </c:pt>
                <c:pt idx="27">
                  <c:v>10.55847309</c:v>
                </c:pt>
                <c:pt idx="28">
                  <c:v>10.673802609999999</c:v>
                </c:pt>
                <c:pt idx="29">
                  <c:v>10.787981569999999</c:v>
                </c:pt>
                <c:pt idx="30">
                  <c:v>10.90147346</c:v>
                </c:pt>
                <c:pt idx="31">
                  <c:v>11.014663949999999</c:v>
                </c:pt>
                <c:pt idx="32">
                  <c:v>11.12786972</c:v>
                </c:pt>
                <c:pt idx="33">
                  <c:v>11.24134752</c:v>
                </c:pt>
                <c:pt idx="34">
                  <c:v>11.3552982</c:v>
                </c:pt>
                <c:pt idx="35">
                  <c:v>11.46987889</c:v>
                </c:pt>
                <c:pt idx="36">
                  <c:v>11.58520959</c:v>
                </c:pt>
                <c:pt idx="37">
                  <c:v>11.70137143</c:v>
                </c:pt>
                <c:pt idx="38">
                  <c:v>11.818422139999999</c:v>
                </c:pt>
                <c:pt idx="39">
                  <c:v>11.93639129</c:v>
                </c:pt>
                <c:pt idx="40">
                  <c:v>12.055292769999999</c:v>
                </c:pt>
                <c:pt idx="41">
                  <c:v>12.17512305</c:v>
                </c:pt>
                <c:pt idx="42">
                  <c:v>12.29587074</c:v>
                </c:pt>
                <c:pt idx="43">
                  <c:v>12.417511019999999</c:v>
                </c:pt>
                <c:pt idx="44">
                  <c:v>12.540011610000001</c:v>
                </c:pt>
                <c:pt idx="45">
                  <c:v>12.663340910000001</c:v>
                </c:pt>
                <c:pt idx="46">
                  <c:v>12.787461370000001</c:v>
                </c:pt>
                <c:pt idx="47">
                  <c:v>12.91233523</c:v>
                </c:pt>
                <c:pt idx="48">
                  <c:v>13.037923279999999</c:v>
                </c:pt>
                <c:pt idx="49">
                  <c:v>13.164192310000001</c:v>
                </c:pt>
                <c:pt idx="50">
                  <c:v>13.29110715</c:v>
                </c:pt>
                <c:pt idx="51">
                  <c:v>13.41863676</c:v>
                </c:pt>
                <c:pt idx="52">
                  <c:v>13.54675344</c:v>
                </c:pt>
                <c:pt idx="53">
                  <c:v>13.67543322</c:v>
                </c:pt>
                <c:pt idx="54">
                  <c:v>13.804656100000001</c:v>
                </c:pt>
                <c:pt idx="55">
                  <c:v>13.934406170000001</c:v>
                </c:pt>
                <c:pt idx="56">
                  <c:v>14.064671649999999</c:v>
                </c:pt>
                <c:pt idx="57">
                  <c:v>14.195444849999999</c:v>
                </c:pt>
                <c:pt idx="58">
                  <c:v>14.3267205</c:v>
                </c:pt>
                <c:pt idx="59">
                  <c:v>14.45850147</c:v>
                </c:pt>
                <c:pt idx="60">
                  <c:v>14.590790050000001</c:v>
                </c:pt>
                <c:pt idx="61">
                  <c:v>14.7235931</c:v>
                </c:pt>
                <c:pt idx="62">
                  <c:v>14.85692044</c:v>
                </c:pt>
                <c:pt idx="63">
                  <c:v>14.99078448</c:v>
                </c:pt>
                <c:pt idx="64">
                  <c:v>15.12519986</c:v>
                </c:pt>
                <c:pt idx="65">
                  <c:v>15.260183059999999</c:v>
                </c:pt>
                <c:pt idx="66">
                  <c:v>15.395752010000001</c:v>
                </c:pt>
                <c:pt idx="67">
                  <c:v>15.53192567</c:v>
                </c:pt>
                <c:pt idx="68">
                  <c:v>15.668723659999999</c:v>
                </c:pt>
                <c:pt idx="69">
                  <c:v>15.80616582</c:v>
                </c:pt>
                <c:pt idx="70">
                  <c:v>15.94427185</c:v>
                </c:pt>
                <c:pt idx="71">
                  <c:v>16.083060979999999</c:v>
                </c:pt>
                <c:pt idx="72">
                  <c:v>16.222551580000001</c:v>
                </c:pt>
                <c:pt idx="73">
                  <c:v>16.362758970000002</c:v>
                </c:pt>
                <c:pt idx="74">
                  <c:v>16.50370229</c:v>
                </c:pt>
                <c:pt idx="75">
                  <c:v>16.64539409</c:v>
                </c:pt>
                <c:pt idx="76">
                  <c:v>16.787846559999998</c:v>
                </c:pt>
                <c:pt idx="77">
                  <c:v>16.931069860000001</c:v>
                </c:pt>
                <c:pt idx="78">
                  <c:v>17.07507197</c:v>
                </c:pt>
                <c:pt idx="79">
                  <c:v>17.219858640000002</c:v>
                </c:pt>
                <c:pt idx="80">
                  <c:v>17.36543339</c:v>
                </c:pt>
                <c:pt idx="81">
                  <c:v>17.511797489999999</c:v>
                </c:pt>
                <c:pt idx="82">
                  <c:v>17.658948070000001</c:v>
                </c:pt>
                <c:pt idx="83">
                  <c:v>17.806885380000001</c:v>
                </c:pt>
                <c:pt idx="84">
                  <c:v>17.955603140000001</c:v>
                </c:pt>
                <c:pt idx="85">
                  <c:v>18.105094709999999</c:v>
                </c:pt>
                <c:pt idx="86">
                  <c:v>18.255352519999999</c:v>
                </c:pt>
                <c:pt idx="87">
                  <c:v>18.4063661</c:v>
                </c:pt>
                <c:pt idx="88">
                  <c:v>18.558127089999999</c:v>
                </c:pt>
                <c:pt idx="89">
                  <c:v>18.710624259999999</c:v>
                </c:pt>
                <c:pt idx="90">
                  <c:v>18.863846859999999</c:v>
                </c:pt>
                <c:pt idx="91">
                  <c:v>19.017784280000001</c:v>
                </c:pt>
                <c:pt idx="92">
                  <c:v>19.172426470000001</c:v>
                </c:pt>
                <c:pt idx="93">
                  <c:v>19.32776424</c:v>
                </c:pt>
                <c:pt idx="94">
                  <c:v>19.48378967</c:v>
                </c:pt>
                <c:pt idx="95">
                  <c:v>19.640496420000002</c:v>
                </c:pt>
                <c:pt idx="96">
                  <c:v>19.797877880000001</c:v>
                </c:pt>
                <c:pt idx="97">
                  <c:v>19.955935740000001</c:v>
                </c:pt>
                <c:pt idx="98">
                  <c:v>20.114668699999999</c:v>
                </c:pt>
                <c:pt idx="99">
                  <c:v>20.274080009999999</c:v>
                </c:pt>
                <c:pt idx="100">
                  <c:v>20.434176059999999</c:v>
                </c:pt>
                <c:pt idx="101">
                  <c:v>20.594966629999998</c:v>
                </c:pt>
                <c:pt idx="102">
                  <c:v>20.75646502</c:v>
                </c:pt>
                <c:pt idx="103">
                  <c:v>20.918688320000001</c:v>
                </c:pt>
                <c:pt idx="104">
                  <c:v>21.081657580000002</c:v>
                </c:pt>
                <c:pt idx="105">
                  <c:v>21.245397409999999</c:v>
                </c:pt>
                <c:pt idx="106">
                  <c:v>21.409939869999999</c:v>
                </c:pt>
                <c:pt idx="107">
                  <c:v>21.575315750000001</c:v>
                </c:pt>
                <c:pt idx="108">
                  <c:v>21.74156399</c:v>
                </c:pt>
                <c:pt idx="109">
                  <c:v>21.908727389999999</c:v>
                </c:pt>
                <c:pt idx="110">
                  <c:v>22.07685313</c:v>
                </c:pt>
                <c:pt idx="111">
                  <c:v>22.24599293</c:v>
                </c:pt>
                <c:pt idx="112">
                  <c:v>22.416203020000001</c:v>
                </c:pt>
                <c:pt idx="113">
                  <c:v>22.587544139999999</c:v>
                </c:pt>
                <c:pt idx="114">
                  <c:v>22.760081450000001</c:v>
                </c:pt>
                <c:pt idx="115">
                  <c:v>22.933884490000001</c:v>
                </c:pt>
                <c:pt idx="116">
                  <c:v>23.10902476</c:v>
                </c:pt>
                <c:pt idx="117">
                  <c:v>23.285583670000001</c:v>
                </c:pt>
                <c:pt idx="118">
                  <c:v>23.46364195</c:v>
                </c:pt>
                <c:pt idx="119">
                  <c:v>23.643285599999999</c:v>
                </c:pt>
                <c:pt idx="120">
                  <c:v>23.824604399999998</c:v>
                </c:pt>
                <c:pt idx="121">
                  <c:v>24.007691730000001</c:v>
                </c:pt>
                <c:pt idx="122">
                  <c:v>24.19264433</c:v>
                </c:pt>
                <c:pt idx="123">
                  <c:v>24.379562109999998</c:v>
                </c:pt>
                <c:pt idx="124">
                  <c:v>24.568547899999999</c:v>
                </c:pt>
                <c:pt idx="125">
                  <c:v>24.759707169999999</c:v>
                </c:pt>
                <c:pt idx="126">
                  <c:v>24.95314776</c:v>
                </c:pt>
                <c:pt idx="127">
                  <c:v>25.148979560000001</c:v>
                </c:pt>
                <c:pt idx="128">
                  <c:v>25.3473142</c:v>
                </c:pt>
                <c:pt idx="129">
                  <c:v>25.548264710000002</c:v>
                </c:pt>
                <c:pt idx="130">
                  <c:v>25.751945119999998</c:v>
                </c:pt>
                <c:pt idx="131">
                  <c:v>25.95847011</c:v>
                </c:pt>
                <c:pt idx="132">
                  <c:v>26.167955589999998</c:v>
                </c:pt>
                <c:pt idx="133">
                  <c:v>26.380511769999998</c:v>
                </c:pt>
                <c:pt idx="134">
                  <c:v>26.596260619999999</c:v>
                </c:pt>
                <c:pt idx="135">
                  <c:v>26.815309339999999</c:v>
                </c:pt>
                <c:pt idx="136">
                  <c:v>27.037771119999999</c:v>
                </c:pt>
                <c:pt idx="137">
                  <c:v>27.263755530000001</c:v>
                </c:pt>
                <c:pt idx="138">
                  <c:v>27.493369619999999</c:v>
                </c:pt>
                <c:pt idx="139">
                  <c:v>27.72671746</c:v>
                </c:pt>
                <c:pt idx="140">
                  <c:v>27.96389959</c:v>
                </c:pt>
                <c:pt idx="141">
                  <c:v>28.20501252</c:v>
                </c:pt>
                <c:pt idx="142">
                  <c:v>28.450148200000001</c:v>
                </c:pt>
                <c:pt idx="143">
                  <c:v>28.69939347</c:v>
                </c:pt>
                <c:pt idx="144">
                  <c:v>28.952829569999999</c:v>
                </c:pt>
                <c:pt idx="145">
                  <c:v>29.210531530000001</c:v>
                </c:pt>
                <c:pt idx="146">
                  <c:v>29.472567690000002</c:v>
                </c:pt>
                <c:pt idx="147">
                  <c:v>29.73899917</c:v>
                </c:pt>
                <c:pt idx="148">
                  <c:v>30.009879269999999</c:v>
                </c:pt>
                <c:pt idx="149">
                  <c:v>30.285253050000001</c:v>
                </c:pt>
                <c:pt idx="150">
                  <c:v>30.56515671</c:v>
                </c:pt>
                <c:pt idx="151">
                  <c:v>30.849617179999999</c:v>
                </c:pt>
                <c:pt idx="152">
                  <c:v>31.138651540000001</c:v>
                </c:pt>
                <c:pt idx="153">
                  <c:v>31.432265709999999</c:v>
                </c:pt>
                <c:pt idx="154">
                  <c:v>31.730458079999998</c:v>
                </c:pt>
                <c:pt idx="155">
                  <c:v>32.033211960000003</c:v>
                </c:pt>
                <c:pt idx="156">
                  <c:v>32.340500689999999</c:v>
                </c:pt>
                <c:pt idx="157">
                  <c:v>32.652285599999999</c:v>
                </c:pt>
                <c:pt idx="158">
                  <c:v>32.968515709999998</c:v>
                </c:pt>
                <c:pt idx="159">
                  <c:v>33.289127309999998</c:v>
                </c:pt>
                <c:pt idx="160">
                  <c:v>33.614043729999999</c:v>
                </c:pt>
                <c:pt idx="161">
                  <c:v>33.943174990000003</c:v>
                </c:pt>
                <c:pt idx="162">
                  <c:v>34.276417559999999</c:v>
                </c:pt>
                <c:pt idx="163">
                  <c:v>34.613651760000003</c:v>
                </c:pt>
                <c:pt idx="164">
                  <c:v>34.95474943</c:v>
                </c:pt>
                <c:pt idx="165">
                  <c:v>35.29956396</c:v>
                </c:pt>
                <c:pt idx="166">
                  <c:v>35.647935769999997</c:v>
                </c:pt>
                <c:pt idx="167">
                  <c:v>35.999691120000001</c:v>
                </c:pt>
                <c:pt idx="168">
                  <c:v>36.354641999999998</c:v>
                </c:pt>
                <c:pt idx="169">
                  <c:v>36.712586260000002</c:v>
                </c:pt>
                <c:pt idx="170">
                  <c:v>37.073307659999998</c:v>
                </c:pt>
                <c:pt idx="171">
                  <c:v>37.436576010000003</c:v>
                </c:pt>
                <c:pt idx="172">
                  <c:v>37.802147410000003</c:v>
                </c:pt>
                <c:pt idx="173">
                  <c:v>38.169764440000002</c:v>
                </c:pt>
                <c:pt idx="174">
                  <c:v>38.539156570000003</c:v>
                </c:pt>
                <c:pt idx="175">
                  <c:v>38.910040459999998</c:v>
                </c:pt>
                <c:pt idx="176">
                  <c:v>39.282120450000001</c:v>
                </c:pt>
                <c:pt idx="177">
                  <c:v>39.655089060000002</c:v>
                </c:pt>
                <c:pt idx="178">
                  <c:v>40.028627620000002</c:v>
                </c:pt>
                <c:pt idx="179">
                  <c:v>40.40240687</c:v>
                </c:pt>
                <c:pt idx="180">
                  <c:v>40.776084050000001</c:v>
                </c:pt>
                <c:pt idx="181">
                  <c:v>41.149322390000002</c:v>
                </c:pt>
                <c:pt idx="182">
                  <c:v>41.521754620000003</c:v>
                </c:pt>
                <c:pt idx="183">
                  <c:v>41.893021439999998</c:v>
                </c:pt>
                <c:pt idx="184">
                  <c:v>42.262753889999999</c:v>
                </c:pt>
                <c:pt idx="185">
                  <c:v>42.630578290000003</c:v>
                </c:pt>
                <c:pt idx="186">
                  <c:v>42.996117580000003</c:v>
                </c:pt>
                <c:pt idx="187">
                  <c:v>43.358992700000002</c:v>
                </c:pt>
                <c:pt idx="188">
                  <c:v>43.718821060000003</c:v>
                </c:pt>
                <c:pt idx="189">
                  <c:v>44.075233240000003</c:v>
                </c:pt>
                <c:pt idx="190">
                  <c:v>44.427844520000001</c:v>
                </c:pt>
                <c:pt idx="191">
                  <c:v>44.77628678</c:v>
                </c:pt>
                <c:pt idx="192">
                  <c:v>45.120201899999998</c:v>
                </c:pt>
                <c:pt idx="193">
                  <c:v>45.459222089999997</c:v>
                </c:pt>
                <c:pt idx="194">
                  <c:v>45.793005909999998</c:v>
                </c:pt>
                <c:pt idx="195">
                  <c:v>46.121219379999999</c:v>
                </c:pt>
                <c:pt idx="196">
                  <c:v>46.443542800000003</c:v>
                </c:pt>
                <c:pt idx="197">
                  <c:v>46.759672790000003</c:v>
                </c:pt>
                <c:pt idx="198">
                  <c:v>47.069324260000002</c:v>
                </c:pt>
                <c:pt idx="199">
                  <c:v>47.372232390000001</c:v>
                </c:pt>
                <c:pt idx="200">
                  <c:v>47.668154559999998</c:v>
                </c:pt>
                <c:pt idx="201">
                  <c:v>47.956872099999998</c:v>
                </c:pt>
                <c:pt idx="202">
                  <c:v>48.238192040000001</c:v>
                </c:pt>
                <c:pt idx="203">
                  <c:v>48.511948599999997</c:v>
                </c:pt>
                <c:pt idx="204">
                  <c:v>48.778004629999998</c:v>
                </c:pt>
                <c:pt idx="205">
                  <c:v>49.036252750000003</c:v>
                </c:pt>
                <c:pt idx="206">
                  <c:v>49.286616350000003</c:v>
                </c:pt>
                <c:pt idx="207">
                  <c:v>49.529050290000001</c:v>
                </c:pt>
                <c:pt idx="208">
                  <c:v>49.763541359999998</c:v>
                </c:pt>
                <c:pt idx="209">
                  <c:v>49.990103329999997</c:v>
                </c:pt>
                <c:pt idx="210">
                  <c:v>50.208799399999997</c:v>
                </c:pt>
                <c:pt idx="211">
                  <c:v>50.41970456</c:v>
                </c:pt>
                <c:pt idx="212">
                  <c:v>50.62293176</c:v>
                </c:pt>
                <c:pt idx="213">
                  <c:v>50.818623459999998</c:v>
                </c:pt>
                <c:pt idx="214">
                  <c:v>51.006950009999997</c:v>
                </c:pt>
                <c:pt idx="215">
                  <c:v>51.188107639999998</c:v>
                </c:pt>
                <c:pt idx="216">
                  <c:v>51.362316079999999</c:v>
                </c:pt>
                <c:pt idx="217">
                  <c:v>51.529815820000003</c:v>
                </c:pt>
                <c:pt idx="218">
                  <c:v>51.69086489</c:v>
                </c:pt>
                <c:pt idx="219">
                  <c:v>51.8457352</c:v>
                </c:pt>
                <c:pt idx="220">
                  <c:v>51.994716650000001</c:v>
                </c:pt>
                <c:pt idx="221">
                  <c:v>52.138081239999998</c:v>
                </c:pt>
                <c:pt idx="222">
                  <c:v>52.276119020000003</c:v>
                </c:pt>
                <c:pt idx="223">
                  <c:v>52.409108199999999</c:v>
                </c:pt>
                <c:pt idx="224">
                  <c:v>52.537313920000003</c:v>
                </c:pt>
                <c:pt idx="225">
                  <c:v>52.66097508</c:v>
                </c:pt>
                <c:pt idx="226">
                  <c:v>52.780324479999997</c:v>
                </c:pt>
                <c:pt idx="227">
                  <c:v>52.895533460000003</c:v>
                </c:pt>
                <c:pt idx="228">
                  <c:v>53.006737549999997</c:v>
                </c:pt>
                <c:pt idx="229">
                  <c:v>53.114017560000001</c:v>
                </c:pt>
                <c:pt idx="230">
                  <c:v>53.217388849999999</c:v>
                </c:pt>
                <c:pt idx="231">
                  <c:v>53.316789759999999</c:v>
                </c:pt>
                <c:pt idx="232">
                  <c:v>53.412069039999999</c:v>
                </c:pt>
                <c:pt idx="233">
                  <c:v>53.502972290000002</c:v>
                </c:pt>
                <c:pt idx="234">
                  <c:v>53.58912711</c:v>
                </c:pt>
                <c:pt idx="235">
                  <c:v>53.670026909999997</c:v>
                </c:pt>
                <c:pt idx="236">
                  <c:v>53.745012979999998</c:v>
                </c:pt>
                <c:pt idx="237">
                  <c:v>53.813254700000002</c:v>
                </c:pt>
                <c:pt idx="238">
                  <c:v>53.873727369999997</c:v>
                </c:pt>
                <c:pt idx="239">
                  <c:v>53.925187309999998</c:v>
                </c:pt>
                <c:pt idx="240">
                  <c:v>53.966136579999997</c:v>
                </c:pt>
                <c:pt idx="241">
                  <c:v>53.994817619999999</c:v>
                </c:pt>
                <c:pt idx="242">
                  <c:v>54.003917289999997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4A-4C7C-BC01-0DC7A95BB1BA}"/>
            </c:ext>
          </c:extLst>
        </c:ser>
        <c:ser>
          <c:idx val="3"/>
          <c:order val="3"/>
          <c:tx>
            <c:v>P5 boys</c:v>
          </c:tx>
          <c:spPr>
            <a:ln w="6350" cap="rnd">
              <a:solidFill>
                <a:srgbClr val="00B0F0">
                  <a:alpha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weight4age!$B$2:$B$244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weight4age!$G$2:$G$244</c:f>
              <c:numCache>
                <c:formatCode>General</c:formatCode>
                <c:ptCount val="243"/>
                <c:pt idx="0">
                  <c:v>2.5269040199999999</c:v>
                </c:pt>
                <c:pt idx="1">
                  <c:v>2.9646556550000001</c:v>
                </c:pt>
                <c:pt idx="2">
                  <c:v>3.7748488619999998</c:v>
                </c:pt>
                <c:pt idx="3">
                  <c:v>4.5032553450000004</c:v>
                </c:pt>
                <c:pt idx="4">
                  <c:v>5.1574116529999996</c:v>
                </c:pt>
                <c:pt idx="5">
                  <c:v>5.7447515659999997</c:v>
                </c:pt>
                <c:pt idx="6">
                  <c:v>6.2721752989999997</c:v>
                </c:pt>
                <c:pt idx="7">
                  <c:v>6.7459926650000002</c:v>
                </c:pt>
                <c:pt idx="8">
                  <c:v>7.1719523929999998</c:v>
                </c:pt>
                <c:pt idx="9">
                  <c:v>7.5552867519999998</c:v>
                </c:pt>
                <c:pt idx="10">
                  <c:v>7.9007551600000001</c:v>
                </c:pt>
                <c:pt idx="11">
                  <c:v>8.2126835380000003</c:v>
                </c:pt>
                <c:pt idx="12">
                  <c:v>8.4949995549999997</c:v>
                </c:pt>
                <c:pt idx="13">
                  <c:v>8.7512642520000004</c:v>
                </c:pt>
                <c:pt idx="14">
                  <c:v>8.9847011109999997</c:v>
                </c:pt>
                <c:pt idx="15">
                  <c:v>9.1982224289999994</c:v>
                </c:pt>
                <c:pt idx="16">
                  <c:v>9.3944538309999999</c:v>
                </c:pt>
                <c:pt idx="17">
                  <c:v>9.5757569680000003</c:v>
                </c:pt>
                <c:pt idx="18">
                  <c:v>9.7442506259999995</c:v>
                </c:pt>
                <c:pt idx="19">
                  <c:v>9.901830339</c:v>
                </c:pt>
                <c:pt idx="20">
                  <c:v>10.05018686</c:v>
                </c:pt>
                <c:pt idx="21">
                  <c:v>10.190823079999999</c:v>
                </c:pt>
                <c:pt idx="22">
                  <c:v>10.32507004</c:v>
                </c:pt>
                <c:pt idx="23">
                  <c:v>10.454101809999999</c:v>
                </c:pt>
                <c:pt idx="24">
                  <c:v>10.578949250000001</c:v>
                </c:pt>
                <c:pt idx="25">
                  <c:v>10.64009004</c:v>
                </c:pt>
                <c:pt idx="26">
                  <c:v>10.700512979999999</c:v>
                </c:pt>
                <c:pt idx="27">
                  <c:v>10.81957536</c:v>
                </c:pt>
                <c:pt idx="28">
                  <c:v>10.936811710000001</c:v>
                </c:pt>
                <c:pt idx="29">
                  <c:v>11.05280067</c:v>
                </c:pt>
                <c:pt idx="30">
                  <c:v>11.168034</c:v>
                </c:pt>
                <c:pt idx="31">
                  <c:v>11.28292555</c:v>
                </c:pt>
                <c:pt idx="32">
                  <c:v>11.397819699999999</c:v>
                </c:pt>
                <c:pt idx="33">
                  <c:v>11.51299966</c:v>
                </c:pt>
                <c:pt idx="34">
                  <c:v>11.62869248</c:v>
                </c:pt>
                <c:pt idx="35">
                  <c:v>11.745078919999999</c:v>
                </c:pt>
                <c:pt idx="36">
                  <c:v>11.86229971</c:v>
                </c:pt>
                <c:pt idx="37">
                  <c:v>11.980456439999999</c:v>
                </c:pt>
                <c:pt idx="38">
                  <c:v>12.099623080000001</c:v>
                </c:pt>
                <c:pt idx="39">
                  <c:v>12.21984466</c:v>
                </c:pt>
                <c:pt idx="40">
                  <c:v>12.341146719999999</c:v>
                </c:pt>
                <c:pt idx="41">
                  <c:v>12.463535540000001</c:v>
                </c:pt>
                <c:pt idx="42">
                  <c:v>12.587005599999999</c:v>
                </c:pt>
                <c:pt idx="43">
                  <c:v>12.711537140000001</c:v>
                </c:pt>
                <c:pt idx="44">
                  <c:v>12.837100980000001</c:v>
                </c:pt>
                <c:pt idx="45">
                  <c:v>12.96366474</c:v>
                </c:pt>
                <c:pt idx="46">
                  <c:v>13.091189379999999</c:v>
                </c:pt>
                <c:pt idx="47">
                  <c:v>13.21963362</c:v>
                </c:pt>
                <c:pt idx="48">
                  <c:v>13.348953760000001</c:v>
                </c:pt>
                <c:pt idx="49">
                  <c:v>13.479109149999999</c:v>
                </c:pt>
                <c:pt idx="50">
                  <c:v>13.61005739</c:v>
                </c:pt>
                <c:pt idx="51">
                  <c:v>13.74175874</c:v>
                </c:pt>
                <c:pt idx="52">
                  <c:v>13.87417598</c:v>
                </c:pt>
                <c:pt idx="53">
                  <c:v>14.007274900000001</c:v>
                </c:pt>
                <c:pt idx="54">
                  <c:v>14.14102471</c:v>
                </c:pt>
                <c:pt idx="55">
                  <c:v>14.275398320000001</c:v>
                </c:pt>
                <c:pt idx="56">
                  <c:v>14.410372519999999</c:v>
                </c:pt>
                <c:pt idx="57">
                  <c:v>14.545928010000001</c:v>
                </c:pt>
                <c:pt idx="58">
                  <c:v>14.682048419999999</c:v>
                </c:pt>
                <c:pt idx="59">
                  <c:v>14.81872422</c:v>
                </c:pt>
                <c:pt idx="60">
                  <c:v>14.955946819999999</c:v>
                </c:pt>
                <c:pt idx="61">
                  <c:v>15.09371211</c:v>
                </c:pt>
                <c:pt idx="62">
                  <c:v>15.23201937</c:v>
                </c:pt>
                <c:pt idx="63">
                  <c:v>15.37087094</c:v>
                </c:pt>
                <c:pt idx="64">
                  <c:v>15.510272049999999</c:v>
                </c:pt>
                <c:pt idx="65">
                  <c:v>15.65023042</c:v>
                </c:pt>
                <c:pt idx="66">
                  <c:v>15.790755989999999</c:v>
                </c:pt>
                <c:pt idx="67">
                  <c:v>15.931860589999999</c:v>
                </c:pt>
                <c:pt idx="68">
                  <c:v>16.073557579999999</c:v>
                </c:pt>
                <c:pt idx="69">
                  <c:v>16.215861539999999</c:v>
                </c:pt>
                <c:pt idx="70">
                  <c:v>16.358787929999998</c:v>
                </c:pt>
                <c:pt idx="71">
                  <c:v>16.502352770000002</c:v>
                </c:pt>
                <c:pt idx="72">
                  <c:v>16.64657235</c:v>
                </c:pt>
                <c:pt idx="73">
                  <c:v>16.79146158</c:v>
                </c:pt>
                <c:pt idx="74">
                  <c:v>16.937038749999999</c:v>
                </c:pt>
                <c:pt idx="75">
                  <c:v>17.083318139999999</c:v>
                </c:pt>
                <c:pt idx="76">
                  <c:v>17.23031439</c:v>
                </c:pt>
                <c:pt idx="77">
                  <c:v>17.37804118</c:v>
                </c:pt>
                <c:pt idx="78">
                  <c:v>17.52651109</c:v>
                </c:pt>
                <c:pt idx="79">
                  <c:v>17.675735499999998</c:v>
                </c:pt>
                <c:pt idx="80">
                  <c:v>17.825724529999999</c:v>
                </c:pt>
                <c:pt idx="81">
                  <c:v>17.976486959999999</c:v>
                </c:pt>
                <c:pt idx="82">
                  <c:v>18.128028860000001</c:v>
                </c:pt>
                <c:pt idx="83">
                  <c:v>18.280358660000001</c:v>
                </c:pt>
                <c:pt idx="84">
                  <c:v>18.433480299999999</c:v>
                </c:pt>
                <c:pt idx="85">
                  <c:v>18.58739757</c:v>
                </c:pt>
                <c:pt idx="86">
                  <c:v>18.742113629999999</c:v>
                </c:pt>
                <c:pt idx="87">
                  <c:v>18.897629649999999</c:v>
                </c:pt>
                <c:pt idx="88">
                  <c:v>19.053948349999999</c:v>
                </c:pt>
                <c:pt idx="89">
                  <c:v>19.21107044</c:v>
                </c:pt>
                <c:pt idx="90">
                  <c:v>19.368996989999999</c:v>
                </c:pt>
                <c:pt idx="91">
                  <c:v>19.527729260000001</c:v>
                </c:pt>
                <c:pt idx="92">
                  <c:v>19.68726895</c:v>
                </c:pt>
                <c:pt idx="93">
                  <c:v>19.847618480000001</c:v>
                </c:pt>
                <c:pt idx="94">
                  <c:v>20.00878127</c:v>
                </c:pt>
                <c:pt idx="95">
                  <c:v>20.170762079999999</c:v>
                </c:pt>
                <c:pt idx="96">
                  <c:v>20.333565579999998</c:v>
                </c:pt>
                <c:pt idx="97">
                  <c:v>20.49720276</c:v>
                </c:pt>
                <c:pt idx="98">
                  <c:v>20.661682590000002</c:v>
                </c:pt>
                <c:pt idx="99">
                  <c:v>20.827017720000001</c:v>
                </c:pt>
                <c:pt idx="100">
                  <c:v>20.993223400000002</c:v>
                </c:pt>
                <c:pt idx="101">
                  <c:v>21.16031766</c:v>
                </c:pt>
                <c:pt idx="102">
                  <c:v>21.32832161</c:v>
                </c:pt>
                <c:pt idx="103">
                  <c:v>21.497259509999999</c:v>
                </c:pt>
                <c:pt idx="104">
                  <c:v>21.66715902</c:v>
                </c:pt>
                <c:pt idx="105">
                  <c:v>21.838050930000001</c:v>
                </c:pt>
                <c:pt idx="106">
                  <c:v>22.00997207</c:v>
                </c:pt>
                <c:pt idx="107">
                  <c:v>22.182958840000001</c:v>
                </c:pt>
                <c:pt idx="108">
                  <c:v>22.357054290000001</c:v>
                </c:pt>
                <c:pt idx="109">
                  <c:v>22.532304920000001</c:v>
                </c:pt>
                <c:pt idx="110">
                  <c:v>22.708761079999999</c:v>
                </c:pt>
                <c:pt idx="111">
                  <c:v>22.8864771</c:v>
                </c:pt>
                <c:pt idx="112">
                  <c:v>23.06551129</c:v>
                </c:pt>
                <c:pt idx="113">
                  <c:v>23.245925929999999</c:v>
                </c:pt>
                <c:pt idx="114">
                  <c:v>23.42778723</c:v>
                </c:pt>
                <c:pt idx="115">
                  <c:v>23.611165239999998</c:v>
                </c:pt>
                <c:pt idx="116">
                  <c:v>23.796132020000002</c:v>
                </c:pt>
                <c:pt idx="117">
                  <c:v>23.98276774</c:v>
                </c:pt>
                <c:pt idx="118">
                  <c:v>24.171152459999998</c:v>
                </c:pt>
                <c:pt idx="119">
                  <c:v>24.361370730000001</c:v>
                </c:pt>
                <c:pt idx="120">
                  <c:v>24.553510419999999</c:v>
                </c:pt>
                <c:pt idx="121">
                  <c:v>24.74766249</c:v>
                </c:pt>
                <c:pt idx="122">
                  <c:v>24.94392079</c:v>
                </c:pt>
                <c:pt idx="123">
                  <c:v>25.142381889999999</c:v>
                </c:pt>
                <c:pt idx="124">
                  <c:v>25.34314479</c:v>
                </c:pt>
                <c:pt idx="125">
                  <c:v>25.546310649999999</c:v>
                </c:pt>
                <c:pt idx="126">
                  <c:v>25.751982559999998</c:v>
                </c:pt>
                <c:pt idx="127">
                  <c:v>25.960265150000001</c:v>
                </c:pt>
                <c:pt idx="128">
                  <c:v>26.171264359999999</c:v>
                </c:pt>
                <c:pt idx="129">
                  <c:v>26.385086990000001</c:v>
                </c:pt>
                <c:pt idx="130">
                  <c:v>26.60184044</c:v>
                </c:pt>
                <c:pt idx="131">
                  <c:v>26.82163224</c:v>
                </c:pt>
                <c:pt idx="132">
                  <c:v>27.044570400000001</c:v>
                </c:pt>
                <c:pt idx="133">
                  <c:v>27.270758180000001</c:v>
                </c:pt>
                <c:pt idx="134">
                  <c:v>27.500306940000002</c:v>
                </c:pt>
                <c:pt idx="135">
                  <c:v>27.73331628</c:v>
                </c:pt>
                <c:pt idx="136">
                  <c:v>27.969889370000001</c:v>
                </c:pt>
                <c:pt idx="137">
                  <c:v>28.21012567</c:v>
                </c:pt>
                <c:pt idx="138">
                  <c:v>28.45412164</c:v>
                </c:pt>
                <c:pt idx="139">
                  <c:v>28.70197022</c:v>
                </c:pt>
                <c:pt idx="140">
                  <c:v>28.95376036</c:v>
                </c:pt>
                <c:pt idx="141">
                  <c:v>29.20957645</c:v>
                </c:pt>
                <c:pt idx="142">
                  <c:v>29.46949781</c:v>
                </c:pt>
                <c:pt idx="143">
                  <c:v>29.733598189999999</c:v>
                </c:pt>
                <c:pt idx="144">
                  <c:v>30.001945190000001</c:v>
                </c:pt>
                <c:pt idx="145">
                  <c:v>30.274599739999999</c:v>
                </c:pt>
                <c:pt idx="146">
                  <c:v>30.55161562</c:v>
                </c:pt>
                <c:pt idx="147">
                  <c:v>30.833038850000001</c:v>
                </c:pt>
                <c:pt idx="148">
                  <c:v>31.118907239999999</c:v>
                </c:pt>
                <c:pt idx="149">
                  <c:v>31.40924987</c:v>
                </c:pt>
                <c:pt idx="150">
                  <c:v>31.704086539999999</c:v>
                </c:pt>
                <c:pt idx="151">
                  <c:v>32.003427379999998</c:v>
                </c:pt>
                <c:pt idx="152">
                  <c:v>32.307272269999999</c:v>
                </c:pt>
                <c:pt idx="153">
                  <c:v>32.615609829999997</c:v>
                </c:pt>
                <c:pt idx="154">
                  <c:v>32.928419929999997</c:v>
                </c:pt>
                <c:pt idx="155">
                  <c:v>33.24566815</c:v>
                </c:pt>
                <c:pt idx="156">
                  <c:v>33.567309369999997</c:v>
                </c:pt>
                <c:pt idx="157">
                  <c:v>33.8932863</c:v>
                </c:pt>
                <c:pt idx="158">
                  <c:v>34.223529110000001</c:v>
                </c:pt>
                <c:pt idx="159">
                  <c:v>34.557955200000002</c:v>
                </c:pt>
                <c:pt idx="160">
                  <c:v>34.896468900000002</c:v>
                </c:pt>
                <c:pt idx="161">
                  <c:v>35.238961260000004</c:v>
                </c:pt>
                <c:pt idx="162">
                  <c:v>35.585309889999998</c:v>
                </c:pt>
                <c:pt idx="163">
                  <c:v>35.935377099999997</c:v>
                </c:pt>
                <c:pt idx="164">
                  <c:v>36.289015390000003</c:v>
                </c:pt>
                <c:pt idx="165">
                  <c:v>36.646060429999999</c:v>
                </c:pt>
                <c:pt idx="166">
                  <c:v>37.006335010000001</c:v>
                </c:pt>
                <c:pt idx="167">
                  <c:v>37.369648259999998</c:v>
                </c:pt>
                <c:pt idx="168">
                  <c:v>37.735795760000002</c:v>
                </c:pt>
                <c:pt idx="169">
                  <c:v>38.104559629999997</c:v>
                </c:pt>
                <c:pt idx="170">
                  <c:v>38.475708820000001</c:v>
                </c:pt>
                <c:pt idx="171">
                  <c:v>38.848999319999997</c:v>
                </c:pt>
                <c:pt idx="172">
                  <c:v>39.224174509999997</c:v>
                </c:pt>
                <c:pt idx="173">
                  <c:v>39.600965520000003</c:v>
                </c:pt>
                <c:pt idx="174">
                  <c:v>39.97909172</c:v>
                </c:pt>
                <c:pt idx="175">
                  <c:v>40.358261149999997</c:v>
                </c:pt>
                <c:pt idx="176">
                  <c:v>40.73817116</c:v>
                </c:pt>
                <c:pt idx="177">
                  <c:v>41.118509000000003</c:v>
                </c:pt>
                <c:pt idx="178">
                  <c:v>41.498952559999999</c:v>
                </c:pt>
                <c:pt idx="179">
                  <c:v>41.879171100000001</c:v>
                </c:pt>
                <c:pt idx="180">
                  <c:v>42.258823489999997</c:v>
                </c:pt>
                <c:pt idx="181">
                  <c:v>42.637572210000002</c:v>
                </c:pt>
                <c:pt idx="182">
                  <c:v>43.015058160000002</c:v>
                </c:pt>
                <c:pt idx="183">
                  <c:v>43.39092788</c:v>
                </c:pt>
                <c:pt idx="184">
                  <c:v>43.76482163</c:v>
                </c:pt>
                <c:pt idx="185">
                  <c:v>44.13637714</c:v>
                </c:pt>
                <c:pt idx="186">
                  <c:v>44.505230959999999</c:v>
                </c:pt>
                <c:pt idx="187">
                  <c:v>44.871019789999998</c:v>
                </c:pt>
                <c:pt idx="188">
                  <c:v>45.233379730000003</c:v>
                </c:pt>
                <c:pt idx="189">
                  <c:v>45.591958579999996</c:v>
                </c:pt>
                <c:pt idx="190">
                  <c:v>45.946395809999999</c:v>
                </c:pt>
                <c:pt idx="191">
                  <c:v>46.296345760000001</c:v>
                </c:pt>
                <c:pt idx="192">
                  <c:v>46.641473210000001</c:v>
                </c:pt>
                <c:pt idx="193">
                  <c:v>46.981439870000003</c:v>
                </c:pt>
                <c:pt idx="194">
                  <c:v>47.315930160000001</c:v>
                </c:pt>
                <c:pt idx="195">
                  <c:v>47.644638270000002</c:v>
                </c:pt>
                <c:pt idx="196">
                  <c:v>47.967273319999997</c:v>
                </c:pt>
                <c:pt idx="197">
                  <c:v>48.2835611</c:v>
                </c:pt>
                <c:pt idx="198">
                  <c:v>48.59324591</c:v>
                </c:pt>
                <c:pt idx="199">
                  <c:v>48.896092179999997</c:v>
                </c:pt>
                <c:pt idx="200">
                  <c:v>49.191886199999999</c:v>
                </c:pt>
                <c:pt idx="201">
                  <c:v>49.480437700000003</c:v>
                </c:pt>
                <c:pt idx="202">
                  <c:v>49.761581249999999</c:v>
                </c:pt>
                <c:pt idx="203">
                  <c:v>50.03517772</c:v>
                </c:pt>
                <c:pt idx="204">
                  <c:v>50.30111539</c:v>
                </c:pt>
                <c:pt idx="205">
                  <c:v>50.559311049999998</c:v>
                </c:pt>
                <c:pt idx="206">
                  <c:v>50.809710799999998</c:v>
                </c:pt>
                <c:pt idx="207">
                  <c:v>51.052290710000001</c:v>
                </c:pt>
                <c:pt idx="208">
                  <c:v>51.287057160000003</c:v>
                </c:pt>
                <c:pt idx="209">
                  <c:v>51.514043350000001</c:v>
                </c:pt>
                <c:pt idx="210">
                  <c:v>51.733325229999998</c:v>
                </c:pt>
                <c:pt idx="211">
                  <c:v>51.944994510000001</c:v>
                </c:pt>
                <c:pt idx="212">
                  <c:v>52.149177170000002</c:v>
                </c:pt>
                <c:pt idx="213">
                  <c:v>52.34602709</c:v>
                </c:pt>
                <c:pt idx="214">
                  <c:v>52.535724549999998</c:v>
                </c:pt>
                <c:pt idx="215">
                  <c:v>52.718474280000002</c:v>
                </c:pt>
                <c:pt idx="216">
                  <c:v>52.894503190000002</c:v>
                </c:pt>
                <c:pt idx="217">
                  <c:v>53.064057689999999</c:v>
                </c:pt>
                <c:pt idx="218">
                  <c:v>53.227400590000002</c:v>
                </c:pt>
                <c:pt idx="219">
                  <c:v>53.38480749</c:v>
                </c:pt>
                <c:pt idx="220">
                  <c:v>53.53656883</c:v>
                </c:pt>
                <c:pt idx="221">
                  <c:v>53.68296205</c:v>
                </c:pt>
                <c:pt idx="222">
                  <c:v>53.82427723</c:v>
                </c:pt>
                <c:pt idx="223">
                  <c:v>53.960793209999999</c:v>
                </c:pt>
                <c:pt idx="224">
                  <c:v>54.092775119999999</c:v>
                </c:pt>
                <c:pt idx="225">
                  <c:v>54.220462910000002</c:v>
                </c:pt>
                <c:pt idx="226">
                  <c:v>54.344083879999999</c:v>
                </c:pt>
                <c:pt idx="227">
                  <c:v>54.463810039999998</c:v>
                </c:pt>
                <c:pt idx="228">
                  <c:v>54.579774239999999</c:v>
                </c:pt>
                <c:pt idx="229">
                  <c:v>54.692053549999997</c:v>
                </c:pt>
                <c:pt idx="230">
                  <c:v>54.800658419999998</c:v>
                </c:pt>
                <c:pt idx="231">
                  <c:v>54.905520889999998</c:v>
                </c:pt>
                <c:pt idx="232">
                  <c:v>55.006481809999997</c:v>
                </c:pt>
                <c:pt idx="233">
                  <c:v>55.103277030000001</c:v>
                </c:pt>
                <c:pt idx="234">
                  <c:v>55.195522449999999</c:v>
                </c:pt>
                <c:pt idx="235">
                  <c:v>55.28269761</c:v>
                </c:pt>
                <c:pt idx="236">
                  <c:v>55.364127959999998</c:v>
                </c:pt>
                <c:pt idx="237">
                  <c:v>55.438965260000003</c:v>
                </c:pt>
                <c:pt idx="238">
                  <c:v>55.506166139999998</c:v>
                </c:pt>
                <c:pt idx="239">
                  <c:v>55.564468390000002</c:v>
                </c:pt>
                <c:pt idx="240">
                  <c:v>55.612359580000003</c:v>
                </c:pt>
                <c:pt idx="241">
                  <c:v>55.648066729999996</c:v>
                </c:pt>
                <c:pt idx="242">
                  <c:v>55.66071006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4A-4C7C-BC01-0DC7A95BB1BA}"/>
            </c:ext>
          </c:extLst>
        </c:ser>
        <c:ser>
          <c:idx val="4"/>
          <c:order val="4"/>
          <c:tx>
            <c:v>P10 boys</c:v>
          </c:tx>
          <c:spPr>
            <a:ln w="6350" cap="rnd">
              <a:solidFill>
                <a:srgbClr val="00B0F0">
                  <a:alpha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weight4age!$B$2:$B$244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weight4age!$H$2:$H$244</c:f>
              <c:numCache>
                <c:formatCode>General</c:formatCode>
                <c:ptCount val="243"/>
                <c:pt idx="0">
                  <c:v>2.7738018480000002</c:v>
                </c:pt>
                <c:pt idx="1">
                  <c:v>3.2095100169999999</c:v>
                </c:pt>
                <c:pt idx="2">
                  <c:v>4.0205614460000003</c:v>
                </c:pt>
                <c:pt idx="3">
                  <c:v>4.7544793539999999</c:v>
                </c:pt>
                <c:pt idx="4">
                  <c:v>5.4168028560000003</c:v>
                </c:pt>
                <c:pt idx="5">
                  <c:v>6.0137162399999999</c:v>
                </c:pt>
                <c:pt idx="6">
                  <c:v>6.5513792439999996</c:v>
                </c:pt>
                <c:pt idx="7">
                  <c:v>7.035656404</c:v>
                </c:pt>
                <c:pt idx="8">
                  <c:v>7.4720214379999996</c:v>
                </c:pt>
                <c:pt idx="9">
                  <c:v>7.8655329219999999</c:v>
                </c:pt>
                <c:pt idx="10">
                  <c:v>8.2208392109999995</c:v>
                </c:pt>
                <c:pt idx="11">
                  <c:v>8.5421954840000005</c:v>
                </c:pt>
                <c:pt idx="12">
                  <c:v>8.8334856229999996</c:v>
                </c:pt>
                <c:pt idx="13">
                  <c:v>9.0982457090000004</c:v>
                </c:pt>
                <c:pt idx="14">
                  <c:v>9.3396876730000002</c:v>
                </c:pt>
                <c:pt idx="15">
                  <c:v>9.5607223690000005</c:v>
                </c:pt>
                <c:pt idx="16">
                  <c:v>9.7639817509999993</c:v>
                </c:pt>
                <c:pt idx="17">
                  <c:v>9.9518399980000005</c:v>
                </c:pt>
                <c:pt idx="18">
                  <c:v>10.126433520000001</c:v>
                </c:pt>
                <c:pt idx="19">
                  <c:v>10.28967982</c:v>
                </c:pt>
                <c:pt idx="20">
                  <c:v>10.443295239999999</c:v>
                </c:pt>
                <c:pt idx="21">
                  <c:v>10.588811550000001</c:v>
                </c:pt>
                <c:pt idx="22">
                  <c:v>10.72759156</c:v>
                </c:pt>
                <c:pt idx="23">
                  <c:v>10.86084353</c:v>
                </c:pt>
                <c:pt idx="24">
                  <c:v>10.98963476</c:v>
                </c:pt>
                <c:pt idx="25">
                  <c:v>11.05265567</c:v>
                </c:pt>
                <c:pt idx="26">
                  <c:v>11.114904060000001</c:v>
                </c:pt>
                <c:pt idx="27">
                  <c:v>11.23747341</c:v>
                </c:pt>
                <c:pt idx="28">
                  <c:v>11.35805876</c:v>
                </c:pt>
                <c:pt idx="29">
                  <c:v>11.477279940000001</c:v>
                </c:pt>
                <c:pt idx="30">
                  <c:v>11.595669940000001</c:v>
                </c:pt>
                <c:pt idx="31">
                  <c:v>11.713683400000001</c:v>
                </c:pt>
                <c:pt idx="32">
                  <c:v>11.83170451</c:v>
                </c:pt>
                <c:pt idx="33">
                  <c:v>11.95005435</c:v>
                </c:pt>
                <c:pt idx="34">
                  <c:v>12.06899744</c:v>
                </c:pt>
                <c:pt idx="35">
                  <c:v>12.18874828</c:v>
                </c:pt>
                <c:pt idx="36">
                  <c:v>12.309477230000001</c:v>
                </c:pt>
                <c:pt idx="37">
                  <c:v>12.431315209999999</c:v>
                </c:pt>
                <c:pt idx="38">
                  <c:v>12.554359529999999</c:v>
                </c:pt>
                <c:pt idx="39">
                  <c:v>12.678677520000001</c:v>
                </c:pt>
                <c:pt idx="40">
                  <c:v>12.80431149</c:v>
                </c:pt>
                <c:pt idx="41">
                  <c:v>12.931282039999999</c:v>
                </c:pt>
                <c:pt idx="42">
                  <c:v>13.059592139999999</c:v>
                </c:pt>
                <c:pt idx="43">
                  <c:v>13.189229409999999</c:v>
                </c:pt>
                <c:pt idx="44">
                  <c:v>13.320169180000001</c:v>
                </c:pt>
                <c:pt idx="45">
                  <c:v>13.45237788</c:v>
                </c:pt>
                <c:pt idx="46">
                  <c:v>13.5858142</c:v>
                </c:pt>
                <c:pt idx="47">
                  <c:v>13.720431550000001</c:v>
                </c:pt>
                <c:pt idx="48">
                  <c:v>13.856179470000001</c:v>
                </c:pt>
                <c:pt idx="49">
                  <c:v>13.99300607</c:v>
                </c:pt>
                <c:pt idx="50">
                  <c:v>14.13085804</c:v>
                </c:pt>
                <c:pt idx="51">
                  <c:v>14.269682469999999</c:v>
                </c:pt>
                <c:pt idx="52">
                  <c:v>14.40942768</c:v>
                </c:pt>
                <c:pt idx="53">
                  <c:v>14.550043909999999</c:v>
                </c:pt>
                <c:pt idx="54">
                  <c:v>14.69148397</c:v>
                </c:pt>
                <c:pt idx="55">
                  <c:v>14.83370375</c:v>
                </c:pt>
                <c:pt idx="56">
                  <c:v>14.976662559999999</c:v>
                </c:pt>
                <c:pt idx="57">
                  <c:v>15.120323450000001</c:v>
                </c:pt>
                <c:pt idx="58">
                  <c:v>15.26465308</c:v>
                </c:pt>
                <c:pt idx="59">
                  <c:v>15.40962296</c:v>
                </c:pt>
                <c:pt idx="60">
                  <c:v>15.555207879999999</c:v>
                </c:pt>
                <c:pt idx="61">
                  <c:v>15.701386960000001</c:v>
                </c:pt>
                <c:pt idx="62">
                  <c:v>15.8481433</c:v>
                </c:pt>
                <c:pt idx="63">
                  <c:v>15.995463900000001</c:v>
                </c:pt>
                <c:pt idx="64">
                  <c:v>16.143339470000001</c:v>
                </c:pt>
                <c:pt idx="65">
                  <c:v>16.291764329999999</c:v>
                </c:pt>
                <c:pt idx="66">
                  <c:v>16.440736149999999</c:v>
                </c:pt>
                <c:pt idx="67">
                  <c:v>16.590255769999999</c:v>
                </c:pt>
                <c:pt idx="68">
                  <c:v>16.740326939999999</c:v>
                </c:pt>
                <c:pt idx="69">
                  <c:v>16.8909561</c:v>
                </c:pt>
                <c:pt idx="70">
                  <c:v>17.042152120000001</c:v>
                </c:pt>
                <c:pt idx="71">
                  <c:v>17.193926050000002</c:v>
                </c:pt>
                <c:pt idx="72">
                  <c:v>17.346290870000001</c:v>
                </c:pt>
                <c:pt idx="73">
                  <c:v>17.499260809999999</c:v>
                </c:pt>
                <c:pt idx="74">
                  <c:v>17.652852710000001</c:v>
                </c:pt>
                <c:pt idx="75">
                  <c:v>17.80708353</c:v>
                </c:pt>
                <c:pt idx="76">
                  <c:v>17.96197153</c:v>
                </c:pt>
                <c:pt idx="77">
                  <c:v>18.117535780000001</c:v>
                </c:pt>
                <c:pt idx="78">
                  <c:v>18.2737959</c:v>
                </c:pt>
                <c:pt idx="79">
                  <c:v>18.43077195</c:v>
                </c:pt>
                <c:pt idx="80">
                  <c:v>18.588484229999999</c:v>
                </c:pt>
                <c:pt idx="81">
                  <c:v>18.746953179999998</c:v>
                </c:pt>
                <c:pt idx="82">
                  <c:v>18.90619877</c:v>
                </c:pt>
                <c:pt idx="83">
                  <c:v>19.066242219999999</c:v>
                </c:pt>
                <c:pt idx="84">
                  <c:v>19.227103459999999</c:v>
                </c:pt>
                <c:pt idx="85">
                  <c:v>19.388802640000002</c:v>
                </c:pt>
                <c:pt idx="86">
                  <c:v>19.551359890000001</c:v>
                </c:pt>
                <c:pt idx="87">
                  <c:v>19.71479476</c:v>
                </c:pt>
                <c:pt idx="88">
                  <c:v>19.879127570000001</c:v>
                </c:pt>
                <c:pt idx="89">
                  <c:v>20.044377999999998</c:v>
                </c:pt>
                <c:pt idx="90">
                  <c:v>20.210566029999999</c:v>
                </c:pt>
                <c:pt idx="91">
                  <c:v>20.37771189</c:v>
                </c:pt>
                <c:pt idx="92">
                  <c:v>20.545836179999998</c:v>
                </c:pt>
                <c:pt idx="93">
                  <c:v>20.714960009999999</c:v>
                </c:pt>
                <c:pt idx="94">
                  <c:v>20.88510518</c:v>
                </c:pt>
                <c:pt idx="95">
                  <c:v>21.05629437</c:v>
                </c:pt>
                <c:pt idx="96">
                  <c:v>21.228550590000001</c:v>
                </c:pt>
                <c:pt idx="97">
                  <c:v>21.401899969999999</c:v>
                </c:pt>
                <c:pt idx="98">
                  <c:v>21.576368330000001</c:v>
                </c:pt>
                <c:pt idx="99">
                  <c:v>21.751983620000001</c:v>
                </c:pt>
                <c:pt idx="100">
                  <c:v>21.92877558</c:v>
                </c:pt>
                <c:pt idx="101">
                  <c:v>22.10677591</c:v>
                </c:pt>
                <c:pt idx="102">
                  <c:v>22.286018429999999</c:v>
                </c:pt>
                <c:pt idx="103">
                  <c:v>22.466539239999999</c:v>
                </c:pt>
                <c:pt idx="104">
                  <c:v>22.64837687</c:v>
                </c:pt>
                <c:pt idx="105">
                  <c:v>22.831572260000002</c:v>
                </c:pt>
                <c:pt idx="106">
                  <c:v>23.016170070000001</c:v>
                </c:pt>
                <c:pt idx="107">
                  <c:v>23.202215930000001</c:v>
                </c:pt>
                <c:pt idx="108">
                  <c:v>23.389759560000002</c:v>
                </c:pt>
                <c:pt idx="109">
                  <c:v>23.57885344</c:v>
                </c:pt>
                <c:pt idx="110">
                  <c:v>23.769552999999998</c:v>
                </c:pt>
                <c:pt idx="111">
                  <c:v>23.961916720000001</c:v>
                </c:pt>
                <c:pt idx="112">
                  <c:v>24.156006120000001</c:v>
                </c:pt>
                <c:pt idx="113">
                  <c:v>24.351885769999999</c:v>
                </c:pt>
                <c:pt idx="114">
                  <c:v>24.549623239999999</c:v>
                </c:pt>
                <c:pt idx="115">
                  <c:v>24.749289109999999</c:v>
                </c:pt>
                <c:pt idx="116">
                  <c:v>24.950955919999998</c:v>
                </c:pt>
                <c:pt idx="117">
                  <c:v>25.154701289999998</c:v>
                </c:pt>
                <c:pt idx="118">
                  <c:v>25.360603680000001</c:v>
                </c:pt>
                <c:pt idx="119">
                  <c:v>25.56874466</c:v>
                </c:pt>
                <c:pt idx="120">
                  <c:v>25.77920825</c:v>
                </c:pt>
                <c:pt idx="121">
                  <c:v>25.992080720000001</c:v>
                </c:pt>
                <c:pt idx="122">
                  <c:v>26.207450420000001</c:v>
                </c:pt>
                <c:pt idx="123">
                  <c:v>26.425407539999998</c:v>
                </c:pt>
                <c:pt idx="124">
                  <c:v>26.646043880000001</c:v>
                </c:pt>
                <c:pt idx="125">
                  <c:v>26.869452590000002</c:v>
                </c:pt>
                <c:pt idx="126">
                  <c:v>27.095727879999998</c:v>
                </c:pt>
                <c:pt idx="127">
                  <c:v>27.324964720000001</c:v>
                </c:pt>
                <c:pt idx="128">
                  <c:v>27.557258520000001</c:v>
                </c:pt>
                <c:pt idx="129">
                  <c:v>27.792704780000001</c:v>
                </c:pt>
                <c:pt idx="130">
                  <c:v>28.031398719999999</c:v>
                </c:pt>
                <c:pt idx="131">
                  <c:v>28.273434890000001</c:v>
                </c:pt>
                <c:pt idx="132">
                  <c:v>28.51890714</c:v>
                </c:pt>
                <c:pt idx="133">
                  <c:v>28.767905859999999</c:v>
                </c:pt>
                <c:pt idx="134">
                  <c:v>29.020523919999999</c:v>
                </c:pt>
                <c:pt idx="135">
                  <c:v>29.27684696</c:v>
                </c:pt>
                <c:pt idx="136">
                  <c:v>29.536960449999999</c:v>
                </c:pt>
                <c:pt idx="137">
                  <c:v>29.800945949999999</c:v>
                </c:pt>
                <c:pt idx="138">
                  <c:v>30.06888124</c:v>
                </c:pt>
                <c:pt idx="139">
                  <c:v>30.34083979</c:v>
                </c:pt>
                <c:pt idx="140">
                  <c:v>30.616890269999999</c:v>
                </c:pt>
                <c:pt idx="141">
                  <c:v>30.897096040000001</c:v>
                </c:pt>
                <c:pt idx="142">
                  <c:v>31.181514629999999</c:v>
                </c:pt>
                <c:pt idx="143">
                  <c:v>31.47019723</c:v>
                </c:pt>
                <c:pt idx="144">
                  <c:v>31.76318818</c:v>
                </c:pt>
                <c:pt idx="145">
                  <c:v>32.060524450000003</c:v>
                </c:pt>
                <c:pt idx="146">
                  <c:v>32.362235140000003</c:v>
                </c:pt>
                <c:pt idx="147">
                  <c:v>32.668340989999997</c:v>
                </c:pt>
                <c:pt idx="148">
                  <c:v>32.978853870000002</c:v>
                </c:pt>
                <c:pt idx="149">
                  <c:v>33.293776350000002</c:v>
                </c:pt>
                <c:pt idx="150">
                  <c:v>33.613101190000002</c:v>
                </c:pt>
                <c:pt idx="151">
                  <c:v>33.936810919999999</c:v>
                </c:pt>
                <c:pt idx="152">
                  <c:v>34.264877460000001</c:v>
                </c:pt>
                <c:pt idx="153">
                  <c:v>34.597261369999998</c:v>
                </c:pt>
                <c:pt idx="154">
                  <c:v>34.933912800000002</c:v>
                </c:pt>
                <c:pt idx="155">
                  <c:v>35.274768979999997</c:v>
                </c:pt>
                <c:pt idx="156">
                  <c:v>35.619755550000001</c:v>
                </c:pt>
                <c:pt idx="157">
                  <c:v>35.96878581</c:v>
                </c:pt>
                <c:pt idx="158">
                  <c:v>36.321760529999999</c:v>
                </c:pt>
                <c:pt idx="159">
                  <c:v>36.67856768</c:v>
                </c:pt>
                <c:pt idx="160">
                  <c:v>37.039082319999999</c:v>
                </c:pt>
                <c:pt idx="161">
                  <c:v>37.403166489999997</c:v>
                </c:pt>
                <c:pt idx="162">
                  <c:v>37.770669099999999</c:v>
                </c:pt>
                <c:pt idx="163">
                  <c:v>38.141425320000003</c:v>
                </c:pt>
                <c:pt idx="164">
                  <c:v>38.515258670000001</c:v>
                </c:pt>
                <c:pt idx="165">
                  <c:v>38.891978510000001</c:v>
                </c:pt>
                <c:pt idx="166">
                  <c:v>39.271381679999998</c:v>
                </c:pt>
                <c:pt idx="167">
                  <c:v>39.653252330000001</c:v>
                </c:pt>
                <c:pt idx="168">
                  <c:v>40.03736224</c:v>
                </c:pt>
                <c:pt idx="169">
                  <c:v>40.423471050000003</c:v>
                </c:pt>
                <c:pt idx="170">
                  <c:v>40.811326719999997</c:v>
                </c:pt>
                <c:pt idx="171">
                  <c:v>41.200665880000003</c:v>
                </c:pt>
                <c:pt idx="172">
                  <c:v>41.591214399999998</c:v>
                </c:pt>
                <c:pt idx="173">
                  <c:v>41.982687869999999</c:v>
                </c:pt>
                <c:pt idx="174">
                  <c:v>42.37479226</c:v>
                </c:pt>
                <c:pt idx="175">
                  <c:v>42.767224560000002</c:v>
                </c:pt>
                <c:pt idx="176">
                  <c:v>43.159673550000001</c:v>
                </c:pt>
                <c:pt idx="177">
                  <c:v>43.551820540000001</c:v>
                </c:pt>
                <c:pt idx="178">
                  <c:v>43.943340280000001</c:v>
                </c:pt>
                <c:pt idx="179">
                  <c:v>44.333901779999998</c:v>
                </c:pt>
                <c:pt idx="180">
                  <c:v>44.723168430000001</c:v>
                </c:pt>
                <c:pt idx="181">
                  <c:v>45.110803500000003</c:v>
                </c:pt>
                <c:pt idx="182">
                  <c:v>45.496462170000001</c:v>
                </c:pt>
                <c:pt idx="183">
                  <c:v>45.879801639999997</c:v>
                </c:pt>
                <c:pt idx="184">
                  <c:v>46.260477819999998</c:v>
                </c:pt>
                <c:pt idx="185">
                  <c:v>46.638147369999999</c:v>
                </c:pt>
                <c:pt idx="186">
                  <c:v>47.012469009999997</c:v>
                </c:pt>
                <c:pt idx="187">
                  <c:v>47.383104699999997</c:v>
                </c:pt>
                <c:pt idx="188">
                  <c:v>47.749720189999998</c:v>
                </c:pt>
                <c:pt idx="189">
                  <c:v>48.11199053</c:v>
                </c:pt>
                <c:pt idx="190">
                  <c:v>48.469593029999999</c:v>
                </c:pt>
                <c:pt idx="191">
                  <c:v>48.822217090000002</c:v>
                </c:pt>
                <c:pt idx="192">
                  <c:v>49.169563019999998</c:v>
                </c:pt>
                <c:pt idx="193">
                  <c:v>49.511338209999998</c:v>
                </c:pt>
                <c:pt idx="194">
                  <c:v>49.847267029999998</c:v>
                </c:pt>
                <c:pt idx="195">
                  <c:v>50.17708708</c:v>
                </c:pt>
                <c:pt idx="196">
                  <c:v>50.500551799999997</c:v>
                </c:pt>
                <c:pt idx="197">
                  <c:v>50.817431859999999</c:v>
                </c:pt>
                <c:pt idx="198">
                  <c:v>51.127516610000001</c:v>
                </c:pt>
                <c:pt idx="199">
                  <c:v>51.430615369999998</c:v>
                </c:pt>
                <c:pt idx="200">
                  <c:v>51.726558740000002</c:v>
                </c:pt>
                <c:pt idx="201">
                  <c:v>52.015199819999999</c:v>
                </c:pt>
                <c:pt idx="202">
                  <c:v>52.29641539</c:v>
                </c:pt>
                <c:pt idx="203">
                  <c:v>52.570106920000001</c:v>
                </c:pt>
                <c:pt idx="204">
                  <c:v>52.836201529999997</c:v>
                </c:pt>
                <c:pt idx="205">
                  <c:v>53.094652750000002</c:v>
                </c:pt>
                <c:pt idx="206">
                  <c:v>53.345441209999997</c:v>
                </c:pt>
                <c:pt idx="207">
                  <c:v>53.588575069999997</c:v>
                </c:pt>
                <c:pt idx="208">
                  <c:v>53.824090320000003</c:v>
                </c:pt>
                <c:pt idx="209">
                  <c:v>54.052049390000001</c:v>
                </c:pt>
                <c:pt idx="210">
                  <c:v>54.272547080000002</c:v>
                </c:pt>
                <c:pt idx="211">
                  <c:v>54.485700119999997</c:v>
                </c:pt>
                <c:pt idx="212">
                  <c:v>54.691653639999998</c:v>
                </c:pt>
                <c:pt idx="213">
                  <c:v>54.890578189999999</c:v>
                </c:pt>
                <c:pt idx="214">
                  <c:v>55.082668320000003</c:v>
                </c:pt>
                <c:pt idx="215">
                  <c:v>55.268140809999998</c:v>
                </c:pt>
                <c:pt idx="216">
                  <c:v>55.447232550000003</c:v>
                </c:pt>
                <c:pt idx="217">
                  <c:v>55.620197990000001</c:v>
                </c:pt>
                <c:pt idx="218">
                  <c:v>55.787306219999998</c:v>
                </c:pt>
                <c:pt idx="219">
                  <c:v>55.948837470000001</c:v>
                </c:pt>
                <c:pt idx="220">
                  <c:v>56.105082060000001</c:v>
                </c:pt>
                <c:pt idx="221">
                  <c:v>56.256325089999997</c:v>
                </c:pt>
                <c:pt idx="222">
                  <c:v>56.402856</c:v>
                </c:pt>
                <c:pt idx="223">
                  <c:v>56.544954250000004</c:v>
                </c:pt>
                <c:pt idx="224">
                  <c:v>56.68288493</c:v>
                </c:pt>
                <c:pt idx="225">
                  <c:v>56.816890020000002</c:v>
                </c:pt>
                <c:pt idx="226">
                  <c:v>56.947189180000002</c:v>
                </c:pt>
                <c:pt idx="227">
                  <c:v>57.073957</c:v>
                </c:pt>
                <c:pt idx="228">
                  <c:v>57.197324479999999</c:v>
                </c:pt>
                <c:pt idx="229">
                  <c:v>57.317366130000003</c:v>
                </c:pt>
                <c:pt idx="230">
                  <c:v>57.43408908</c:v>
                </c:pt>
                <c:pt idx="231">
                  <c:v>57.547421129999996</c:v>
                </c:pt>
                <c:pt idx="232">
                  <c:v>57.6571979</c:v>
                </c:pt>
                <c:pt idx="233">
                  <c:v>57.763148899999997</c:v>
                </c:pt>
                <c:pt idx="234">
                  <c:v>57.864882440000002</c:v>
                </c:pt>
                <c:pt idx="235">
                  <c:v>57.961869440000001</c:v>
                </c:pt>
                <c:pt idx="236">
                  <c:v>58.053425910000001</c:v>
                </c:pt>
                <c:pt idx="237">
                  <c:v>58.138694139999998</c:v>
                </c:pt>
                <c:pt idx="238">
                  <c:v>58.2166225</c:v>
                </c:pt>
                <c:pt idx="239">
                  <c:v>58.285943680000003</c:v>
                </c:pt>
                <c:pt idx="240">
                  <c:v>58.345149460000002</c:v>
                </c:pt>
                <c:pt idx="241">
                  <c:v>58.392472679999997</c:v>
                </c:pt>
                <c:pt idx="242">
                  <c:v>58.411045719999997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4A-4C7C-BC01-0DC7A95BB1BA}"/>
            </c:ext>
          </c:extLst>
        </c:ser>
        <c:ser>
          <c:idx val="5"/>
          <c:order val="5"/>
          <c:tx>
            <c:v>P25 boys</c:v>
          </c:tx>
          <c:spPr>
            <a:ln w="6350" cap="rnd">
              <a:solidFill>
                <a:srgbClr val="00B0F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weight4age!$B$2:$B$244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weight4age!$I$2:$I$244</c:f>
              <c:numCache>
                <c:formatCode>General</c:formatCode>
                <c:ptCount val="243"/>
                <c:pt idx="0">
                  <c:v>3.1506110820000002</c:v>
                </c:pt>
                <c:pt idx="1">
                  <c:v>3.597395573</c:v>
                </c:pt>
                <c:pt idx="2">
                  <c:v>4.4288729519999999</c:v>
                </c:pt>
                <c:pt idx="3">
                  <c:v>5.1833775470000001</c:v>
                </c:pt>
                <c:pt idx="4">
                  <c:v>5.8668062540000001</c:v>
                </c:pt>
                <c:pt idx="5">
                  <c:v>6.484969167</c:v>
                </c:pt>
                <c:pt idx="6">
                  <c:v>7.0436269180000002</c:v>
                </c:pt>
                <c:pt idx="7">
                  <c:v>7.548345716</c:v>
                </c:pt>
                <c:pt idx="8">
                  <c:v>8.0043987750000003</c:v>
                </c:pt>
                <c:pt idx="9">
                  <c:v>8.4167187749999997</c:v>
                </c:pt>
                <c:pt idx="10">
                  <c:v>8.7898818920000004</c:v>
                </c:pt>
                <c:pt idx="11">
                  <c:v>9.1281095229999991</c:v>
                </c:pt>
                <c:pt idx="12">
                  <c:v>9.4352794099999997</c:v>
                </c:pt>
                <c:pt idx="13">
                  <c:v>9.7149418010000002</c:v>
                </c:pt>
                <c:pt idx="14">
                  <c:v>9.9703375960000002</c:v>
                </c:pt>
                <c:pt idx="15">
                  <c:v>10.20441778</c:v>
                </c:pt>
                <c:pt idx="16">
                  <c:v>10.419862759999999</c:v>
                </c:pt>
                <c:pt idx="17">
                  <c:v>10.61910138</c:v>
                </c:pt>
                <c:pt idx="18">
                  <c:v>10.80432929</c:v>
                </c:pt>
                <c:pt idx="19">
                  <c:v>10.977526620000001</c:v>
                </c:pt>
                <c:pt idx="20">
                  <c:v>11.14047457</c:v>
                </c:pt>
                <c:pt idx="21">
                  <c:v>11.2947714</c:v>
                </c:pt>
                <c:pt idx="22">
                  <c:v>11.44184727</c:v>
                </c:pt>
                <c:pt idx="23">
                  <c:v>11.58297823</c:v>
                </c:pt>
                <c:pt idx="24">
                  <c:v>11.719299299999999</c:v>
                </c:pt>
                <c:pt idx="25">
                  <c:v>11.785975280000001</c:v>
                </c:pt>
                <c:pt idx="26">
                  <c:v>11.851816660000001</c:v>
                </c:pt>
                <c:pt idx="27">
                  <c:v>11.981418919999999</c:v>
                </c:pt>
                <c:pt idx="28">
                  <c:v>12.10888759</c:v>
                </c:pt>
                <c:pt idx="29">
                  <c:v>12.234906710000001</c:v>
                </c:pt>
                <c:pt idx="30">
                  <c:v>12.360071749999999</c:v>
                </c:pt>
                <c:pt idx="31">
                  <c:v>12.484897719999999</c:v>
                </c:pt>
                <c:pt idx="32">
                  <c:v>12.60982671</c:v>
                </c:pt>
                <c:pt idx="33">
                  <c:v>12.73523417</c:v>
                </c:pt>
                <c:pt idx="34">
                  <c:v>12.861437759999999</c:v>
                </c:pt>
                <c:pt idx="35">
                  <c:v>12.98869962</c:v>
                </c:pt>
                <c:pt idx="36">
                  <c:v>13.117231869999999</c:v>
                </c:pt>
                <c:pt idx="37">
                  <c:v>13.247206569999999</c:v>
                </c:pt>
                <c:pt idx="38">
                  <c:v>13.378753740000001</c:v>
                </c:pt>
                <c:pt idx="39">
                  <c:v>13.511971969999999</c:v>
                </c:pt>
                <c:pt idx="40">
                  <c:v>13.64692711</c:v>
                </c:pt>
                <c:pt idx="41">
                  <c:v>13.783659650000001</c:v>
                </c:pt>
                <c:pt idx="42">
                  <c:v>13.92218431</c:v>
                </c:pt>
                <c:pt idx="43">
                  <c:v>14.062498590000001</c:v>
                </c:pt>
                <c:pt idx="44">
                  <c:v>14.204583599999999</c:v>
                </c:pt>
                <c:pt idx="45">
                  <c:v>14.34840318</c:v>
                </c:pt>
                <c:pt idx="46">
                  <c:v>14.493911629999999</c:v>
                </c:pt>
                <c:pt idx="47">
                  <c:v>14.641053429999999</c:v>
                </c:pt>
                <c:pt idx="48">
                  <c:v>14.78976688</c:v>
                </c:pt>
                <c:pt idx="49">
                  <c:v>14.93998212</c:v>
                </c:pt>
                <c:pt idx="50">
                  <c:v>15.091628099999999</c:v>
                </c:pt>
                <c:pt idx="51">
                  <c:v>15.244630770000001</c:v>
                </c:pt>
                <c:pt idx="52">
                  <c:v>15.39891519</c:v>
                </c:pt>
                <c:pt idx="53">
                  <c:v>15.554406650000001</c:v>
                </c:pt>
                <c:pt idx="54">
                  <c:v>15.71103166</c:v>
                </c:pt>
                <c:pt idx="55">
                  <c:v>15.868718769999999</c:v>
                </c:pt>
                <c:pt idx="56">
                  <c:v>16.027399299999999</c:v>
                </c:pt>
                <c:pt idx="57">
                  <c:v>16.187007950000002</c:v>
                </c:pt>
                <c:pt idx="58">
                  <c:v>16.347484120000001</c:v>
                </c:pt>
                <c:pt idx="59">
                  <c:v>16.508769090000001</c:v>
                </c:pt>
                <c:pt idx="60">
                  <c:v>16.670811</c:v>
                </c:pt>
                <c:pt idx="61">
                  <c:v>16.833562090000001</c:v>
                </c:pt>
                <c:pt idx="62">
                  <c:v>16.996979629999998</c:v>
                </c:pt>
                <c:pt idx="63">
                  <c:v>17.16102601</c:v>
                </c:pt>
                <c:pt idx="64">
                  <c:v>17.325668839999999</c:v>
                </c:pt>
                <c:pt idx="65">
                  <c:v>17.49088098</c:v>
                </c:pt>
                <c:pt idx="66">
                  <c:v>17.65664052</c:v>
                </c:pt>
                <c:pt idx="67">
                  <c:v>17.82293074</c:v>
                </c:pt>
                <c:pt idx="68">
                  <c:v>17.989740050000002</c:v>
                </c:pt>
                <c:pt idx="69">
                  <c:v>18.157061880000001</c:v>
                </c:pt>
                <c:pt idx="70">
                  <c:v>18.324894570000001</c:v>
                </c:pt>
                <c:pt idx="71">
                  <c:v>18.493241220000002</c:v>
                </c:pt>
                <c:pt idx="72">
                  <c:v>18.66210955</c:v>
                </c:pt>
                <c:pt idx="73">
                  <c:v>18.831512620000002</c:v>
                </c:pt>
                <c:pt idx="74">
                  <c:v>19.001465150000001</c:v>
                </c:pt>
                <c:pt idx="75">
                  <c:v>19.171988339999999</c:v>
                </c:pt>
                <c:pt idx="76">
                  <c:v>19.343106429999999</c:v>
                </c:pt>
                <c:pt idx="77">
                  <c:v>19.514847240000002</c:v>
                </c:pt>
                <c:pt idx="78">
                  <c:v>19.68724198</c:v>
                </c:pt>
                <c:pt idx="79">
                  <c:v>19.860324940000002</c:v>
                </c:pt>
                <c:pt idx="80">
                  <c:v>20.034133270000002</c:v>
                </c:pt>
                <c:pt idx="81">
                  <c:v>20.208706729999999</c:v>
                </c:pt>
                <c:pt idx="82">
                  <c:v>20.384088349999999</c:v>
                </c:pt>
                <c:pt idx="83">
                  <c:v>20.560320910000002</c:v>
                </c:pt>
                <c:pt idx="84">
                  <c:v>20.737451159999999</c:v>
                </c:pt>
                <c:pt idx="85">
                  <c:v>20.9155269</c:v>
                </c:pt>
                <c:pt idx="86">
                  <c:v>21.094597069999999</c:v>
                </c:pt>
                <c:pt idx="87">
                  <c:v>21.274712600000001</c:v>
                </c:pt>
                <c:pt idx="88">
                  <c:v>21.455924079999999</c:v>
                </c:pt>
                <c:pt idx="89">
                  <c:v>21.638283959999999</c:v>
                </c:pt>
                <c:pt idx="90">
                  <c:v>21.821845039999999</c:v>
                </c:pt>
                <c:pt idx="91">
                  <c:v>22.00666068</c:v>
                </c:pt>
                <c:pt idx="92">
                  <c:v>22.19278461</c:v>
                </c:pt>
                <c:pt idx="93">
                  <c:v>22.38027095</c:v>
                </c:pt>
                <c:pt idx="94">
                  <c:v>22.569174069999999</c:v>
                </c:pt>
                <c:pt idx="95">
                  <c:v>22.759548580000001</c:v>
                </c:pt>
                <c:pt idx="96">
                  <c:v>22.951450189999999</c:v>
                </c:pt>
                <c:pt idx="97">
                  <c:v>23.144932489999999</c:v>
                </c:pt>
                <c:pt idx="98">
                  <c:v>23.340051519999999</c:v>
                </c:pt>
                <c:pt idx="99">
                  <c:v>23.53686295</c:v>
                </c:pt>
                <c:pt idx="100">
                  <c:v>23.73542282</c:v>
                </c:pt>
                <c:pt idx="101">
                  <c:v>23.935787609999998</c:v>
                </c:pt>
                <c:pt idx="102">
                  <c:v>24.138014309999999</c:v>
                </c:pt>
                <c:pt idx="103">
                  <c:v>24.342160530000001</c:v>
                </c:pt>
                <c:pt idx="104">
                  <c:v>24.548284580000001</c:v>
                </c:pt>
                <c:pt idx="105">
                  <c:v>24.7564457</c:v>
                </c:pt>
                <c:pt idx="106">
                  <c:v>24.966702810000001</c:v>
                </c:pt>
                <c:pt idx="107">
                  <c:v>25.179117850000001</c:v>
                </c:pt>
                <c:pt idx="108">
                  <c:v>25.393752379999999</c:v>
                </c:pt>
                <c:pt idx="109">
                  <c:v>25.610669250000001</c:v>
                </c:pt>
                <c:pt idx="110">
                  <c:v>25.829932429999999</c:v>
                </c:pt>
                <c:pt idx="111">
                  <c:v>26.05160708</c:v>
                </c:pt>
                <c:pt idx="112">
                  <c:v>26.27575951</c:v>
                </c:pt>
                <c:pt idx="113">
                  <c:v>26.502457190000001</c:v>
                </c:pt>
                <c:pt idx="114">
                  <c:v>26.731768760000001</c:v>
                </c:pt>
                <c:pt idx="115">
                  <c:v>26.96376399</c:v>
                </c:pt>
                <c:pt idx="116">
                  <c:v>27.198514320000001</c:v>
                </c:pt>
                <c:pt idx="117">
                  <c:v>27.436090719999999</c:v>
                </c:pt>
                <c:pt idx="118">
                  <c:v>27.67656629</c:v>
                </c:pt>
                <c:pt idx="119">
                  <c:v>27.92001453</c:v>
                </c:pt>
                <c:pt idx="120">
                  <c:v>28.16650963</c:v>
                </c:pt>
                <c:pt idx="121">
                  <c:v>28.41612623</c:v>
                </c:pt>
                <c:pt idx="122">
                  <c:v>28.66893932</c:v>
                </c:pt>
                <c:pt idx="123">
                  <c:v>28.92502395</c:v>
                </c:pt>
                <c:pt idx="124">
                  <c:v>29.18445509</c:v>
                </c:pt>
                <c:pt idx="125">
                  <c:v>29.447307330000001</c:v>
                </c:pt>
                <c:pt idx="126">
                  <c:v>29.713654600000002</c:v>
                </c:pt>
                <c:pt idx="127">
                  <c:v>29.983569970000001</c:v>
                </c:pt>
                <c:pt idx="128">
                  <c:v>30.25712523</c:v>
                </c:pt>
                <c:pt idx="129">
                  <c:v>30.534390649999999</c:v>
                </c:pt>
                <c:pt idx="130">
                  <c:v>30.8154346</c:v>
                </c:pt>
                <c:pt idx="131">
                  <c:v>31.100323199999998</c:v>
                </c:pt>
                <c:pt idx="132">
                  <c:v>31.38911963</c:v>
                </c:pt>
                <c:pt idx="133">
                  <c:v>31.6818858</c:v>
                </c:pt>
                <c:pt idx="134">
                  <c:v>31.978676220000001</c:v>
                </c:pt>
                <c:pt idx="135">
                  <c:v>32.279546009999997</c:v>
                </c:pt>
                <c:pt idx="136">
                  <c:v>32.58454356</c:v>
                </c:pt>
                <c:pt idx="137">
                  <c:v>32.893713089999999</c:v>
                </c:pt>
                <c:pt idx="138">
                  <c:v>33.20709368</c:v>
                </c:pt>
                <c:pt idx="139">
                  <c:v>33.524718819999997</c:v>
                </c:pt>
                <c:pt idx="140">
                  <c:v>33.846615960000001</c:v>
                </c:pt>
                <c:pt idx="141">
                  <c:v>34.172806059999999</c:v>
                </c:pt>
                <c:pt idx="142">
                  <c:v>34.503303119999998</c:v>
                </c:pt>
                <c:pt idx="143">
                  <c:v>34.838113790000001</c:v>
                </c:pt>
                <c:pt idx="144">
                  <c:v>35.177236870000002</c:v>
                </c:pt>
                <c:pt idx="145">
                  <c:v>35.520662919999999</c:v>
                </c:pt>
                <c:pt idx="146">
                  <c:v>35.868373800000001</c:v>
                </c:pt>
                <c:pt idx="147">
                  <c:v>36.220342309999999</c:v>
                </c:pt>
                <c:pt idx="148">
                  <c:v>36.576531750000001</c:v>
                </c:pt>
                <c:pt idx="149">
                  <c:v>36.9368956</c:v>
                </c:pt>
                <c:pt idx="150">
                  <c:v>37.301377100000003</c:v>
                </c:pt>
                <c:pt idx="151">
                  <c:v>37.669908999999997</c:v>
                </c:pt>
                <c:pt idx="152">
                  <c:v>38.042413179999997</c:v>
                </c:pt>
                <c:pt idx="153">
                  <c:v>38.4188008</c:v>
                </c:pt>
                <c:pt idx="154">
                  <c:v>38.798970390000001</c:v>
                </c:pt>
                <c:pt idx="155">
                  <c:v>39.182810449999998</c:v>
                </c:pt>
                <c:pt idx="156">
                  <c:v>39.570197139999998</c:v>
                </c:pt>
                <c:pt idx="157">
                  <c:v>39.960994749999998</c:v>
                </c:pt>
                <c:pt idx="158">
                  <c:v>40.355055610000001</c:v>
                </c:pt>
                <c:pt idx="159">
                  <c:v>40.752220059999999</c:v>
                </c:pt>
                <c:pt idx="160">
                  <c:v>41.152316460000002</c:v>
                </c:pt>
                <c:pt idx="161">
                  <c:v>41.555161239999997</c:v>
                </c:pt>
                <c:pt idx="162">
                  <c:v>41.960558970000001</c:v>
                </c:pt>
                <c:pt idx="163">
                  <c:v>42.368303709999999</c:v>
                </c:pt>
                <c:pt idx="164">
                  <c:v>42.778175539999999</c:v>
                </c:pt>
                <c:pt idx="165">
                  <c:v>43.189945399999999</c:v>
                </c:pt>
                <c:pt idx="166">
                  <c:v>43.603372800000002</c:v>
                </c:pt>
                <c:pt idx="167">
                  <c:v>44.018206829999997</c:v>
                </c:pt>
                <c:pt idx="168">
                  <c:v>44.434186560000001</c:v>
                </c:pt>
                <c:pt idx="169">
                  <c:v>44.851041600000002</c:v>
                </c:pt>
                <c:pt idx="170">
                  <c:v>45.268492620000004</c:v>
                </c:pt>
                <c:pt idx="171">
                  <c:v>45.686252029999999</c:v>
                </c:pt>
                <c:pt idx="172">
                  <c:v>46.10402466</c:v>
                </c:pt>
                <c:pt idx="173">
                  <c:v>46.521508500000003</c:v>
                </c:pt>
                <c:pt idx="174">
                  <c:v>46.93839552</c:v>
                </c:pt>
                <c:pt idx="175">
                  <c:v>47.35437254</c:v>
                </c:pt>
                <c:pt idx="176">
                  <c:v>47.76912213</c:v>
                </c:pt>
                <c:pt idx="177">
                  <c:v>48.18232356</c:v>
                </c:pt>
                <c:pt idx="178">
                  <c:v>48.593653840000002</c:v>
                </c:pt>
                <c:pt idx="179">
                  <c:v>49.002788729999999</c:v>
                </c:pt>
                <c:pt idx="180">
                  <c:v>49.409405630000002</c:v>
                </c:pt>
                <c:pt idx="181">
                  <c:v>49.813175659999999</c:v>
                </c:pt>
                <c:pt idx="182">
                  <c:v>50.21378283</c:v>
                </c:pt>
                <c:pt idx="183">
                  <c:v>50.610907159999996</c:v>
                </c:pt>
                <c:pt idx="184">
                  <c:v>51.004234799999999</c:v>
                </c:pt>
                <c:pt idx="185">
                  <c:v>51.393457429999998</c:v>
                </c:pt>
                <c:pt idx="186">
                  <c:v>51.778273409999997</c:v>
                </c:pt>
                <c:pt idx="187">
                  <c:v>52.158388870000003</c:v>
                </c:pt>
                <c:pt idx="188">
                  <c:v>52.533520179999996</c:v>
                </c:pt>
                <c:pt idx="189">
                  <c:v>52.903388720000002</c:v>
                </c:pt>
                <c:pt idx="190">
                  <c:v>53.267734539999999</c:v>
                </c:pt>
                <c:pt idx="191">
                  <c:v>53.626304879999999</c:v>
                </c:pt>
                <c:pt idx="192">
                  <c:v>53.978858320000001</c:v>
                </c:pt>
                <c:pt idx="193">
                  <c:v>54.325176249999998</c:v>
                </c:pt>
                <c:pt idx="194">
                  <c:v>54.66504759</c:v>
                </c:pt>
                <c:pt idx="195">
                  <c:v>54.998279699999998</c:v>
                </c:pt>
                <c:pt idx="196">
                  <c:v>55.324696959999997</c:v>
                </c:pt>
                <c:pt idx="197">
                  <c:v>55.644141660000003</c:v>
                </c:pt>
                <c:pt idx="198">
                  <c:v>55.956474780000001</c:v>
                </c:pt>
                <c:pt idx="199">
                  <c:v>56.261576810000001</c:v>
                </c:pt>
                <c:pt idx="200">
                  <c:v>56.559348389999997</c:v>
                </c:pt>
                <c:pt idx="201">
                  <c:v>56.8497111</c:v>
                </c:pt>
                <c:pt idx="202">
                  <c:v>57.132607989999997</c:v>
                </c:pt>
                <c:pt idx="203">
                  <c:v>57.408004159999997</c:v>
                </c:pt>
                <c:pt idx="204">
                  <c:v>57.675887279999998</c:v>
                </c:pt>
                <c:pt idx="205">
                  <c:v>57.93626794</c:v>
                </c:pt>
                <c:pt idx="206">
                  <c:v>58.18918</c:v>
                </c:pt>
                <c:pt idx="207">
                  <c:v>58.43468077</c:v>
                </c:pt>
                <c:pt idx="208">
                  <c:v>58.672851049999998</c:v>
                </c:pt>
                <c:pt idx="209">
                  <c:v>58.903797419999997</c:v>
                </c:pt>
                <c:pt idx="210">
                  <c:v>59.127641699999998</c:v>
                </c:pt>
                <c:pt idx="211">
                  <c:v>59.3445374</c:v>
                </c:pt>
                <c:pt idx="212">
                  <c:v>59.554656780000002</c:v>
                </c:pt>
                <c:pt idx="213">
                  <c:v>59.758193259999999</c:v>
                </c:pt>
                <c:pt idx="214">
                  <c:v>59.955360249999998</c:v>
                </c:pt>
                <c:pt idx="215">
                  <c:v>60.1463897</c:v>
                </c:pt>
                <c:pt idx="216">
                  <c:v>60.331530270000002</c:v>
                </c:pt>
                <c:pt idx="217">
                  <c:v>60.511045119999999</c:v>
                </c:pt>
                <c:pt idx="218">
                  <c:v>60.685209280000002</c:v>
                </c:pt>
                <c:pt idx="219">
                  <c:v>60.854306620000003</c:v>
                </c:pt>
                <c:pt idx="220">
                  <c:v>61.018623699999999</c:v>
                </c:pt>
                <c:pt idx="221">
                  <c:v>61.178455319999998</c:v>
                </c:pt>
                <c:pt idx="222">
                  <c:v>61.334087869999998</c:v>
                </c:pt>
                <c:pt idx="223">
                  <c:v>61.485800859999998</c:v>
                </c:pt>
                <c:pt idx="224">
                  <c:v>61.63385984</c:v>
                </c:pt>
                <c:pt idx="225">
                  <c:v>61.778512229999997</c:v>
                </c:pt>
                <c:pt idx="226">
                  <c:v>61.919969530000003</c:v>
                </c:pt>
                <c:pt idx="227">
                  <c:v>62.058417329999997</c:v>
                </c:pt>
                <c:pt idx="228">
                  <c:v>62.19399335</c:v>
                </c:pt>
                <c:pt idx="229">
                  <c:v>62.326781269999998</c:v>
                </c:pt>
                <c:pt idx="230">
                  <c:v>62.456800209999997</c:v>
                </c:pt>
                <c:pt idx="231">
                  <c:v>62.583993370000002</c:v>
                </c:pt>
                <c:pt idx="232">
                  <c:v>62.708215680000002</c:v>
                </c:pt>
                <c:pt idx="233">
                  <c:v>62.829220399999997</c:v>
                </c:pt>
                <c:pt idx="234">
                  <c:v>62.94664487</c:v>
                </c:pt>
                <c:pt idx="235">
                  <c:v>63.059995299999997</c:v>
                </c:pt>
                <c:pt idx="236">
                  <c:v>63.168630649999997</c:v>
                </c:pt>
                <c:pt idx="237">
                  <c:v>63.271745850000002</c:v>
                </c:pt>
                <c:pt idx="238">
                  <c:v>63.368354310000001</c:v>
                </c:pt>
                <c:pt idx="239">
                  <c:v>63.457270010000002</c:v>
                </c:pt>
                <c:pt idx="240">
                  <c:v>63.537092569999999</c:v>
                </c:pt>
                <c:pt idx="241">
                  <c:v>63.606177199999998</c:v>
                </c:pt>
                <c:pt idx="242">
                  <c:v>63.636112500000003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F4A-4C7C-BC01-0DC7A95BB1BA}"/>
            </c:ext>
          </c:extLst>
        </c:ser>
        <c:ser>
          <c:idx val="1"/>
          <c:order val="6"/>
          <c:tx>
            <c:v>P50 boys</c:v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weight4age!$B$2:$B$244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weight4age!$J$2:$J$244</c:f>
              <c:numCache>
                <c:formatCode>General</c:formatCode>
                <c:ptCount val="243"/>
                <c:pt idx="0">
                  <c:v>3.5302031679999999</c:v>
                </c:pt>
                <c:pt idx="1">
                  <c:v>4.0031064240000003</c:v>
                </c:pt>
                <c:pt idx="2">
                  <c:v>4.8795250829999999</c:v>
                </c:pt>
                <c:pt idx="3">
                  <c:v>5.6728887649999997</c:v>
                </c:pt>
                <c:pt idx="4">
                  <c:v>6.391391982</c:v>
                </c:pt>
                <c:pt idx="5">
                  <c:v>7.0418364320000002</c:v>
                </c:pt>
                <c:pt idx="6">
                  <c:v>7.6304251819999998</c:v>
                </c:pt>
                <c:pt idx="7">
                  <c:v>8.1629510350000007</c:v>
                </c:pt>
                <c:pt idx="8">
                  <c:v>8.6448324789999997</c:v>
                </c:pt>
                <c:pt idx="9">
                  <c:v>9.0811198169999994</c:v>
                </c:pt>
                <c:pt idx="10">
                  <c:v>9.4765003050000001</c:v>
                </c:pt>
                <c:pt idx="11">
                  <c:v>9.8353077009999996</c:v>
                </c:pt>
                <c:pt idx="12">
                  <c:v>10.161535669999999</c:v>
                </c:pt>
                <c:pt idx="13">
                  <c:v>10.45885399</c:v>
                </c:pt>
                <c:pt idx="14">
                  <c:v>10.7306256</c:v>
                </c:pt>
                <c:pt idx="15">
                  <c:v>10.979924820000001</c:v>
                </c:pt>
                <c:pt idx="16">
                  <c:v>11.209555290000001</c:v>
                </c:pt>
                <c:pt idx="17">
                  <c:v>11.422067699999999</c:v>
                </c:pt>
                <c:pt idx="18">
                  <c:v>11.619776979999999</c:v>
                </c:pt>
                <c:pt idx="19">
                  <c:v>11.80477902</c:v>
                </c:pt>
                <c:pt idx="20">
                  <c:v>11.9789663</c:v>
                </c:pt>
                <c:pt idx="21">
                  <c:v>12.14404334</c:v>
                </c:pt>
                <c:pt idx="22">
                  <c:v>12.301541029999999</c:v>
                </c:pt>
                <c:pt idx="23">
                  <c:v>12.452830280000001</c:v>
                </c:pt>
                <c:pt idx="24">
                  <c:v>12.599134940000001</c:v>
                </c:pt>
                <c:pt idx="25">
                  <c:v>12.670763300000001</c:v>
                </c:pt>
                <c:pt idx="26">
                  <c:v>12.74154396</c:v>
                </c:pt>
                <c:pt idx="27">
                  <c:v>12.88102276</c:v>
                </c:pt>
                <c:pt idx="28">
                  <c:v>13.018423820000001</c:v>
                </c:pt>
                <c:pt idx="29">
                  <c:v>13.1544966</c:v>
                </c:pt>
                <c:pt idx="30">
                  <c:v>13.289896669999999</c:v>
                </c:pt>
                <c:pt idx="31">
                  <c:v>13.425194080000001</c:v>
                </c:pt>
                <c:pt idx="32">
                  <c:v>13.56088113</c:v>
                </c:pt>
                <c:pt idx="33">
                  <c:v>13.697378580000001</c:v>
                </c:pt>
                <c:pt idx="34">
                  <c:v>13.835046220000001</c:v>
                </c:pt>
                <c:pt idx="35">
                  <c:v>13.974182989999999</c:v>
                </c:pt>
                <c:pt idx="36">
                  <c:v>14.1150324</c:v>
                </c:pt>
                <c:pt idx="37">
                  <c:v>14.25779618</c:v>
                </c:pt>
                <c:pt idx="38">
                  <c:v>14.40262749</c:v>
                </c:pt>
                <c:pt idx="39">
                  <c:v>14.54964614</c:v>
                </c:pt>
                <c:pt idx="40">
                  <c:v>14.69893326</c:v>
                </c:pt>
                <c:pt idx="41">
                  <c:v>14.850541509999999</c:v>
                </c:pt>
                <c:pt idx="42">
                  <c:v>15.00449143</c:v>
                </c:pt>
                <c:pt idx="43">
                  <c:v>15.16078454</c:v>
                </c:pt>
                <c:pt idx="44">
                  <c:v>15.319402459999999</c:v>
                </c:pt>
                <c:pt idx="45">
                  <c:v>15.480303129999999</c:v>
                </c:pt>
                <c:pt idx="46">
                  <c:v>15.64343309</c:v>
                </c:pt>
                <c:pt idx="47">
                  <c:v>15.80872535</c:v>
                </c:pt>
                <c:pt idx="48">
                  <c:v>15.97610456</c:v>
                </c:pt>
                <c:pt idx="49">
                  <c:v>16.14548194</c:v>
                </c:pt>
                <c:pt idx="50">
                  <c:v>16.31676727</c:v>
                </c:pt>
                <c:pt idx="51">
                  <c:v>16.489864600000001</c:v>
                </c:pt>
                <c:pt idx="52">
                  <c:v>16.664675290000002</c:v>
                </c:pt>
                <c:pt idx="53">
                  <c:v>16.84109948</c:v>
                </c:pt>
                <c:pt idx="54">
                  <c:v>17.01903746</c:v>
                </c:pt>
                <c:pt idx="55">
                  <c:v>17.198390799999999</c:v>
                </c:pt>
                <c:pt idx="56">
                  <c:v>17.379063410000001</c:v>
                </c:pt>
                <c:pt idx="57">
                  <c:v>17.560962450000002</c:v>
                </c:pt>
                <c:pt idx="58">
                  <c:v>17.74400082</c:v>
                </c:pt>
                <c:pt idx="59">
                  <c:v>17.928091210000002</c:v>
                </c:pt>
                <c:pt idx="60">
                  <c:v>18.113156249999999</c:v>
                </c:pt>
                <c:pt idx="61">
                  <c:v>18.299122860000001</c:v>
                </c:pt>
                <c:pt idx="62">
                  <c:v>18.485924130000001</c:v>
                </c:pt>
                <c:pt idx="63">
                  <c:v>18.67349965</c:v>
                </c:pt>
                <c:pt idx="64">
                  <c:v>18.86179576</c:v>
                </c:pt>
                <c:pt idx="65">
                  <c:v>19.05076579</c:v>
                </c:pt>
                <c:pt idx="66">
                  <c:v>19.24037019</c:v>
                </c:pt>
                <c:pt idx="67">
                  <c:v>19.43057662</c:v>
                </c:pt>
                <c:pt idx="68">
                  <c:v>19.621360070000001</c:v>
                </c:pt>
                <c:pt idx="69">
                  <c:v>19.8127028</c:v>
                </c:pt>
                <c:pt idx="70">
                  <c:v>20.004594399999998</c:v>
                </c:pt>
                <c:pt idx="71">
                  <c:v>20.197031710000001</c:v>
                </c:pt>
                <c:pt idx="72">
                  <c:v>20.39001872</c:v>
                </c:pt>
                <c:pt idx="73">
                  <c:v>20.583568620000001</c:v>
                </c:pt>
                <c:pt idx="74">
                  <c:v>20.777695649999998</c:v>
                </c:pt>
                <c:pt idx="75">
                  <c:v>20.972426309999999</c:v>
                </c:pt>
                <c:pt idx="76">
                  <c:v>21.167791919999999</c:v>
                </c:pt>
                <c:pt idx="77">
                  <c:v>21.36383013</c:v>
                </c:pt>
                <c:pt idx="78">
                  <c:v>21.560584670000001</c:v>
                </c:pt>
                <c:pt idx="79">
                  <c:v>21.758105059999998</c:v>
                </c:pt>
                <c:pt idx="80">
                  <c:v>21.956446270000001</c:v>
                </c:pt>
                <c:pt idx="81">
                  <c:v>22.155668420000001</c:v>
                </c:pt>
                <c:pt idx="82">
                  <c:v>22.35583862</c:v>
                </c:pt>
                <c:pt idx="83">
                  <c:v>22.557022679999999</c:v>
                </c:pt>
                <c:pt idx="84">
                  <c:v>22.75929558</c:v>
                </c:pt>
                <c:pt idx="85">
                  <c:v>22.962734399999999</c:v>
                </c:pt>
                <c:pt idx="86">
                  <c:v>23.16741888</c:v>
                </c:pt>
                <c:pt idx="87">
                  <c:v>23.373433410000001</c:v>
                </c:pt>
                <c:pt idx="88">
                  <c:v>23.58086145</c:v>
                </c:pt>
                <c:pt idx="89">
                  <c:v>23.789790960000001</c:v>
                </c:pt>
                <c:pt idx="90">
                  <c:v>24.000310639999999</c:v>
                </c:pt>
                <c:pt idx="91">
                  <c:v>24.21251028</c:v>
                </c:pt>
                <c:pt idx="92">
                  <c:v>24.426480430000002</c:v>
                </c:pt>
                <c:pt idx="93">
                  <c:v>24.642312</c:v>
                </c:pt>
                <c:pt idx="94">
                  <c:v>24.860095959999999</c:v>
                </c:pt>
                <c:pt idx="95">
                  <c:v>25.07992303</c:v>
                </c:pt>
                <c:pt idx="96">
                  <c:v>25.301885840000001</c:v>
                </c:pt>
                <c:pt idx="97">
                  <c:v>25.526069769999999</c:v>
                </c:pt>
                <c:pt idx="98">
                  <c:v>25.752565279999999</c:v>
                </c:pt>
                <c:pt idx="99">
                  <c:v>25.981459900000001</c:v>
                </c:pt>
                <c:pt idx="100">
                  <c:v>26.212839899999999</c:v>
                </c:pt>
                <c:pt idx="101">
                  <c:v>26.446790270000001</c:v>
                </c:pt>
                <c:pt idx="102">
                  <c:v>26.683394570000001</c:v>
                </c:pt>
                <c:pt idx="103">
                  <c:v>26.922734940000002</c:v>
                </c:pt>
                <c:pt idx="104">
                  <c:v>27.164891990000001</c:v>
                </c:pt>
                <c:pt idx="105">
                  <c:v>27.409945390000001</c:v>
                </c:pt>
                <c:pt idx="106">
                  <c:v>27.657969779999998</c:v>
                </c:pt>
                <c:pt idx="107">
                  <c:v>27.90904433</c:v>
                </c:pt>
                <c:pt idx="108">
                  <c:v>28.16324264</c:v>
                </c:pt>
                <c:pt idx="109">
                  <c:v>28.42063744</c:v>
                </c:pt>
                <c:pt idx="110">
                  <c:v>28.681300050000001</c:v>
                </c:pt>
                <c:pt idx="111">
                  <c:v>28.945300289999999</c:v>
                </c:pt>
                <c:pt idx="112">
                  <c:v>29.212706449999999</c:v>
                </c:pt>
                <c:pt idx="113">
                  <c:v>29.483585269999999</c:v>
                </c:pt>
                <c:pt idx="114">
                  <c:v>29.75800198</c:v>
                </c:pt>
                <c:pt idx="115">
                  <c:v>30.03602021</c:v>
                </c:pt>
                <c:pt idx="116">
                  <c:v>30.317704169999999</c:v>
                </c:pt>
                <c:pt idx="117">
                  <c:v>30.603111070000001</c:v>
                </c:pt>
                <c:pt idx="118">
                  <c:v>30.892300720000001</c:v>
                </c:pt>
                <c:pt idx="119">
                  <c:v>31.185329840000001</c:v>
                </c:pt>
                <c:pt idx="120">
                  <c:v>31.482253149999998</c:v>
                </c:pt>
                <c:pt idx="121">
                  <c:v>31.783123289999999</c:v>
                </c:pt>
                <c:pt idx="122">
                  <c:v>32.087990619999999</c:v>
                </c:pt>
                <c:pt idx="123">
                  <c:v>32.396903129999998</c:v>
                </c:pt>
                <c:pt idx="124">
                  <c:v>32.709906199999999</c:v>
                </c:pt>
                <c:pt idx="125">
                  <c:v>33.027042440000002</c:v>
                </c:pt>
                <c:pt idx="126">
                  <c:v>33.348351479999998</c:v>
                </c:pt>
                <c:pt idx="127">
                  <c:v>33.67386973</c:v>
                </c:pt>
                <c:pt idx="128">
                  <c:v>34.003630170000001</c:v>
                </c:pt>
                <c:pt idx="129">
                  <c:v>34.33766207</c:v>
                </c:pt>
                <c:pt idx="130">
                  <c:v>34.675990759999998</c:v>
                </c:pt>
                <c:pt idx="131">
                  <c:v>35.018637320000003</c:v>
                </c:pt>
                <c:pt idx="132">
                  <c:v>35.365617370000002</c:v>
                </c:pt>
                <c:pt idx="133">
                  <c:v>35.716947230000002</c:v>
                </c:pt>
                <c:pt idx="134">
                  <c:v>36.072625690000002</c:v>
                </c:pt>
                <c:pt idx="135">
                  <c:v>36.432659960000002</c:v>
                </c:pt>
                <c:pt idx="136">
                  <c:v>36.79704392</c:v>
                </c:pt>
                <c:pt idx="137">
                  <c:v>37.165767099999997</c:v>
                </c:pt>
                <c:pt idx="138">
                  <c:v>37.538812679999999</c:v>
                </c:pt>
                <c:pt idx="139">
                  <c:v>37.916157210000001</c:v>
                </c:pt>
                <c:pt idx="140">
                  <c:v>38.297770300000003</c:v>
                </c:pt>
                <c:pt idx="141">
                  <c:v>38.683614300000002</c:v>
                </c:pt>
                <c:pt idx="142">
                  <c:v>39.073644010000002</c:v>
                </c:pt>
                <c:pt idx="143">
                  <c:v>39.467806430000003</c:v>
                </c:pt>
                <c:pt idx="144">
                  <c:v>39.866040439999999</c:v>
                </c:pt>
                <c:pt idx="145">
                  <c:v>40.268276520000001</c:v>
                </c:pt>
                <c:pt idx="146">
                  <c:v>40.674436579999998</c:v>
                </c:pt>
                <c:pt idx="147">
                  <c:v>41.084433629999999</c:v>
                </c:pt>
                <c:pt idx="148">
                  <c:v>41.498171640000002</c:v>
                </c:pt>
                <c:pt idx="149">
                  <c:v>41.915545280000003</c:v>
                </c:pt>
                <c:pt idx="150">
                  <c:v>42.336439779999999</c:v>
                </c:pt>
                <c:pt idx="151">
                  <c:v>42.760730780000003</c:v>
                </c:pt>
                <c:pt idx="152">
                  <c:v>43.188284189999997</c:v>
                </c:pt>
                <c:pt idx="153">
                  <c:v>43.618957029999997</c:v>
                </c:pt>
                <c:pt idx="154">
                  <c:v>44.052593100000003</c:v>
                </c:pt>
                <c:pt idx="155">
                  <c:v>44.489030270000001</c:v>
                </c:pt>
                <c:pt idx="156">
                  <c:v>44.928094829999999</c:v>
                </c:pt>
                <c:pt idx="157">
                  <c:v>45.369603150000003</c:v>
                </c:pt>
                <c:pt idx="158">
                  <c:v>45.813361720000003</c:v>
                </c:pt>
                <c:pt idx="159">
                  <c:v>46.259167290000001</c:v>
                </c:pt>
                <c:pt idx="160">
                  <c:v>46.706807009999999</c:v>
                </c:pt>
                <c:pt idx="161">
                  <c:v>47.156058629999997</c:v>
                </c:pt>
                <c:pt idx="162">
                  <c:v>47.606690739999998</c:v>
                </c:pt>
                <c:pt idx="163">
                  <c:v>48.058465720000001</c:v>
                </c:pt>
                <c:pt idx="164">
                  <c:v>48.511131380000002</c:v>
                </c:pt>
                <c:pt idx="165">
                  <c:v>48.964432240000001</c:v>
                </c:pt>
                <c:pt idx="166">
                  <c:v>49.418103739999999</c:v>
                </c:pt>
                <c:pt idx="167">
                  <c:v>49.871874089999999</c:v>
                </c:pt>
                <c:pt idx="168">
                  <c:v>50.325464779999997</c:v>
                </c:pt>
                <c:pt idx="169">
                  <c:v>50.778591210000002</c:v>
                </c:pt>
                <c:pt idx="170">
                  <c:v>51.230963320000001</c:v>
                </c:pt>
                <c:pt idx="171">
                  <c:v>51.682286249999997</c:v>
                </c:pt>
                <c:pt idx="172">
                  <c:v>52.132261130000003</c:v>
                </c:pt>
                <c:pt idx="173">
                  <c:v>52.580585829999997</c:v>
                </c:pt>
                <c:pt idx="174">
                  <c:v>53.026955880000003</c:v>
                </c:pt>
                <c:pt idx="175">
                  <c:v>53.471065250000002</c:v>
                </c:pt>
                <c:pt idx="176">
                  <c:v>53.912607370000003</c:v>
                </c:pt>
                <c:pt idx="177">
                  <c:v>54.351276079999998</c:v>
                </c:pt>
                <c:pt idx="178">
                  <c:v>54.786766589999999</c:v>
                </c:pt>
                <c:pt idx="179">
                  <c:v>55.218776570000003</c:v>
                </c:pt>
                <c:pt idx="180">
                  <c:v>55.647011310000003</c:v>
                </c:pt>
                <c:pt idx="181">
                  <c:v>56.071164070000002</c:v>
                </c:pt>
                <c:pt idx="182">
                  <c:v>56.490958620000001</c:v>
                </c:pt>
                <c:pt idx="183">
                  <c:v>56.906108860000003</c:v>
                </c:pt>
                <c:pt idx="184">
                  <c:v>57.316340590000003</c:v>
                </c:pt>
                <c:pt idx="185">
                  <c:v>57.72138846</c:v>
                </c:pt>
                <c:pt idx="186">
                  <c:v>58.120996959999999</c:v>
                </c:pt>
                <c:pt idx="187">
                  <c:v>58.514921430000001</c:v>
                </c:pt>
                <c:pt idx="188">
                  <c:v>58.902932079999999</c:v>
                </c:pt>
                <c:pt idx="189">
                  <c:v>59.284799479999997</c:v>
                </c:pt>
                <c:pt idx="190">
                  <c:v>59.660326259999998</c:v>
                </c:pt>
                <c:pt idx="191">
                  <c:v>60.029317040000002</c:v>
                </c:pt>
                <c:pt idx="192">
                  <c:v>60.391587209999997</c:v>
                </c:pt>
                <c:pt idx="193">
                  <c:v>60.746987849999996</c:v>
                </c:pt>
                <c:pt idx="194">
                  <c:v>61.095368469999997</c:v>
                </c:pt>
                <c:pt idx="195">
                  <c:v>61.436600769999998</c:v>
                </c:pt>
                <c:pt idx="196">
                  <c:v>61.770573720000002</c:v>
                </c:pt>
                <c:pt idx="197">
                  <c:v>62.097193990000001</c:v>
                </c:pt>
                <c:pt idx="198">
                  <c:v>62.416386279999998</c:v>
                </c:pt>
                <c:pt idx="199">
                  <c:v>62.728093620000003</c:v>
                </c:pt>
                <c:pt idx="200">
                  <c:v>63.032277559999997</c:v>
                </c:pt>
                <c:pt idx="201">
                  <c:v>63.32891841</c:v>
                </c:pt>
                <c:pt idx="202">
                  <c:v>63.618015370000002</c:v>
                </c:pt>
                <c:pt idx="203">
                  <c:v>63.899586620000001</c:v>
                </c:pt>
                <c:pt idx="204">
                  <c:v>64.173669430000004</c:v>
                </c:pt>
                <c:pt idx="205">
                  <c:v>64.440320159999999</c:v>
                </c:pt>
                <c:pt idx="206">
                  <c:v>64.699614269999998</c:v>
                </c:pt>
                <c:pt idx="207">
                  <c:v>64.951646249999996</c:v>
                </c:pt>
                <c:pt idx="208">
                  <c:v>65.196529499999997</c:v>
                </c:pt>
                <c:pt idx="209">
                  <c:v>65.434401859999994</c:v>
                </c:pt>
                <c:pt idx="210">
                  <c:v>65.665400149999996</c:v>
                </c:pt>
                <c:pt idx="211">
                  <c:v>65.889701169999995</c:v>
                </c:pt>
                <c:pt idx="212">
                  <c:v>66.107491139999993</c:v>
                </c:pt>
                <c:pt idx="213">
                  <c:v>66.318973110000002</c:v>
                </c:pt>
                <c:pt idx="214">
                  <c:v>66.524366180000001</c:v>
                </c:pt>
                <c:pt idx="215">
                  <c:v>66.723904430000005</c:v>
                </c:pt>
                <c:pt idx="216">
                  <c:v>66.917835629999999</c:v>
                </c:pt>
                <c:pt idx="217">
                  <c:v>67.106419560000006</c:v>
                </c:pt>
                <c:pt idx="218">
                  <c:v>67.289926030000004</c:v>
                </c:pt>
                <c:pt idx="219">
                  <c:v>67.468632549999995</c:v>
                </c:pt>
                <c:pt idx="220">
                  <c:v>67.642813779999997</c:v>
                </c:pt>
                <c:pt idx="221">
                  <c:v>67.812767500000007</c:v>
                </c:pt>
                <c:pt idx="222">
                  <c:v>67.978773309999994</c:v>
                </c:pt>
                <c:pt idx="223">
                  <c:v>68.141110220000002</c:v>
                </c:pt>
                <c:pt idx="224">
                  <c:v>68.300047410000005</c:v>
                </c:pt>
                <c:pt idx="225">
                  <c:v>68.455845400000001</c:v>
                </c:pt>
                <c:pt idx="226">
                  <c:v>68.608721739999993</c:v>
                </c:pt>
                <c:pt idx="227">
                  <c:v>68.758892630000005</c:v>
                </c:pt>
                <c:pt idx="228">
                  <c:v>68.906530279999998</c:v>
                </c:pt>
                <c:pt idx="229">
                  <c:v>69.051764270000007</c:v>
                </c:pt>
                <c:pt idx="230">
                  <c:v>69.194672879999999</c:v>
                </c:pt>
                <c:pt idx="231">
                  <c:v>69.335273760000007</c:v>
                </c:pt>
                <c:pt idx="232">
                  <c:v>69.473513729999993</c:v>
                </c:pt>
                <c:pt idx="233">
                  <c:v>69.609257819999996</c:v>
                </c:pt>
                <c:pt idx="234">
                  <c:v>69.742277580000007</c:v>
                </c:pt>
                <c:pt idx="235">
                  <c:v>69.872238850000002</c:v>
                </c:pt>
                <c:pt idx="236">
                  <c:v>69.998688959999996</c:v>
                </c:pt>
                <c:pt idx="237">
                  <c:v>70.121043810000003</c:v>
                </c:pt>
                <c:pt idx="238">
                  <c:v>70.238574819999997</c:v>
                </c:pt>
                <c:pt idx="239">
                  <c:v>70.350396259999997</c:v>
                </c:pt>
                <c:pt idx="240">
                  <c:v>70.455461049999997</c:v>
                </c:pt>
                <c:pt idx="241">
                  <c:v>70.55252127</c:v>
                </c:pt>
                <c:pt idx="242">
                  <c:v>70.597614530000001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4A-4C7C-BC01-0DC7A95BB1BA}"/>
            </c:ext>
          </c:extLst>
        </c:ser>
        <c:ser>
          <c:idx val="6"/>
          <c:order val="7"/>
          <c:tx>
            <c:v>P75 boys</c:v>
          </c:tx>
          <c:spPr>
            <a:ln w="6350" cap="rnd">
              <a:solidFill>
                <a:srgbClr val="00B0F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weight4age!$B$2:$B$244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weight4age!$K$2:$K$244</c:f>
              <c:numCache>
                <c:formatCode>General</c:formatCode>
                <c:ptCount val="243"/>
                <c:pt idx="0">
                  <c:v>3.879076559</c:v>
                </c:pt>
                <c:pt idx="1">
                  <c:v>4.3874225649999996</c:v>
                </c:pt>
                <c:pt idx="2">
                  <c:v>5.3273275670000002</c:v>
                </c:pt>
                <c:pt idx="3">
                  <c:v>6.1755981579999997</c:v>
                </c:pt>
                <c:pt idx="4">
                  <c:v>6.9422171060000002</c:v>
                </c:pt>
                <c:pt idx="5">
                  <c:v>7.6353230019999998</c:v>
                </c:pt>
                <c:pt idx="6">
                  <c:v>8.2620329909999999</c:v>
                </c:pt>
                <c:pt idx="7">
                  <c:v>8.8287861589999999</c:v>
                </c:pt>
                <c:pt idx="8">
                  <c:v>9.3414903799999998</c:v>
                </c:pt>
                <c:pt idx="9">
                  <c:v>9.8055933639999999</c:v>
                </c:pt>
                <c:pt idx="10">
                  <c:v>10.22612395</c:v>
                </c:pt>
                <c:pt idx="11">
                  <c:v>10.607721509999999</c:v>
                </c:pt>
                <c:pt idx="12">
                  <c:v>10.9546603</c:v>
                </c:pt>
                <c:pt idx="13">
                  <c:v>11.270871469999999</c:v>
                </c:pt>
                <c:pt idx="14">
                  <c:v>11.55996332</c:v>
                </c:pt>
                <c:pt idx="15">
                  <c:v>11.825240989999999</c:v>
                </c:pt>
                <c:pt idx="16">
                  <c:v>12.06972515</c:v>
                </c:pt>
                <c:pt idx="17">
                  <c:v>12.29616991</c:v>
                </c:pt>
                <c:pt idx="18">
                  <c:v>12.50708008</c:v>
                </c:pt>
                <c:pt idx="19">
                  <c:v>12.70472779</c:v>
                </c:pt>
                <c:pt idx="20">
                  <c:v>12.891168049999999</c:v>
                </c:pt>
                <c:pt idx="21">
                  <c:v>13.06825426</c:v>
                </c:pt>
                <c:pt idx="22">
                  <c:v>13.237652580000001</c:v>
                </c:pt>
                <c:pt idx="23">
                  <c:v>13.40085582</c:v>
                </c:pt>
                <c:pt idx="24">
                  <c:v>13.55919667</c:v>
                </c:pt>
                <c:pt idx="25">
                  <c:v>13.63691949</c:v>
                </c:pt>
                <c:pt idx="26">
                  <c:v>13.71386029</c:v>
                </c:pt>
                <c:pt idx="27">
                  <c:v>13.86589625</c:v>
                </c:pt>
                <c:pt idx="28">
                  <c:v>14.0162298</c:v>
                </c:pt>
                <c:pt idx="29">
                  <c:v>14.165672499999999</c:v>
                </c:pt>
                <c:pt idx="30">
                  <c:v>14.31493214</c:v>
                </c:pt>
                <c:pt idx="31">
                  <c:v>14.46462206</c:v>
                </c:pt>
                <c:pt idx="32">
                  <c:v>14.61526973</c:v>
                </c:pt>
                <c:pt idx="33">
                  <c:v>14.76732387</c:v>
                </c:pt>
                <c:pt idx="34">
                  <c:v>14.9211657</c:v>
                </c:pt>
                <c:pt idx="35">
                  <c:v>15.07711012</c:v>
                </c:pt>
                <c:pt idx="36">
                  <c:v>15.235411790000001</c:v>
                </c:pt>
                <c:pt idx="37">
                  <c:v>15.396279099999999</c:v>
                </c:pt>
                <c:pt idx="38">
                  <c:v>15.5598683</c:v>
                </c:pt>
                <c:pt idx="39">
                  <c:v>15.726298890000001</c:v>
                </c:pt>
                <c:pt idx="40">
                  <c:v>15.895648919999999</c:v>
                </c:pt>
                <c:pt idx="41">
                  <c:v>16.067965319999999</c:v>
                </c:pt>
                <c:pt idx="42">
                  <c:v>16.243260630000002</c:v>
                </c:pt>
                <c:pt idx="43">
                  <c:v>16.421526199999999</c:v>
                </c:pt>
                <c:pt idx="44">
                  <c:v>16.602731670000001</c:v>
                </c:pt>
                <c:pt idx="45">
                  <c:v>16.78682117</c:v>
                </c:pt>
                <c:pt idx="46">
                  <c:v>16.973725940000001</c:v>
                </c:pt>
                <c:pt idx="47">
                  <c:v>17.163362289999998</c:v>
                </c:pt>
                <c:pt idx="48">
                  <c:v>17.355637099999999</c:v>
                </c:pt>
                <c:pt idx="49">
                  <c:v>17.550442589999999</c:v>
                </c:pt>
                <c:pt idx="50">
                  <c:v>17.747668959999999</c:v>
                </c:pt>
                <c:pt idx="51">
                  <c:v>17.947200070000001</c:v>
                </c:pt>
                <c:pt idx="52">
                  <c:v>18.148916719999999</c:v>
                </c:pt>
                <c:pt idx="53">
                  <c:v>18.352698409999999</c:v>
                </c:pt>
                <c:pt idx="54">
                  <c:v>18.558424850000002</c:v>
                </c:pt>
                <c:pt idx="55">
                  <c:v>18.765977360000001</c:v>
                </c:pt>
                <c:pt idx="56">
                  <c:v>18.975240100000001</c:v>
                </c:pt>
                <c:pt idx="57">
                  <c:v>19.186101189999999</c:v>
                </c:pt>
                <c:pt idx="58">
                  <c:v>19.398455559999999</c:v>
                </c:pt>
                <c:pt idx="59">
                  <c:v>19.61219848</c:v>
                </c:pt>
                <c:pt idx="60">
                  <c:v>19.82723683</c:v>
                </c:pt>
                <c:pt idx="61">
                  <c:v>20.043482919999999</c:v>
                </c:pt>
                <c:pt idx="62">
                  <c:v>20.26085668</c:v>
                </c:pt>
                <c:pt idx="63">
                  <c:v>20.479286049999999</c:v>
                </c:pt>
                <c:pt idx="64">
                  <c:v>20.69870731</c:v>
                </c:pt>
                <c:pt idx="65">
                  <c:v>20.919065400000001</c:v>
                </c:pt>
                <c:pt idx="66">
                  <c:v>21.140314029999999</c:v>
                </c:pt>
                <c:pt idx="67">
                  <c:v>21.36241588</c:v>
                </c:pt>
                <c:pt idx="68">
                  <c:v>21.58534268</c:v>
                </c:pt>
                <c:pt idx="69">
                  <c:v>21.809075180000001</c:v>
                </c:pt>
                <c:pt idx="70">
                  <c:v>22.03360322</c:v>
                </c:pt>
                <c:pt idx="71">
                  <c:v>22.258925609999999</c:v>
                </c:pt>
                <c:pt idx="72">
                  <c:v>22.48505007</c:v>
                </c:pt>
                <c:pt idx="73">
                  <c:v>22.711995569999999</c:v>
                </c:pt>
                <c:pt idx="74">
                  <c:v>22.939782910000002</c:v>
                </c:pt>
                <c:pt idx="75">
                  <c:v>23.168447690000001</c:v>
                </c:pt>
                <c:pt idx="76">
                  <c:v>23.39803173</c:v>
                </c:pt>
                <c:pt idx="77">
                  <c:v>23.628584849999999</c:v>
                </c:pt>
                <c:pt idx="78">
                  <c:v>23.860164560000001</c:v>
                </c:pt>
                <c:pt idx="79">
                  <c:v>24.092835749999999</c:v>
                </c:pt>
                <c:pt idx="80">
                  <c:v>24.326670350000001</c:v>
                </c:pt>
                <c:pt idx="81">
                  <c:v>24.561746970000002</c:v>
                </c:pt>
                <c:pt idx="82">
                  <c:v>24.79815314</c:v>
                </c:pt>
                <c:pt idx="83">
                  <c:v>25.035975369999999</c:v>
                </c:pt>
                <c:pt idx="84">
                  <c:v>25.275311739999999</c:v>
                </c:pt>
                <c:pt idx="85">
                  <c:v>25.51626345</c:v>
                </c:pt>
                <c:pt idx="86">
                  <c:v>25.758935430000001</c:v>
                </c:pt>
                <c:pt idx="87">
                  <c:v>26.003438809999999</c:v>
                </c:pt>
                <c:pt idx="88">
                  <c:v>26.249883950000001</c:v>
                </c:pt>
                <c:pt idx="89">
                  <c:v>26.498387130000001</c:v>
                </c:pt>
                <c:pt idx="90">
                  <c:v>26.749065869999999</c:v>
                </c:pt>
                <c:pt idx="91">
                  <c:v>27.002039249999999</c:v>
                </c:pt>
                <c:pt idx="92">
                  <c:v>27.257427369999998</c:v>
                </c:pt>
                <c:pt idx="93">
                  <c:v>27.51535075</c:v>
                </c:pt>
                <c:pt idx="94">
                  <c:v>27.775929820000002</c:v>
                </c:pt>
                <c:pt idx="95">
                  <c:v>28.039284380000002</c:v>
                </c:pt>
                <c:pt idx="96">
                  <c:v>28.30553622</c:v>
                </c:pt>
                <c:pt idx="97">
                  <c:v>28.574797050000001</c:v>
                </c:pt>
                <c:pt idx="98">
                  <c:v>28.847184370000001</c:v>
                </c:pt>
                <c:pt idx="99">
                  <c:v>29.12281085</c:v>
                </c:pt>
                <c:pt idx="100">
                  <c:v>29.401786309999999</c:v>
                </c:pt>
                <c:pt idx="101">
                  <c:v>29.684217480000001</c:v>
                </c:pt>
                <c:pt idx="102">
                  <c:v>29.970207670000001</c:v>
                </c:pt>
                <c:pt idx="103">
                  <c:v>30.25985653</c:v>
                </c:pt>
                <c:pt idx="104">
                  <c:v>30.553259799999999</c:v>
                </c:pt>
                <c:pt idx="105">
                  <c:v>30.850509859999999</c:v>
                </c:pt>
                <c:pt idx="106">
                  <c:v>31.151690089999999</c:v>
                </c:pt>
                <c:pt idx="107">
                  <c:v>31.45688766</c:v>
                </c:pt>
                <c:pt idx="108">
                  <c:v>31.766179730000001</c:v>
                </c:pt>
                <c:pt idx="109">
                  <c:v>32.079639649999997</c:v>
                </c:pt>
                <c:pt idx="110">
                  <c:v>32.397336250000002</c:v>
                </c:pt>
                <c:pt idx="111">
                  <c:v>32.719333509999998</c:v>
                </c:pt>
                <c:pt idx="112">
                  <c:v>33.045690550000003</c:v>
                </c:pt>
                <c:pt idx="113">
                  <c:v>33.376461569999996</c:v>
                </c:pt>
                <c:pt idx="114">
                  <c:v>33.711695800000001</c:v>
                </c:pt>
                <c:pt idx="115">
                  <c:v>34.051437470000003</c:v>
                </c:pt>
                <c:pt idx="116">
                  <c:v>34.395728939999998</c:v>
                </c:pt>
                <c:pt idx="117">
                  <c:v>34.744599819999998</c:v>
                </c:pt>
                <c:pt idx="118">
                  <c:v>35.098080920000001</c:v>
                </c:pt>
                <c:pt idx="119">
                  <c:v>35.456196079999998</c:v>
                </c:pt>
                <c:pt idx="120">
                  <c:v>35.818963910000001</c:v>
                </c:pt>
                <c:pt idx="121">
                  <c:v>36.186397759999998</c:v>
                </c:pt>
                <c:pt idx="122">
                  <c:v>36.55850564</c:v>
                </c:pt>
                <c:pt idx="123">
                  <c:v>36.935290199999997</c:v>
                </c:pt>
                <c:pt idx="124">
                  <c:v>37.316748670000003</c:v>
                </c:pt>
                <c:pt idx="125">
                  <c:v>37.702872759999998</c:v>
                </c:pt>
                <c:pt idx="126">
                  <c:v>38.093648649999999</c:v>
                </c:pt>
                <c:pt idx="127">
                  <c:v>38.489056869999999</c:v>
                </c:pt>
                <c:pt idx="128">
                  <c:v>38.889072280000001</c:v>
                </c:pt>
                <c:pt idx="129">
                  <c:v>39.293663960000003</c:v>
                </c:pt>
                <c:pt idx="130">
                  <c:v>39.702795170000002</c:v>
                </c:pt>
                <c:pt idx="131">
                  <c:v>40.116423230000002</c:v>
                </c:pt>
                <c:pt idx="132">
                  <c:v>40.534498190000001</c:v>
                </c:pt>
                <c:pt idx="133">
                  <c:v>40.956971520000003</c:v>
                </c:pt>
                <c:pt idx="134">
                  <c:v>41.383771619999997</c:v>
                </c:pt>
                <c:pt idx="135">
                  <c:v>41.814839550000002</c:v>
                </c:pt>
                <c:pt idx="136">
                  <c:v>42.250099689999999</c:v>
                </c:pt>
                <c:pt idx="137">
                  <c:v>42.689472350000003</c:v>
                </c:pt>
                <c:pt idx="138">
                  <c:v>43.132871430000002</c:v>
                </c:pt>
                <c:pt idx="139">
                  <c:v>43.580204369999997</c:v>
                </c:pt>
                <c:pt idx="140">
                  <c:v>44.03137211</c:v>
                </c:pt>
                <c:pt idx="141">
                  <c:v>44.486269010000001</c:v>
                </c:pt>
                <c:pt idx="142">
                  <c:v>44.944782840000002</c:v>
                </c:pt>
                <c:pt idx="143">
                  <c:v>45.406794750000003</c:v>
                </c:pt>
                <c:pt idx="144">
                  <c:v>45.872179199999998</c:v>
                </c:pt>
                <c:pt idx="145">
                  <c:v>46.340804009999999</c:v>
                </c:pt>
                <c:pt idx="146">
                  <c:v>46.812530289999998</c:v>
                </c:pt>
                <c:pt idx="147">
                  <c:v>47.287212490000002</c:v>
                </c:pt>
                <c:pt idx="148">
                  <c:v>47.764698369999998</c:v>
                </c:pt>
                <c:pt idx="149">
                  <c:v>48.24482905</c:v>
                </c:pt>
                <c:pt idx="150">
                  <c:v>48.727439029999999</c:v>
                </c:pt>
                <c:pt idx="151">
                  <c:v>49.212356239999998</c:v>
                </c:pt>
                <c:pt idx="152">
                  <c:v>49.6994021</c:v>
                </c:pt>
                <c:pt idx="153">
                  <c:v>50.188392800000003</c:v>
                </c:pt>
                <c:pt idx="154">
                  <c:v>50.679133919999998</c:v>
                </c:pt>
                <c:pt idx="155">
                  <c:v>51.171429889999999</c:v>
                </c:pt>
                <c:pt idx="156">
                  <c:v>51.665076939999999</c:v>
                </c:pt>
                <c:pt idx="157">
                  <c:v>52.159865230000001</c:v>
                </c:pt>
                <c:pt idx="158">
                  <c:v>52.655579060000001</c:v>
                </c:pt>
                <c:pt idx="159">
                  <c:v>53.151997039999998</c:v>
                </c:pt>
                <c:pt idx="160">
                  <c:v>53.648892259999997</c:v>
                </c:pt>
                <c:pt idx="161">
                  <c:v>54.14603254</c:v>
                </c:pt>
                <c:pt idx="162">
                  <c:v>54.64318067</c:v>
                </c:pt>
                <c:pt idx="163">
                  <c:v>55.140097840000003</c:v>
                </c:pt>
                <c:pt idx="164">
                  <c:v>55.636533540000002</c:v>
                </c:pt>
                <c:pt idx="165">
                  <c:v>56.132238890000004</c:v>
                </c:pt>
                <c:pt idx="166">
                  <c:v>56.626959589999998</c:v>
                </c:pt>
                <c:pt idx="167">
                  <c:v>57.120437870000003</c:v>
                </c:pt>
                <c:pt idx="168">
                  <c:v>57.612412929999998</c:v>
                </c:pt>
                <c:pt idx="169">
                  <c:v>58.10262135</c:v>
                </c:pt>
                <c:pt idx="170">
                  <c:v>58.590797569999999</c:v>
                </c:pt>
                <c:pt idx="171">
                  <c:v>59.07667438</c:v>
                </c:pt>
                <c:pt idx="172">
                  <c:v>59.55998349</c:v>
                </c:pt>
                <c:pt idx="173">
                  <c:v>60.040456059999997</c:v>
                </c:pt>
                <c:pt idx="174">
                  <c:v>60.517823319999998</c:v>
                </c:pt>
                <c:pt idx="175">
                  <c:v>60.991817220000001</c:v>
                </c:pt>
                <c:pt idx="176">
                  <c:v>61.462171099999999</c:v>
                </c:pt>
                <c:pt idx="177">
                  <c:v>61.928620369999997</c:v>
                </c:pt>
                <c:pt idx="178">
                  <c:v>62.390903299999998</c:v>
                </c:pt>
                <c:pt idx="179">
                  <c:v>62.848761690000003</c:v>
                </c:pt>
                <c:pt idx="180">
                  <c:v>63.30194659</c:v>
                </c:pt>
                <c:pt idx="181">
                  <c:v>63.750194860000001</c:v>
                </c:pt>
                <c:pt idx="182">
                  <c:v>64.193278329999998</c:v>
                </c:pt>
                <c:pt idx="183">
                  <c:v>64.630956319999996</c:v>
                </c:pt>
                <c:pt idx="184">
                  <c:v>65.063000590000001</c:v>
                </c:pt>
                <c:pt idx="185">
                  <c:v>65.489191349999999</c:v>
                </c:pt>
                <c:pt idx="186">
                  <c:v>65.909318060000004</c:v>
                </c:pt>
                <c:pt idx="187">
                  <c:v>66.323180170000001</c:v>
                </c:pt>
                <c:pt idx="188">
                  <c:v>66.73059164</c:v>
                </c:pt>
                <c:pt idx="189">
                  <c:v>67.131363089999994</c:v>
                </c:pt>
                <c:pt idx="190">
                  <c:v>67.52533948</c:v>
                </c:pt>
                <c:pt idx="191">
                  <c:v>67.912363749999997</c:v>
                </c:pt>
                <c:pt idx="192">
                  <c:v>68.292287169999994</c:v>
                </c:pt>
                <c:pt idx="193">
                  <c:v>68.664998350000005</c:v>
                </c:pt>
                <c:pt idx="194">
                  <c:v>69.030379109999998</c:v>
                </c:pt>
                <c:pt idx="195">
                  <c:v>69.388332140000003</c:v>
                </c:pt>
                <c:pt idx="196">
                  <c:v>69.738775059999995</c:v>
                </c:pt>
                <c:pt idx="197">
                  <c:v>70.081640609999994</c:v>
                </c:pt>
                <c:pt idx="198">
                  <c:v>70.416876819999999</c:v>
                </c:pt>
                <c:pt idx="199">
                  <c:v>70.744447129999998</c:v>
                </c:pt>
                <c:pt idx="200">
                  <c:v>71.064330459999994</c:v>
                </c:pt>
                <c:pt idx="201">
                  <c:v>71.376521199999999</c:v>
                </c:pt>
                <c:pt idx="202">
                  <c:v>71.681029179999996</c:v>
                </c:pt>
                <c:pt idx="203">
                  <c:v>71.977879659999999</c:v>
                </c:pt>
                <c:pt idx="204">
                  <c:v>72.267113249999994</c:v>
                </c:pt>
                <c:pt idx="205">
                  <c:v>72.548785820000006</c:v>
                </c:pt>
                <c:pt idx="206">
                  <c:v>72.822968410000001</c:v>
                </c:pt>
                <c:pt idx="207">
                  <c:v>73.089747180000003</c:v>
                </c:pt>
                <c:pt idx="208">
                  <c:v>73.349223240000001</c:v>
                </c:pt>
                <c:pt idx="209">
                  <c:v>73.601519679999996</c:v>
                </c:pt>
                <c:pt idx="210">
                  <c:v>73.846750409999999</c:v>
                </c:pt>
                <c:pt idx="211">
                  <c:v>74.085070970000004</c:v>
                </c:pt>
                <c:pt idx="212">
                  <c:v>74.316641410000003</c:v>
                </c:pt>
                <c:pt idx="213">
                  <c:v>74.54163604</c:v>
                </c:pt>
                <c:pt idx="214">
                  <c:v>74.760243220000007</c:v>
                </c:pt>
                <c:pt idx="215">
                  <c:v>74.972665030000002</c:v>
                </c:pt>
                <c:pt idx="216">
                  <c:v>75.179116840000006</c:v>
                </c:pt>
                <c:pt idx="217">
                  <c:v>75.379826570000006</c:v>
                </c:pt>
                <c:pt idx="218">
                  <c:v>75.575033880000007</c:v>
                </c:pt>
                <c:pt idx="219">
                  <c:v>75.76498909</c:v>
                </c:pt>
                <c:pt idx="220">
                  <c:v>75.949941710000004</c:v>
                </c:pt>
                <c:pt idx="221">
                  <c:v>76.130177439999997</c:v>
                </c:pt>
                <c:pt idx="222">
                  <c:v>76.305966229999996</c:v>
                </c:pt>
                <c:pt idx="223">
                  <c:v>76.477589359999996</c:v>
                </c:pt>
                <c:pt idx="224">
                  <c:v>76.645330920000006</c:v>
                </c:pt>
                <c:pt idx="225">
                  <c:v>76.809483229999998</c:v>
                </c:pt>
                <c:pt idx="226">
                  <c:v>76.970307809999994</c:v>
                </c:pt>
                <c:pt idx="227">
                  <c:v>77.128092940000002</c:v>
                </c:pt>
                <c:pt idx="228">
                  <c:v>77.283104839999993</c:v>
                </c:pt>
                <c:pt idx="229">
                  <c:v>77.435595329999998</c:v>
                </c:pt>
                <c:pt idx="230">
                  <c:v>77.585797189999994</c:v>
                </c:pt>
                <c:pt idx="231">
                  <c:v>77.733919189999995</c:v>
                </c:pt>
                <c:pt idx="232">
                  <c:v>77.880140659999995</c:v>
                </c:pt>
                <c:pt idx="233">
                  <c:v>78.024605559999998</c:v>
                </c:pt>
                <c:pt idx="234">
                  <c:v>78.167416250000002</c:v>
                </c:pt>
                <c:pt idx="235">
                  <c:v>78.308626910000001</c:v>
                </c:pt>
                <c:pt idx="236">
                  <c:v>78.448236940000001</c:v>
                </c:pt>
                <c:pt idx="237">
                  <c:v>78.586184250000002</c:v>
                </c:pt>
                <c:pt idx="238">
                  <c:v>78.722338930000006</c:v>
                </c:pt>
                <c:pt idx="239">
                  <c:v>78.856497250000004</c:v>
                </c:pt>
                <c:pt idx="240">
                  <c:v>78.988385960000002</c:v>
                </c:pt>
                <c:pt idx="241">
                  <c:v>79.117624169999999</c:v>
                </c:pt>
                <c:pt idx="242">
                  <c:v>79.181114820000005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F4A-4C7C-BC01-0DC7A95BB1BA}"/>
            </c:ext>
          </c:extLst>
        </c:ser>
        <c:ser>
          <c:idx val="7"/>
          <c:order val="8"/>
          <c:tx>
            <c:v>P90 boys</c:v>
          </c:tx>
          <c:spPr>
            <a:ln w="6350" cap="rnd">
              <a:solidFill>
                <a:srgbClr val="00B0F0">
                  <a:alpha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weight4age!$B$2:$B$244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weight4age!$L$2:$L$244</c:f>
              <c:numCache>
                <c:formatCode>General</c:formatCode>
                <c:ptCount val="243"/>
                <c:pt idx="0">
                  <c:v>4.1724933899999996</c:v>
                </c:pt>
                <c:pt idx="1">
                  <c:v>4.7181612829999997</c:v>
                </c:pt>
                <c:pt idx="2">
                  <c:v>5.7281527519999997</c:v>
                </c:pt>
                <c:pt idx="3">
                  <c:v>6.6389791320000002</c:v>
                </c:pt>
                <c:pt idx="4">
                  <c:v>7.4607023679999998</c:v>
                </c:pt>
                <c:pt idx="5">
                  <c:v>8.2021932020000001</c:v>
                </c:pt>
                <c:pt idx="6">
                  <c:v>8.8713841119999994</c:v>
                </c:pt>
                <c:pt idx="7">
                  <c:v>9.4754661599999999</c:v>
                </c:pt>
                <c:pt idx="8">
                  <c:v>10.021013740000001</c:v>
                </c:pt>
                <c:pt idx="9">
                  <c:v>10.514064210000001</c:v>
                </c:pt>
                <c:pt idx="10">
                  <c:v>10.960172249999999</c:v>
                </c:pt>
                <c:pt idx="11">
                  <c:v>11.36445045</c:v>
                </c:pt>
                <c:pt idx="12">
                  <c:v>11.73160184</c:v>
                </c:pt>
                <c:pt idx="13">
                  <c:v>12.065947919999999</c:v>
                </c:pt>
                <c:pt idx="14">
                  <c:v>12.37145331</c:v>
                </c:pt>
                <c:pt idx="15">
                  <c:v>12.651748639999999</c:v>
                </c:pt>
                <c:pt idx="16">
                  <c:v>12.91015164</c:v>
                </c:pt>
                <c:pt idx="17">
                  <c:v>13.149687070000001</c:v>
                </c:pt>
                <c:pt idx="18">
                  <c:v>13.373105580000001</c:v>
                </c:pt>
                <c:pt idx="19">
                  <c:v>13.58290165</c:v>
                </c:pt>
                <c:pt idx="20">
                  <c:v>13.781330580000001</c:v>
                </c:pt>
                <c:pt idx="21">
                  <c:v>13.970424899999999</c:v>
                </c:pt>
                <c:pt idx="22">
                  <c:v>14.15200982</c:v>
                </c:pt>
                <c:pt idx="23">
                  <c:v>14.3277181</c:v>
                </c:pt>
                <c:pt idx="24">
                  <c:v>14.49900418</c:v>
                </c:pt>
                <c:pt idx="25">
                  <c:v>14.58339799</c:v>
                </c:pt>
                <c:pt idx="26">
                  <c:v>14.667157700000001</c:v>
                </c:pt>
                <c:pt idx="27">
                  <c:v>14.83331632</c:v>
                </c:pt>
                <c:pt idx="28">
                  <c:v>14.998477940000001</c:v>
                </c:pt>
                <c:pt idx="29">
                  <c:v>15.16351231</c:v>
                </c:pt>
                <c:pt idx="30">
                  <c:v>15.32917196</c:v>
                </c:pt>
                <c:pt idx="31">
                  <c:v>15.496102609999999</c:v>
                </c:pt>
                <c:pt idx="32">
                  <c:v>15.66485286</c:v>
                </c:pt>
                <c:pt idx="33">
                  <c:v>15.835883089999999</c:v>
                </c:pt>
                <c:pt idx="34">
                  <c:v>16.009575259999998</c:v>
                </c:pt>
                <c:pt idx="35">
                  <c:v>16.186239069999999</c:v>
                </c:pt>
                <c:pt idx="36">
                  <c:v>16.366119170000001</c:v>
                </c:pt>
                <c:pt idx="37">
                  <c:v>16.549404939999999</c:v>
                </c:pt>
                <c:pt idx="38">
                  <c:v>16.736232869999998</c:v>
                </c:pt>
                <c:pt idx="39">
                  <c:v>16.926696190000001</c:v>
                </c:pt>
                <c:pt idx="40">
                  <c:v>17.12084685</c:v>
                </c:pt>
                <c:pt idx="41">
                  <c:v>17.318702810000001</c:v>
                </c:pt>
                <c:pt idx="42">
                  <c:v>17.520249740000001</c:v>
                </c:pt>
                <c:pt idx="43">
                  <c:v>17.725448979999999</c:v>
                </c:pt>
                <c:pt idx="44">
                  <c:v>17.93423997</c:v>
                </c:pt>
                <c:pt idx="45">
                  <c:v>18.146540909999999</c:v>
                </c:pt>
                <c:pt idx="46">
                  <c:v>18.362255940000001</c:v>
                </c:pt>
                <c:pt idx="47">
                  <c:v>18.58127627</c:v>
                </c:pt>
                <c:pt idx="48">
                  <c:v>18.803484180000002</c:v>
                </c:pt>
                <c:pt idx="49">
                  <c:v>19.02875229</c:v>
                </c:pt>
                <c:pt idx="50">
                  <c:v>19.256950410000002</c:v>
                </c:pt>
                <c:pt idx="51">
                  <c:v>19.487944949999999</c:v>
                </c:pt>
                <c:pt idx="52">
                  <c:v>19.72160147</c:v>
                </c:pt>
                <c:pt idx="53">
                  <c:v>19.95778649</c:v>
                </c:pt>
                <c:pt idx="54">
                  <c:v>20.196369050000001</c:v>
                </c:pt>
                <c:pt idx="55">
                  <c:v>20.43722215</c:v>
                </c:pt>
                <c:pt idx="56">
                  <c:v>20.680223990000002</c:v>
                </c:pt>
                <c:pt idx="57">
                  <c:v>20.92525904</c:v>
                </c:pt>
                <c:pt idx="58">
                  <c:v>21.172219930000001</c:v>
                </c:pt>
                <c:pt idx="59">
                  <c:v>21.42100482</c:v>
                </c:pt>
                <c:pt idx="60">
                  <c:v>21.671522939999999</c:v>
                </c:pt>
                <c:pt idx="61">
                  <c:v>21.923692039999999</c:v>
                </c:pt>
                <c:pt idx="62">
                  <c:v>22.177439540000002</c:v>
                </c:pt>
                <c:pt idx="63">
                  <c:v>22.432702880000001</c:v>
                </c:pt>
                <c:pt idx="64">
                  <c:v>22.689429700000002</c:v>
                </c:pt>
                <c:pt idx="65">
                  <c:v>22.947577989999999</c:v>
                </c:pt>
                <c:pt idx="66">
                  <c:v>23.207116150000001</c:v>
                </c:pt>
                <c:pt idx="67">
                  <c:v>23.46802293</c:v>
                </c:pt>
                <c:pt idx="68">
                  <c:v>23.730287350000001</c:v>
                </c:pt>
                <c:pt idx="69">
                  <c:v>23.993908569999999</c:v>
                </c:pt>
                <c:pt idx="70">
                  <c:v>24.258895649999999</c:v>
                </c:pt>
                <c:pt idx="71">
                  <c:v>24.525267329999998</c:v>
                </c:pt>
                <c:pt idx="72">
                  <c:v>24.79305175</c:v>
                </c:pt>
                <c:pt idx="73">
                  <c:v>25.062287390000002</c:v>
                </c:pt>
                <c:pt idx="74">
                  <c:v>25.333017940000001</c:v>
                </c:pt>
                <c:pt idx="75">
                  <c:v>25.605298749999999</c:v>
                </c:pt>
                <c:pt idx="76">
                  <c:v>25.87919213</c:v>
                </c:pt>
                <c:pt idx="77">
                  <c:v>26.15476795</c:v>
                </c:pt>
                <c:pt idx="78">
                  <c:v>26.43210324</c:v>
                </c:pt>
                <c:pt idx="79">
                  <c:v>26.711281769999999</c:v>
                </c:pt>
                <c:pt idx="80">
                  <c:v>26.992393570000001</c:v>
                </c:pt>
                <c:pt idx="81">
                  <c:v>27.27553447</c:v>
                </c:pt>
                <c:pt idx="82">
                  <c:v>27.560807180000001</c:v>
                </c:pt>
                <c:pt idx="83">
                  <c:v>27.848315379999999</c:v>
                </c:pt>
                <c:pt idx="84">
                  <c:v>28.138170630000001</c:v>
                </c:pt>
                <c:pt idx="85">
                  <c:v>28.430487320000001</c:v>
                </c:pt>
                <c:pt idx="86">
                  <c:v>28.72538282</c:v>
                </c:pt>
                <c:pt idx="87">
                  <c:v>29.022978670000001</c:v>
                </c:pt>
                <c:pt idx="88">
                  <c:v>29.323396249999998</c:v>
                </c:pt>
                <c:pt idx="89">
                  <c:v>29.626760529999999</c:v>
                </c:pt>
                <c:pt idx="90">
                  <c:v>29.933197020000001</c:v>
                </c:pt>
                <c:pt idx="91">
                  <c:v>30.242831769999999</c:v>
                </c:pt>
                <c:pt idx="92">
                  <c:v>30.555790739999999</c:v>
                </c:pt>
                <c:pt idx="93">
                  <c:v>30.87219924</c:v>
                </c:pt>
                <c:pt idx="94">
                  <c:v>31.192181349999998</c:v>
                </c:pt>
                <c:pt idx="95">
                  <c:v>31.515859290000002</c:v>
                </c:pt>
                <c:pt idx="96">
                  <c:v>31.843354900000001</c:v>
                </c:pt>
                <c:pt idx="97">
                  <c:v>32.174781609999997</c:v>
                </c:pt>
                <c:pt idx="98">
                  <c:v>32.510254369999998</c:v>
                </c:pt>
                <c:pt idx="99">
                  <c:v>32.849882520000001</c:v>
                </c:pt>
                <c:pt idx="100">
                  <c:v>33.193770929999999</c:v>
                </c:pt>
                <c:pt idx="101">
                  <c:v>33.542019439999997</c:v>
                </c:pt>
                <c:pt idx="102">
                  <c:v>33.8947225</c:v>
                </c:pt>
                <c:pt idx="103">
                  <c:v>34.251968750000003</c:v>
                </c:pt>
                <c:pt idx="104">
                  <c:v>34.613840609999997</c:v>
                </c:pt>
                <c:pt idx="105">
                  <c:v>34.980414469999999</c:v>
                </c:pt>
                <c:pt idx="106">
                  <c:v>35.351756760000001</c:v>
                </c:pt>
                <c:pt idx="107">
                  <c:v>35.727932250000002</c:v>
                </c:pt>
                <c:pt idx="108">
                  <c:v>36.108994719999998</c:v>
                </c:pt>
                <c:pt idx="109">
                  <c:v>36.494991020000001</c:v>
                </c:pt>
                <c:pt idx="110">
                  <c:v>36.885960400000002</c:v>
                </c:pt>
                <c:pt idx="111">
                  <c:v>37.28193426</c:v>
                </c:pt>
                <c:pt idx="112">
                  <c:v>37.682936079999998</c:v>
                </c:pt>
                <c:pt idx="113">
                  <c:v>38.088981330000003</c:v>
                </c:pt>
                <c:pt idx="114">
                  <c:v>38.500077439999998</c:v>
                </c:pt>
                <c:pt idx="115">
                  <c:v>38.916223799999997</c:v>
                </c:pt>
                <c:pt idx="116">
                  <c:v>39.337414010000003</c:v>
                </c:pt>
                <c:pt idx="117">
                  <c:v>39.763628150000002</c:v>
                </c:pt>
                <c:pt idx="118">
                  <c:v>40.194842909999998</c:v>
                </c:pt>
                <c:pt idx="119">
                  <c:v>40.63102576</c:v>
                </c:pt>
                <c:pt idx="120">
                  <c:v>41.07213642</c:v>
                </c:pt>
                <c:pt idx="121">
                  <c:v>41.518126870000003</c:v>
                </c:pt>
                <c:pt idx="122">
                  <c:v>41.968941579999999</c:v>
                </c:pt>
                <c:pt idx="123">
                  <c:v>42.424517549999997</c:v>
                </c:pt>
                <c:pt idx="124">
                  <c:v>42.884784570000001</c:v>
                </c:pt>
                <c:pt idx="125">
                  <c:v>43.349665309999999</c:v>
                </c:pt>
                <c:pt idx="126">
                  <c:v>43.81907554</c:v>
                </c:pt>
                <c:pt idx="127">
                  <c:v>44.292924309999997</c:v>
                </c:pt>
                <c:pt idx="128">
                  <c:v>44.771114150000002</c:v>
                </c:pt>
                <c:pt idx="129">
                  <c:v>45.253541300000002</c:v>
                </c:pt>
                <c:pt idx="130">
                  <c:v>45.740095889999999</c:v>
                </c:pt>
                <c:pt idx="131">
                  <c:v>46.230662189999997</c:v>
                </c:pt>
                <c:pt idx="132">
                  <c:v>46.725117930000003</c:v>
                </c:pt>
                <c:pt idx="133">
                  <c:v>47.223340489999998</c:v>
                </c:pt>
                <c:pt idx="134">
                  <c:v>47.725190720000001</c:v>
                </c:pt>
                <c:pt idx="135">
                  <c:v>48.230537140000003</c:v>
                </c:pt>
                <c:pt idx="136">
                  <c:v>48.73923662</c:v>
                </c:pt>
                <c:pt idx="137">
                  <c:v>49.251143120000002</c:v>
                </c:pt>
                <c:pt idx="138">
                  <c:v>49.766106350000001</c:v>
                </c:pt>
                <c:pt idx="139">
                  <c:v>50.283972030000001</c:v>
                </c:pt>
                <c:pt idx="140">
                  <c:v>50.804582160000002</c:v>
                </c:pt>
                <c:pt idx="141">
                  <c:v>51.327775209999999</c:v>
                </c:pt>
                <c:pt idx="142">
                  <c:v>51.853386370000003</c:v>
                </c:pt>
                <c:pt idx="143">
                  <c:v>52.381247770000002</c:v>
                </c:pt>
                <c:pt idx="144">
                  <c:v>52.911188680000002</c:v>
                </c:pt>
                <c:pt idx="145">
                  <c:v>53.443035739999999</c:v>
                </c:pt>
                <c:pt idx="146">
                  <c:v>53.976613180000001</c:v>
                </c:pt>
                <c:pt idx="147">
                  <c:v>54.51174297</c:v>
                </c:pt>
                <c:pt idx="148">
                  <c:v>55.048245059999999</c:v>
                </c:pt>
                <c:pt idx="149">
                  <c:v>55.585937510000001</c:v>
                </c:pt>
                <c:pt idx="150">
                  <c:v>56.124636700000003</c:v>
                </c:pt>
                <c:pt idx="151">
                  <c:v>56.66415748</c:v>
                </c:pt>
                <c:pt idx="152">
                  <c:v>57.204313319999997</c:v>
                </c:pt>
                <c:pt idx="153">
                  <c:v>57.74491716</c:v>
                </c:pt>
                <c:pt idx="154">
                  <c:v>58.285778299999997</c:v>
                </c:pt>
                <c:pt idx="155">
                  <c:v>58.82670813</c:v>
                </c:pt>
                <c:pt idx="156">
                  <c:v>59.367515869999998</c:v>
                </c:pt>
                <c:pt idx="157">
                  <c:v>59.908009999999997</c:v>
                </c:pt>
                <c:pt idx="158">
                  <c:v>60.44799828</c:v>
                </c:pt>
                <c:pt idx="159">
                  <c:v>60.987287879999997</c:v>
                </c:pt>
                <c:pt idx="160">
                  <c:v>61.525685449999997</c:v>
                </c:pt>
                <c:pt idx="161">
                  <c:v>62.062997189999997</c:v>
                </c:pt>
                <c:pt idx="162">
                  <c:v>62.599028939999997</c:v>
                </c:pt>
                <c:pt idx="163">
                  <c:v>63.133587939999998</c:v>
                </c:pt>
                <c:pt idx="164">
                  <c:v>63.666477209999996</c:v>
                </c:pt>
                <c:pt idx="165">
                  <c:v>64.197502760000006</c:v>
                </c:pt>
                <c:pt idx="166">
                  <c:v>64.726469539999997</c:v>
                </c:pt>
                <c:pt idx="167">
                  <c:v>65.253182390000006</c:v>
                </c:pt>
                <c:pt idx="168">
                  <c:v>65.777446080000004</c:v>
                </c:pt>
                <c:pt idx="169">
                  <c:v>66.299065389999996</c:v>
                </c:pt>
                <c:pt idx="170">
                  <c:v>66.817845160000005</c:v>
                </c:pt>
                <c:pt idx="171">
                  <c:v>67.333590310000005</c:v>
                </c:pt>
                <c:pt idx="172">
                  <c:v>67.846106000000006</c:v>
                </c:pt>
                <c:pt idx="173">
                  <c:v>68.355197649999994</c:v>
                </c:pt>
                <c:pt idx="174">
                  <c:v>68.860671049999993</c:v>
                </c:pt>
                <c:pt idx="175">
                  <c:v>69.362332519999995</c:v>
                </c:pt>
                <c:pt idx="176">
                  <c:v>69.859988970000003</c:v>
                </c:pt>
                <c:pt idx="177">
                  <c:v>70.353448110000002</c:v>
                </c:pt>
                <c:pt idx="178">
                  <c:v>70.842518600000005</c:v>
                </c:pt>
                <c:pt idx="179">
                  <c:v>71.327010259999994</c:v>
                </c:pt>
                <c:pt idx="180">
                  <c:v>71.806736779999994</c:v>
                </c:pt>
                <c:pt idx="181">
                  <c:v>72.281503400000005</c:v>
                </c:pt>
                <c:pt idx="182">
                  <c:v>72.75113236</c:v>
                </c:pt>
                <c:pt idx="183">
                  <c:v>73.21543801</c:v>
                </c:pt>
                <c:pt idx="184">
                  <c:v>73.674239700000001</c:v>
                </c:pt>
                <c:pt idx="185">
                  <c:v>74.127359650000002</c:v>
                </c:pt>
                <c:pt idx="186">
                  <c:v>74.574623290000005</c:v>
                </c:pt>
                <c:pt idx="187">
                  <c:v>75.015859660000004</c:v>
                </c:pt>
                <c:pt idx="188">
                  <c:v>75.450903839999995</c:v>
                </c:pt>
                <c:pt idx="189">
                  <c:v>75.879587209999997</c:v>
                </c:pt>
                <c:pt idx="190">
                  <c:v>76.301758210000003</c:v>
                </c:pt>
                <c:pt idx="191">
                  <c:v>76.717262439999999</c:v>
                </c:pt>
                <c:pt idx="192">
                  <c:v>77.125948640000004</c:v>
                </c:pt>
                <c:pt idx="193">
                  <c:v>77.527684300000004</c:v>
                </c:pt>
                <c:pt idx="194">
                  <c:v>77.922332310000002</c:v>
                </c:pt>
                <c:pt idx="195">
                  <c:v>78.309765929999998</c:v>
                </c:pt>
                <c:pt idx="196">
                  <c:v>78.689865909999995</c:v>
                </c:pt>
                <c:pt idx="197">
                  <c:v>79.062520899999996</c:v>
                </c:pt>
                <c:pt idx="198">
                  <c:v>79.427627790000003</c:v>
                </c:pt>
                <c:pt idx="199">
                  <c:v>79.785092160000005</c:v>
                </c:pt>
                <c:pt idx="200">
                  <c:v>80.134828589999998</c:v>
                </c:pt>
                <c:pt idx="201">
                  <c:v>80.476761120000006</c:v>
                </c:pt>
                <c:pt idx="202">
                  <c:v>80.810823540000001</c:v>
                </c:pt>
                <c:pt idx="203">
                  <c:v>81.1369598</c:v>
                </c:pt>
                <c:pt idx="204">
                  <c:v>81.455124420000004</c:v>
                </c:pt>
                <c:pt idx="205">
                  <c:v>81.765282889999995</c:v>
                </c:pt>
                <c:pt idx="206">
                  <c:v>82.06741212</c:v>
                </c:pt>
                <c:pt idx="207">
                  <c:v>82.361500899999996</c:v>
                </c:pt>
                <c:pt idx="208">
                  <c:v>82.647550469999999</c:v>
                </c:pt>
                <c:pt idx="209">
                  <c:v>82.925579080000006</c:v>
                </c:pt>
                <c:pt idx="210">
                  <c:v>83.195604959999997</c:v>
                </c:pt>
                <c:pt idx="211">
                  <c:v>83.457676120000002</c:v>
                </c:pt>
                <c:pt idx="212">
                  <c:v>83.711849979999997</c:v>
                </c:pt>
                <c:pt idx="213">
                  <c:v>83.958199949999994</c:v>
                </c:pt>
                <c:pt idx="214">
                  <c:v>84.196816380000001</c:v>
                </c:pt>
                <c:pt idx="215">
                  <c:v>84.427807540000003</c:v>
                </c:pt>
                <c:pt idx="216">
                  <c:v>84.651300699999993</c:v>
                </c:pt>
                <c:pt idx="217">
                  <c:v>84.867443219999998</c:v>
                </c:pt>
                <c:pt idx="218">
                  <c:v>85.076403639999995</c:v>
                </c:pt>
                <c:pt idx="219">
                  <c:v>85.278372860000005</c:v>
                </c:pt>
                <c:pt idx="220">
                  <c:v>85.473558530000005</c:v>
                </c:pt>
                <c:pt idx="221">
                  <c:v>85.662212409999995</c:v>
                </c:pt>
                <c:pt idx="222">
                  <c:v>85.844597280000002</c:v>
                </c:pt>
                <c:pt idx="223">
                  <c:v>86.021008550000005</c:v>
                </c:pt>
                <c:pt idx="224">
                  <c:v>86.191771399999993</c:v>
                </c:pt>
                <c:pt idx="225">
                  <c:v>86.357247119999997</c:v>
                </c:pt>
                <c:pt idx="226">
                  <c:v>86.517812770000006</c:v>
                </c:pt>
                <c:pt idx="227">
                  <c:v>86.673900000000003</c:v>
                </c:pt>
                <c:pt idx="228">
                  <c:v>86.825969040000004</c:v>
                </c:pt>
                <c:pt idx="229">
                  <c:v>86.974517759999998</c:v>
                </c:pt>
                <c:pt idx="230">
                  <c:v>87.120083379999997</c:v>
                </c:pt>
                <c:pt idx="231">
                  <c:v>87.263244319999998</c:v>
                </c:pt>
                <c:pt idx="232">
                  <c:v>87.404622029999999</c:v>
                </c:pt>
                <c:pt idx="233">
                  <c:v>87.544882819999998</c:v>
                </c:pt>
                <c:pt idx="234">
                  <c:v>87.684739800000003</c:v>
                </c:pt>
                <c:pt idx="235">
                  <c:v>87.824954779999999</c:v>
                </c:pt>
                <c:pt idx="236">
                  <c:v>87.966340360000004</c:v>
                </c:pt>
                <c:pt idx="237">
                  <c:v>88.109762020000005</c:v>
                </c:pt>
                <c:pt idx="238">
                  <c:v>88.256140459999997</c:v>
                </c:pt>
                <c:pt idx="239">
                  <c:v>88.406453990000003</c:v>
                </c:pt>
                <c:pt idx="240">
                  <c:v>88.561746429999999</c:v>
                </c:pt>
                <c:pt idx="241">
                  <c:v>88.723111369999998</c:v>
                </c:pt>
                <c:pt idx="242">
                  <c:v>88.806435269999994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F4A-4C7C-BC01-0DC7A95BB1BA}"/>
            </c:ext>
          </c:extLst>
        </c:ser>
        <c:ser>
          <c:idx val="8"/>
          <c:order val="9"/>
          <c:tx>
            <c:v>P95 boys</c:v>
          </c:tx>
          <c:spPr>
            <a:ln w="6350" cap="rnd">
              <a:solidFill>
                <a:srgbClr val="00B0F0">
                  <a:alpha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weight4age!$B$2:$B$244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weight4age!$M$2:$M$244</c:f>
              <c:numCache>
                <c:formatCode>General</c:formatCode>
                <c:ptCount val="243"/>
                <c:pt idx="0">
                  <c:v>4.3402927399999998</c:v>
                </c:pt>
                <c:pt idx="1">
                  <c:v>4.9101301079999997</c:v>
                </c:pt>
                <c:pt idx="2">
                  <c:v>5.9671016149999998</c:v>
                </c:pt>
                <c:pt idx="3">
                  <c:v>6.9211191620000001</c:v>
                </c:pt>
                <c:pt idx="4">
                  <c:v>7.7814011450000002</c:v>
                </c:pt>
                <c:pt idx="5">
                  <c:v>8.5568133530000008</c:v>
                </c:pt>
                <c:pt idx="6">
                  <c:v>9.2556145460000003</c:v>
                </c:pt>
                <c:pt idx="7">
                  <c:v>9.8854357430000004</c:v>
                </c:pt>
                <c:pt idx="8">
                  <c:v>10.45331433</c:v>
                </c:pt>
                <c:pt idx="9">
                  <c:v>10.96573632</c:v>
                </c:pt>
                <c:pt idx="10">
                  <c:v>11.428676230000001</c:v>
                </c:pt>
                <c:pt idx="11">
                  <c:v>11.847632819999999</c:v>
                </c:pt>
                <c:pt idx="12">
                  <c:v>12.2276612</c:v>
                </c:pt>
                <c:pt idx="13">
                  <c:v>12.573401929999999</c:v>
                </c:pt>
                <c:pt idx="14">
                  <c:v>12.889108090000001</c:v>
                </c:pt>
                <c:pt idx="15">
                  <c:v>13.17867019</c:v>
                </c:pt>
                <c:pt idx="16">
                  <c:v>13.445639630000001</c:v>
                </c:pt>
                <c:pt idx="17">
                  <c:v>13.6932508</c:v>
                </c:pt>
                <c:pt idx="18">
                  <c:v>13.92444193</c:v>
                </c:pt>
                <c:pt idx="19">
                  <c:v>14.141874809999999</c:v>
                </c:pt>
                <c:pt idx="20">
                  <c:v>14.34795358</c:v>
                </c:pt>
                <c:pt idx="21">
                  <c:v>14.54484233</c:v>
                </c:pt>
                <c:pt idx="22">
                  <c:v>14.73448194</c:v>
                </c:pt>
                <c:pt idx="23">
                  <c:v>14.91860604</c:v>
                </c:pt>
                <c:pt idx="24">
                  <c:v>15.098756059999999</c:v>
                </c:pt>
                <c:pt idx="25">
                  <c:v>15.18777349</c:v>
                </c:pt>
                <c:pt idx="26">
                  <c:v>15.276295620000001</c:v>
                </c:pt>
                <c:pt idx="27">
                  <c:v>15.452424049999999</c:v>
                </c:pt>
                <c:pt idx="28">
                  <c:v>15.62818936</c:v>
                </c:pt>
                <c:pt idx="29">
                  <c:v>15.804500429999999</c:v>
                </c:pt>
                <c:pt idx="30">
                  <c:v>15.98213866</c:v>
                </c:pt>
                <c:pt idx="31">
                  <c:v>16.16176896</c:v>
                </c:pt>
                <c:pt idx="32">
                  <c:v>16.343950249999999</c:v>
                </c:pt>
                <c:pt idx="33">
                  <c:v>16.529145620000001</c:v>
                </c:pt>
                <c:pt idx="34">
                  <c:v>16.717730169999999</c:v>
                </c:pt>
                <c:pt idx="35">
                  <c:v>16.910002039999998</c:v>
                </c:pt>
                <c:pt idx="36">
                  <c:v>17.106190659999999</c:v>
                </c:pt>
                <c:pt idx="37">
                  <c:v>17.30646132</c:v>
                </c:pt>
                <c:pt idx="38">
                  <c:v>17.510926659999999</c:v>
                </c:pt>
                <c:pt idx="39">
                  <c:v>17.719649400000002</c:v>
                </c:pt>
                <c:pt idx="40">
                  <c:v>17.932652019999999</c:v>
                </c:pt>
                <c:pt idx="41">
                  <c:v>18.14992024</c:v>
                </c:pt>
                <c:pt idx="42">
                  <c:v>18.371410869999998</c:v>
                </c:pt>
                <c:pt idx="43">
                  <c:v>18.59705318</c:v>
                </c:pt>
                <c:pt idx="44">
                  <c:v>18.826754900000001</c:v>
                </c:pt>
                <c:pt idx="45">
                  <c:v>19.060408590000002</c:v>
                </c:pt>
                <c:pt idx="46">
                  <c:v>19.29789203</c:v>
                </c:pt>
                <c:pt idx="47">
                  <c:v>19.53907323</c:v>
                </c:pt>
                <c:pt idx="48">
                  <c:v>19.783812510000001</c:v>
                </c:pt>
                <c:pt idx="49">
                  <c:v>20.031967760000001</c:v>
                </c:pt>
                <c:pt idx="50">
                  <c:v>20.283393480000001</c:v>
                </c:pt>
                <c:pt idx="51">
                  <c:v>20.53794512</c:v>
                </c:pt>
                <c:pt idx="52">
                  <c:v>20.79548054</c:v>
                </c:pt>
                <c:pt idx="53">
                  <c:v>21.05586181</c:v>
                </c:pt>
                <c:pt idx="54">
                  <c:v>21.318956709999998</c:v>
                </c:pt>
                <c:pt idx="55">
                  <c:v>21.584640109999999</c:v>
                </c:pt>
                <c:pt idx="56">
                  <c:v>21.85279508</c:v>
                </c:pt>
                <c:pt idx="57">
                  <c:v>22.12331387</c:v>
                </c:pt>
                <c:pt idx="58">
                  <c:v>22.396098200000001</c:v>
                </c:pt>
                <c:pt idx="59">
                  <c:v>22.671062039999999</c:v>
                </c:pt>
                <c:pt idx="60">
                  <c:v>22.948128990000001</c:v>
                </c:pt>
                <c:pt idx="61">
                  <c:v>23.22723469</c:v>
                </c:pt>
                <c:pt idx="62">
                  <c:v>23.50832656</c:v>
                </c:pt>
                <c:pt idx="63">
                  <c:v>23.791363910000001</c:v>
                </c:pt>
                <c:pt idx="64">
                  <c:v>24.076318019999999</c:v>
                </c:pt>
                <c:pt idx="65">
                  <c:v>24.363171980000001</c:v>
                </c:pt>
                <c:pt idx="66">
                  <c:v>24.651920579999999</c:v>
                </c:pt>
                <c:pt idx="67">
                  <c:v>24.94257</c:v>
                </c:pt>
                <c:pt idx="68">
                  <c:v>25.235137550000001</c:v>
                </c:pt>
                <c:pt idx="69">
                  <c:v>25.529651179999998</c:v>
                </c:pt>
                <c:pt idx="70">
                  <c:v>25.826149109999999</c:v>
                </c:pt>
                <c:pt idx="71">
                  <c:v>26.124679260000001</c:v>
                </c:pt>
                <c:pt idx="72">
                  <c:v>26.425298730000002</c:v>
                </c:pt>
                <c:pt idx="73">
                  <c:v>26.728072610000002</c:v>
                </c:pt>
                <c:pt idx="74">
                  <c:v>27.033075650000001</c:v>
                </c:pt>
                <c:pt idx="75">
                  <c:v>27.340388319999999</c:v>
                </c:pt>
                <c:pt idx="76">
                  <c:v>27.6500983</c:v>
                </c:pt>
                <c:pt idx="77">
                  <c:v>27.962299250000001</c:v>
                </c:pt>
                <c:pt idx="78">
                  <c:v>28.277090210000001</c:v>
                </c:pt>
                <c:pt idx="79">
                  <c:v>28.594574860000002</c:v>
                </c:pt>
                <c:pt idx="80">
                  <c:v>28.914860919999999</c:v>
                </c:pt>
                <c:pt idx="81">
                  <c:v>29.238059459999999</c:v>
                </c:pt>
                <c:pt idx="82">
                  <c:v>29.56428369</c:v>
                </c:pt>
                <c:pt idx="83">
                  <c:v>29.89365038</c:v>
                </c:pt>
                <c:pt idx="84">
                  <c:v>30.2262764</c:v>
                </c:pt>
                <c:pt idx="85">
                  <c:v>30.562279889999999</c:v>
                </c:pt>
                <c:pt idx="86">
                  <c:v>30.901779380000001</c:v>
                </c:pt>
                <c:pt idx="87">
                  <c:v>31.244892629999999</c:v>
                </c:pt>
                <c:pt idx="88">
                  <c:v>31.591737340000002</c:v>
                </c:pt>
                <c:pt idx="89">
                  <c:v>31.942429189999999</c:v>
                </c:pt>
                <c:pt idx="90">
                  <c:v>32.297082140000001</c:v>
                </c:pt>
                <c:pt idx="91">
                  <c:v>32.655807709999998</c:v>
                </c:pt>
                <c:pt idx="92">
                  <c:v>33.018714490000001</c:v>
                </c:pt>
                <c:pt idx="93">
                  <c:v>33.385907690000003</c:v>
                </c:pt>
                <c:pt idx="94">
                  <c:v>33.757488610000003</c:v>
                </c:pt>
                <c:pt idx="95">
                  <c:v>34.133554250000003</c:v>
                </c:pt>
                <c:pt idx="96">
                  <c:v>34.514196320000003</c:v>
                </c:pt>
                <c:pt idx="97">
                  <c:v>34.899502660000003</c:v>
                </c:pt>
                <c:pt idx="98">
                  <c:v>35.289554260000003</c:v>
                </c:pt>
                <c:pt idx="99">
                  <c:v>35.684426469999998</c:v>
                </c:pt>
                <c:pt idx="100">
                  <c:v>36.084188230000002</c:v>
                </c:pt>
                <c:pt idx="101">
                  <c:v>36.488901759999997</c:v>
                </c:pt>
                <c:pt idx="102">
                  <c:v>36.898622150000001</c:v>
                </c:pt>
                <c:pt idx="103">
                  <c:v>37.313397119999998</c:v>
                </c:pt>
                <c:pt idx="104">
                  <c:v>37.733266690000001</c:v>
                </c:pt>
                <c:pt idx="105">
                  <c:v>38.158262870000001</c:v>
                </c:pt>
                <c:pt idx="106">
                  <c:v>38.588410099999997</c:v>
                </c:pt>
                <c:pt idx="107">
                  <c:v>39.023723429999997</c:v>
                </c:pt>
                <c:pt idx="108">
                  <c:v>39.46421007</c:v>
                </c:pt>
                <c:pt idx="109">
                  <c:v>39.909868539999998</c:v>
                </c:pt>
                <c:pt idx="110">
                  <c:v>40.360688580000001</c:v>
                </c:pt>
                <c:pt idx="111">
                  <c:v>40.81665117</c:v>
                </c:pt>
                <c:pt idx="112">
                  <c:v>41.27772848</c:v>
                </c:pt>
                <c:pt idx="113">
                  <c:v>41.743883920000002</c:v>
                </c:pt>
                <c:pt idx="114">
                  <c:v>42.215072159999998</c:v>
                </c:pt>
                <c:pt idx="115">
                  <c:v>42.69123922</c:v>
                </c:pt>
                <c:pt idx="116">
                  <c:v>43.17232241</c:v>
                </c:pt>
                <c:pt idx="117">
                  <c:v>43.658251059999998</c:v>
                </c:pt>
                <c:pt idx="118">
                  <c:v>44.148945980000001</c:v>
                </c:pt>
                <c:pt idx="119">
                  <c:v>44.64432008</c:v>
                </c:pt>
                <c:pt idx="120">
                  <c:v>45.144278499999999</c:v>
                </c:pt>
                <c:pt idx="121">
                  <c:v>45.648718850000002</c:v>
                </c:pt>
                <c:pt idx="122">
                  <c:v>46.157531540000001</c:v>
                </c:pt>
                <c:pt idx="123">
                  <c:v>46.670600059999998</c:v>
                </c:pt>
                <c:pt idx="124">
                  <c:v>47.187801280000002</c:v>
                </c:pt>
                <c:pt idx="125">
                  <c:v>47.709005820000002</c:v>
                </c:pt>
                <c:pt idx="126">
                  <c:v>48.234078390000001</c:v>
                </c:pt>
                <c:pt idx="127">
                  <c:v>48.76287816</c:v>
                </c:pt>
                <c:pt idx="128">
                  <c:v>49.295259139999999</c:v>
                </c:pt>
                <c:pt idx="129">
                  <c:v>49.831070580000002</c:v>
                </c:pt>
                <c:pt idx="130">
                  <c:v>50.370157319999997</c:v>
                </c:pt>
                <c:pt idx="131">
                  <c:v>50.912360239999998</c:v>
                </c:pt>
                <c:pt idx="132">
                  <c:v>51.45751679</c:v>
                </c:pt>
                <c:pt idx="133">
                  <c:v>52.005460390000003</c:v>
                </c:pt>
                <c:pt idx="134">
                  <c:v>52.556023629999999</c:v>
                </c:pt>
                <c:pt idx="135">
                  <c:v>53.109034520000002</c:v>
                </c:pt>
                <c:pt idx="136">
                  <c:v>53.664320340000003</c:v>
                </c:pt>
                <c:pt idx="137">
                  <c:v>54.221706470000001</c:v>
                </c:pt>
                <c:pt idx="138">
                  <c:v>54.7810171</c:v>
                </c:pt>
                <c:pt idx="139">
                  <c:v>55.342075569999999</c:v>
                </c:pt>
                <c:pt idx="140">
                  <c:v>55.904704719999998</c:v>
                </c:pt>
                <c:pt idx="141">
                  <c:v>56.468727260000001</c:v>
                </c:pt>
                <c:pt idx="142">
                  <c:v>57.03396609</c:v>
                </c:pt>
                <c:pt idx="143">
                  <c:v>57.600244600000003</c:v>
                </c:pt>
                <c:pt idx="144">
                  <c:v>58.167386999999998</c:v>
                </c:pt>
                <c:pt idx="145">
                  <c:v>58.735218570000001</c:v>
                </c:pt>
                <c:pt idx="146">
                  <c:v>59.30356596</c:v>
                </c:pt>
                <c:pt idx="147">
                  <c:v>59.872257390000001</c:v>
                </c:pt>
                <c:pt idx="148">
                  <c:v>60.441122890000003</c:v>
                </c:pt>
                <c:pt idx="149">
                  <c:v>61.009994509999999</c:v>
                </c:pt>
                <c:pt idx="150">
                  <c:v>61.578706500000003</c:v>
                </c:pt>
                <c:pt idx="151">
                  <c:v>62.14709543</c:v>
                </c:pt>
                <c:pt idx="152">
                  <c:v>62.715000359999998</c:v>
                </c:pt>
                <c:pt idx="153">
                  <c:v>63.282262719999999</c:v>
                </c:pt>
                <c:pt idx="154">
                  <c:v>63.848727340000003</c:v>
                </c:pt>
                <c:pt idx="155">
                  <c:v>64.414240879999994</c:v>
                </c:pt>
                <c:pt idx="156">
                  <c:v>64.978653129999998</c:v>
                </c:pt>
                <c:pt idx="157">
                  <c:v>65.541816639999993</c:v>
                </c:pt>
                <c:pt idx="158">
                  <c:v>66.103586699999994</c:v>
                </c:pt>
                <c:pt idx="159">
                  <c:v>66.663821310000003</c:v>
                </c:pt>
                <c:pt idx="160">
                  <c:v>67.222381110000001</c:v>
                </c:pt>
                <c:pt idx="161">
                  <c:v>67.779129260000005</c:v>
                </c:pt>
                <c:pt idx="162">
                  <c:v>68.333931359999994</c:v>
                </c:pt>
                <c:pt idx="163">
                  <c:v>68.886654530000001</c:v>
                </c:pt>
                <c:pt idx="164">
                  <c:v>69.437169650000001</c:v>
                </c:pt>
                <c:pt idx="165">
                  <c:v>69.985348189999996</c:v>
                </c:pt>
                <c:pt idx="166">
                  <c:v>70.531063669999995</c:v>
                </c:pt>
                <c:pt idx="167">
                  <c:v>71.074191080000006</c:v>
                </c:pt>
                <c:pt idx="168">
                  <c:v>71.614606600000002</c:v>
                </c:pt>
                <c:pt idx="169">
                  <c:v>72.152187359999999</c:v>
                </c:pt>
                <c:pt idx="170">
                  <c:v>72.686811090000006</c:v>
                </c:pt>
                <c:pt idx="171">
                  <c:v>73.218355880000004</c:v>
                </c:pt>
                <c:pt idx="172">
                  <c:v>73.746699800000002</c:v>
                </c:pt>
                <c:pt idx="173">
                  <c:v>74.271720610000003</c:v>
                </c:pt>
                <c:pt idx="174">
                  <c:v>74.793295380000004</c:v>
                </c:pt>
                <c:pt idx="175">
                  <c:v>75.311300180000003</c:v>
                </c:pt>
                <c:pt idx="176">
                  <c:v>75.825609679999999</c:v>
                </c:pt>
                <c:pt idx="177">
                  <c:v>76.336096879999999</c:v>
                </c:pt>
                <c:pt idx="178">
                  <c:v>76.842632690000002</c:v>
                </c:pt>
                <c:pt idx="179">
                  <c:v>77.345085620000006</c:v>
                </c:pt>
                <c:pt idx="180">
                  <c:v>77.843320289999994</c:v>
                </c:pt>
                <c:pt idx="181">
                  <c:v>78.337203090000003</c:v>
                </c:pt>
                <c:pt idx="182">
                  <c:v>78.826589940000005</c:v>
                </c:pt>
                <c:pt idx="183">
                  <c:v>79.31133801</c:v>
                </c:pt>
                <c:pt idx="184">
                  <c:v>79.791299539999997</c:v>
                </c:pt>
                <c:pt idx="185">
                  <c:v>80.266322860000002</c:v>
                </c:pt>
                <c:pt idx="186">
                  <c:v>80.736252239999999</c:v>
                </c:pt>
                <c:pt idx="187">
                  <c:v>81.200927859999993</c:v>
                </c:pt>
                <c:pt idx="188">
                  <c:v>81.660185029999994</c:v>
                </c:pt>
                <c:pt idx="189">
                  <c:v>82.113857949999996</c:v>
                </c:pt>
                <c:pt idx="190">
                  <c:v>82.561772390000002</c:v>
                </c:pt>
                <c:pt idx="191">
                  <c:v>83.003753290000006</c:v>
                </c:pt>
                <c:pt idx="192">
                  <c:v>83.439623389999994</c:v>
                </c:pt>
                <c:pt idx="193">
                  <c:v>83.869196599999995</c:v>
                </c:pt>
                <c:pt idx="194">
                  <c:v>84.29228904</c:v>
                </c:pt>
                <c:pt idx="195">
                  <c:v>84.708712969999993</c:v>
                </c:pt>
                <c:pt idx="196">
                  <c:v>85.118278900000007</c:v>
                </c:pt>
                <c:pt idx="197">
                  <c:v>85.520796160000003</c:v>
                </c:pt>
                <c:pt idx="198">
                  <c:v>85.916073650000001</c:v>
                </c:pt>
                <c:pt idx="199">
                  <c:v>86.303920610000006</c:v>
                </c:pt>
                <c:pt idx="200">
                  <c:v>86.684147490000001</c:v>
                </c:pt>
                <c:pt idx="201">
                  <c:v>87.056566900000007</c:v>
                </c:pt>
                <c:pt idx="202">
                  <c:v>87.420994629999996</c:v>
                </c:pt>
                <c:pt idx="203">
                  <c:v>87.777250730000006</c:v>
                </c:pt>
                <c:pt idx="204">
                  <c:v>88.125160719999997</c:v>
                </c:pt>
                <c:pt idx="205">
                  <c:v>88.464556830000006</c:v>
                </c:pt>
                <c:pt idx="206">
                  <c:v>88.79527942</c:v>
                </c:pt>
                <c:pt idx="207">
                  <c:v>89.117178359999997</c:v>
                </c:pt>
                <c:pt idx="208">
                  <c:v>89.430114630000006</c:v>
                </c:pt>
                <c:pt idx="209">
                  <c:v>89.733960539999998</c:v>
                </c:pt>
                <c:pt idx="210">
                  <c:v>90.028607980000004</c:v>
                </c:pt>
                <c:pt idx="211">
                  <c:v>90.313959690000004</c:v>
                </c:pt>
                <c:pt idx="212">
                  <c:v>90.589939090000001</c:v>
                </c:pt>
                <c:pt idx="213">
                  <c:v>90.856490429999994</c:v>
                </c:pt>
                <c:pt idx="214">
                  <c:v>91.113581150000002</c:v>
                </c:pt>
                <c:pt idx="215">
                  <c:v>91.361204509999993</c:v>
                </c:pt>
                <c:pt idx="216">
                  <c:v>91.599382320000004</c:v>
                </c:pt>
                <c:pt idx="217">
                  <c:v>91.828167949999994</c:v>
                </c:pt>
                <c:pt idx="218">
                  <c:v>92.047649579999998</c:v>
                </c:pt>
                <c:pt idx="219">
                  <c:v>92.257953630000003</c:v>
                </c:pt>
                <c:pt idx="220">
                  <c:v>92.459248799999997</c:v>
                </c:pt>
                <c:pt idx="221">
                  <c:v>92.651749460000005</c:v>
                </c:pt>
                <c:pt idx="222">
                  <c:v>92.835719850000004</c:v>
                </c:pt>
                <c:pt idx="223">
                  <c:v>93.011479199999997</c:v>
                </c:pt>
                <c:pt idx="224">
                  <c:v>93.179406380000003</c:v>
                </c:pt>
                <c:pt idx="225">
                  <c:v>93.339943980000001</c:v>
                </c:pt>
                <c:pt idx="226">
                  <c:v>93.493608949999995</c:v>
                </c:pt>
                <c:pt idx="227">
                  <c:v>93.640990029999998</c:v>
                </c:pt>
                <c:pt idx="228">
                  <c:v>93.782760100000004</c:v>
                </c:pt>
                <c:pt idx="229">
                  <c:v>93.919681350000005</c:v>
                </c:pt>
                <c:pt idx="230">
                  <c:v>94.052612319999994</c:v>
                </c:pt>
                <c:pt idx="231">
                  <c:v>94.182515289999998</c:v>
                </c:pt>
                <c:pt idx="232">
                  <c:v>94.310464109999998</c:v>
                </c:pt>
                <c:pt idx="233">
                  <c:v>94.43765234</c:v>
                </c:pt>
                <c:pt idx="234">
                  <c:v>94.565401789999996</c:v>
                </c:pt>
                <c:pt idx="235">
                  <c:v>94.695171360000003</c:v>
                </c:pt>
                <c:pt idx="236">
                  <c:v>94.828566109999997</c:v>
                </c:pt>
                <c:pt idx="237">
                  <c:v>94.967346509999999</c:v>
                </c:pt>
                <c:pt idx="238">
                  <c:v>95.113437840000003</c:v>
                </c:pt>
                <c:pt idx="239">
                  <c:v>95.268939419999995</c:v>
                </c:pt>
                <c:pt idx="240">
                  <c:v>95.436131810000006</c:v>
                </c:pt>
                <c:pt idx="241">
                  <c:v>95.617493030000006</c:v>
                </c:pt>
                <c:pt idx="242">
                  <c:v>95.714314270000003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F4A-4C7C-BC01-0DC7A95BB1BA}"/>
            </c:ext>
          </c:extLst>
        </c:ser>
        <c:ser>
          <c:idx val="9"/>
          <c:order val="10"/>
          <c:tx>
            <c:v>P97 boys</c:v>
          </c:tx>
          <c:spPr>
            <a:ln w="635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weight4age!$B$2:$B$244</c:f>
              <c:numCache>
                <c:formatCode>0.00</c:formatCode>
                <c:ptCount val="243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</c:v>
                </c:pt>
                <c:pt idx="26">
                  <c:v>2.0416666666666665</c:v>
                </c:pt>
                <c:pt idx="27">
                  <c:v>2.125</c:v>
                </c:pt>
                <c:pt idx="28">
                  <c:v>2.2083333333333335</c:v>
                </c:pt>
                <c:pt idx="29">
                  <c:v>2.2916666666666665</c:v>
                </c:pt>
                <c:pt idx="30">
                  <c:v>2.375</c:v>
                </c:pt>
                <c:pt idx="31">
                  <c:v>2.4583333333333335</c:v>
                </c:pt>
                <c:pt idx="32">
                  <c:v>2.5416666666666665</c:v>
                </c:pt>
                <c:pt idx="33">
                  <c:v>2.625</c:v>
                </c:pt>
                <c:pt idx="34">
                  <c:v>2.7083333333333335</c:v>
                </c:pt>
                <c:pt idx="35">
                  <c:v>2.7916666666666665</c:v>
                </c:pt>
                <c:pt idx="36">
                  <c:v>2.875</c:v>
                </c:pt>
                <c:pt idx="37">
                  <c:v>2.9583333333333335</c:v>
                </c:pt>
                <c:pt idx="38">
                  <c:v>3.0416666666666665</c:v>
                </c:pt>
                <c:pt idx="39">
                  <c:v>3.125</c:v>
                </c:pt>
                <c:pt idx="40">
                  <c:v>3.2083333333333335</c:v>
                </c:pt>
                <c:pt idx="41">
                  <c:v>3.2916666666666665</c:v>
                </c:pt>
                <c:pt idx="42">
                  <c:v>3.375</c:v>
                </c:pt>
                <c:pt idx="43">
                  <c:v>3.4583333333333335</c:v>
                </c:pt>
                <c:pt idx="44">
                  <c:v>3.5416666666666665</c:v>
                </c:pt>
                <c:pt idx="45">
                  <c:v>3.625</c:v>
                </c:pt>
                <c:pt idx="46">
                  <c:v>3.7083333333333335</c:v>
                </c:pt>
                <c:pt idx="47">
                  <c:v>3.7916666666666665</c:v>
                </c:pt>
                <c:pt idx="48">
                  <c:v>3.875</c:v>
                </c:pt>
                <c:pt idx="49">
                  <c:v>3.9583333333333335</c:v>
                </c:pt>
                <c:pt idx="50">
                  <c:v>4.041666666666667</c:v>
                </c:pt>
                <c:pt idx="51">
                  <c:v>4.125</c:v>
                </c:pt>
                <c:pt idx="52">
                  <c:v>4.208333333333333</c:v>
                </c:pt>
                <c:pt idx="53">
                  <c:v>4.291666666666667</c:v>
                </c:pt>
                <c:pt idx="54">
                  <c:v>4.375</c:v>
                </c:pt>
                <c:pt idx="55">
                  <c:v>4.458333333333333</c:v>
                </c:pt>
                <c:pt idx="56">
                  <c:v>4.541666666666667</c:v>
                </c:pt>
                <c:pt idx="57">
                  <c:v>4.625</c:v>
                </c:pt>
                <c:pt idx="58">
                  <c:v>4.708333333333333</c:v>
                </c:pt>
                <c:pt idx="59">
                  <c:v>4.791666666666667</c:v>
                </c:pt>
                <c:pt idx="60">
                  <c:v>4.875</c:v>
                </c:pt>
                <c:pt idx="61">
                  <c:v>4.958333333333333</c:v>
                </c:pt>
                <c:pt idx="62">
                  <c:v>5.041666666666667</c:v>
                </c:pt>
                <c:pt idx="63">
                  <c:v>5.125</c:v>
                </c:pt>
                <c:pt idx="64">
                  <c:v>5.208333333333333</c:v>
                </c:pt>
                <c:pt idx="65">
                  <c:v>5.291666666666667</c:v>
                </c:pt>
                <c:pt idx="66">
                  <c:v>5.375</c:v>
                </c:pt>
                <c:pt idx="67">
                  <c:v>5.458333333333333</c:v>
                </c:pt>
                <c:pt idx="68">
                  <c:v>5.541666666666667</c:v>
                </c:pt>
                <c:pt idx="69">
                  <c:v>5.625</c:v>
                </c:pt>
                <c:pt idx="70">
                  <c:v>5.708333333333333</c:v>
                </c:pt>
                <c:pt idx="71">
                  <c:v>5.791666666666667</c:v>
                </c:pt>
                <c:pt idx="72">
                  <c:v>5.875</c:v>
                </c:pt>
                <c:pt idx="73">
                  <c:v>5.958333333333333</c:v>
                </c:pt>
                <c:pt idx="74">
                  <c:v>6.041666666666667</c:v>
                </c:pt>
                <c:pt idx="75">
                  <c:v>6.125</c:v>
                </c:pt>
                <c:pt idx="76">
                  <c:v>6.208333333333333</c:v>
                </c:pt>
                <c:pt idx="77">
                  <c:v>6.291666666666667</c:v>
                </c:pt>
                <c:pt idx="78">
                  <c:v>6.375</c:v>
                </c:pt>
                <c:pt idx="79">
                  <c:v>6.458333333333333</c:v>
                </c:pt>
                <c:pt idx="80">
                  <c:v>6.541666666666667</c:v>
                </c:pt>
                <c:pt idx="81">
                  <c:v>6.625</c:v>
                </c:pt>
                <c:pt idx="82">
                  <c:v>6.708333333333333</c:v>
                </c:pt>
                <c:pt idx="83">
                  <c:v>6.791666666666667</c:v>
                </c:pt>
                <c:pt idx="84">
                  <c:v>6.875</c:v>
                </c:pt>
                <c:pt idx="85">
                  <c:v>6.958333333333333</c:v>
                </c:pt>
                <c:pt idx="86">
                  <c:v>7.041666666666667</c:v>
                </c:pt>
                <c:pt idx="87">
                  <c:v>7.125</c:v>
                </c:pt>
                <c:pt idx="88">
                  <c:v>7.208333333333333</c:v>
                </c:pt>
                <c:pt idx="89">
                  <c:v>7.291666666666667</c:v>
                </c:pt>
                <c:pt idx="90">
                  <c:v>7.375</c:v>
                </c:pt>
                <c:pt idx="91">
                  <c:v>7.458333333333333</c:v>
                </c:pt>
                <c:pt idx="92">
                  <c:v>7.541666666666667</c:v>
                </c:pt>
                <c:pt idx="93">
                  <c:v>7.625</c:v>
                </c:pt>
                <c:pt idx="94">
                  <c:v>7.708333333333333</c:v>
                </c:pt>
                <c:pt idx="95">
                  <c:v>7.791666666666667</c:v>
                </c:pt>
                <c:pt idx="96">
                  <c:v>7.875</c:v>
                </c:pt>
                <c:pt idx="97">
                  <c:v>7.958333333333333</c:v>
                </c:pt>
                <c:pt idx="98">
                  <c:v>8.0416666666666661</c:v>
                </c:pt>
                <c:pt idx="99">
                  <c:v>8.125</c:v>
                </c:pt>
                <c:pt idx="100">
                  <c:v>8.2083333333333339</c:v>
                </c:pt>
                <c:pt idx="101">
                  <c:v>8.2916666666666661</c:v>
                </c:pt>
                <c:pt idx="102">
                  <c:v>8.375</c:v>
                </c:pt>
                <c:pt idx="103">
                  <c:v>8.4583333333333339</c:v>
                </c:pt>
                <c:pt idx="104">
                  <c:v>8.5416666666666661</c:v>
                </c:pt>
                <c:pt idx="105">
                  <c:v>8.625</c:v>
                </c:pt>
                <c:pt idx="106">
                  <c:v>8.7083333333333339</c:v>
                </c:pt>
                <c:pt idx="107">
                  <c:v>8.7916666666666661</c:v>
                </c:pt>
                <c:pt idx="108">
                  <c:v>8.875</c:v>
                </c:pt>
                <c:pt idx="109">
                  <c:v>8.9583333333333339</c:v>
                </c:pt>
                <c:pt idx="110">
                  <c:v>9.0416666666666661</c:v>
                </c:pt>
                <c:pt idx="111">
                  <c:v>9.125</c:v>
                </c:pt>
                <c:pt idx="112">
                  <c:v>9.2083333333333339</c:v>
                </c:pt>
                <c:pt idx="113">
                  <c:v>9.2916666666666661</c:v>
                </c:pt>
                <c:pt idx="114">
                  <c:v>9.375</c:v>
                </c:pt>
                <c:pt idx="115">
                  <c:v>9.4583333333333339</c:v>
                </c:pt>
                <c:pt idx="116">
                  <c:v>9.5416666666666661</c:v>
                </c:pt>
                <c:pt idx="117">
                  <c:v>9.625</c:v>
                </c:pt>
                <c:pt idx="118">
                  <c:v>9.7083333333333339</c:v>
                </c:pt>
                <c:pt idx="119">
                  <c:v>9.7916666666666661</c:v>
                </c:pt>
                <c:pt idx="120">
                  <c:v>9.875</c:v>
                </c:pt>
                <c:pt idx="121">
                  <c:v>9.9583333333333339</c:v>
                </c:pt>
                <c:pt idx="122">
                  <c:v>10.041666666666666</c:v>
                </c:pt>
                <c:pt idx="123">
                  <c:v>10.125</c:v>
                </c:pt>
                <c:pt idx="124">
                  <c:v>10.208333333333334</c:v>
                </c:pt>
                <c:pt idx="125">
                  <c:v>10.291666666666666</c:v>
                </c:pt>
                <c:pt idx="126">
                  <c:v>10.375</c:v>
                </c:pt>
                <c:pt idx="127">
                  <c:v>10.458333333333334</c:v>
                </c:pt>
                <c:pt idx="128">
                  <c:v>10.541666666666666</c:v>
                </c:pt>
                <c:pt idx="129">
                  <c:v>10.625</c:v>
                </c:pt>
                <c:pt idx="130">
                  <c:v>10.708333333333334</c:v>
                </c:pt>
                <c:pt idx="131">
                  <c:v>10.791666666666666</c:v>
                </c:pt>
                <c:pt idx="132">
                  <c:v>10.875</c:v>
                </c:pt>
                <c:pt idx="133">
                  <c:v>10.958333333333334</c:v>
                </c:pt>
                <c:pt idx="134">
                  <c:v>11.041666666666666</c:v>
                </c:pt>
                <c:pt idx="135">
                  <c:v>11.125</c:v>
                </c:pt>
                <c:pt idx="136">
                  <c:v>11.208333333333334</c:v>
                </c:pt>
                <c:pt idx="137">
                  <c:v>11.291666666666666</c:v>
                </c:pt>
                <c:pt idx="138">
                  <c:v>11.375</c:v>
                </c:pt>
                <c:pt idx="139">
                  <c:v>11.458333333333334</c:v>
                </c:pt>
                <c:pt idx="140">
                  <c:v>11.541666666666666</c:v>
                </c:pt>
                <c:pt idx="141">
                  <c:v>11.625</c:v>
                </c:pt>
                <c:pt idx="142">
                  <c:v>11.708333333333334</c:v>
                </c:pt>
                <c:pt idx="143">
                  <c:v>11.791666666666666</c:v>
                </c:pt>
                <c:pt idx="144">
                  <c:v>11.875</c:v>
                </c:pt>
                <c:pt idx="145">
                  <c:v>11.958333333333334</c:v>
                </c:pt>
                <c:pt idx="146">
                  <c:v>12.041666666666666</c:v>
                </c:pt>
                <c:pt idx="147">
                  <c:v>12.125</c:v>
                </c:pt>
                <c:pt idx="148">
                  <c:v>12.208333333333334</c:v>
                </c:pt>
                <c:pt idx="149">
                  <c:v>12.291666666666666</c:v>
                </c:pt>
                <c:pt idx="150">
                  <c:v>12.375</c:v>
                </c:pt>
                <c:pt idx="151">
                  <c:v>12.458333333333334</c:v>
                </c:pt>
                <c:pt idx="152">
                  <c:v>12.541666666666666</c:v>
                </c:pt>
                <c:pt idx="153">
                  <c:v>12.625</c:v>
                </c:pt>
                <c:pt idx="154">
                  <c:v>12.708333333333334</c:v>
                </c:pt>
                <c:pt idx="155">
                  <c:v>12.791666666666666</c:v>
                </c:pt>
                <c:pt idx="156">
                  <c:v>12.875</c:v>
                </c:pt>
                <c:pt idx="157">
                  <c:v>12.958333333333334</c:v>
                </c:pt>
                <c:pt idx="158">
                  <c:v>13.041666666666666</c:v>
                </c:pt>
                <c:pt idx="159">
                  <c:v>13.125</c:v>
                </c:pt>
                <c:pt idx="160">
                  <c:v>13.208333333333334</c:v>
                </c:pt>
                <c:pt idx="161">
                  <c:v>13.291666666666666</c:v>
                </c:pt>
                <c:pt idx="162">
                  <c:v>13.375</c:v>
                </c:pt>
                <c:pt idx="163">
                  <c:v>13.458333333333334</c:v>
                </c:pt>
                <c:pt idx="164">
                  <c:v>13.541666666666666</c:v>
                </c:pt>
                <c:pt idx="165">
                  <c:v>13.625</c:v>
                </c:pt>
                <c:pt idx="166">
                  <c:v>13.708333333333334</c:v>
                </c:pt>
                <c:pt idx="167">
                  <c:v>13.791666666666666</c:v>
                </c:pt>
                <c:pt idx="168">
                  <c:v>13.875</c:v>
                </c:pt>
                <c:pt idx="169">
                  <c:v>13.958333333333334</c:v>
                </c:pt>
                <c:pt idx="170">
                  <c:v>14.041666666666666</c:v>
                </c:pt>
                <c:pt idx="171">
                  <c:v>14.125</c:v>
                </c:pt>
                <c:pt idx="172">
                  <c:v>14.208333333333334</c:v>
                </c:pt>
                <c:pt idx="173">
                  <c:v>14.291666666666666</c:v>
                </c:pt>
                <c:pt idx="174">
                  <c:v>14.375</c:v>
                </c:pt>
                <c:pt idx="175">
                  <c:v>14.458333333333334</c:v>
                </c:pt>
                <c:pt idx="176">
                  <c:v>14.541666666666666</c:v>
                </c:pt>
                <c:pt idx="177">
                  <c:v>14.625</c:v>
                </c:pt>
                <c:pt idx="178">
                  <c:v>14.708333333333334</c:v>
                </c:pt>
                <c:pt idx="179">
                  <c:v>14.791666666666666</c:v>
                </c:pt>
                <c:pt idx="180">
                  <c:v>14.875</c:v>
                </c:pt>
                <c:pt idx="181">
                  <c:v>14.958333333333334</c:v>
                </c:pt>
                <c:pt idx="182">
                  <c:v>15.041666666666666</c:v>
                </c:pt>
                <c:pt idx="183">
                  <c:v>15.125</c:v>
                </c:pt>
                <c:pt idx="184">
                  <c:v>15.208333333333334</c:v>
                </c:pt>
                <c:pt idx="185">
                  <c:v>15.291666666666666</c:v>
                </c:pt>
                <c:pt idx="186">
                  <c:v>15.375</c:v>
                </c:pt>
                <c:pt idx="187">
                  <c:v>15.458333333333334</c:v>
                </c:pt>
                <c:pt idx="188">
                  <c:v>15.541666666666666</c:v>
                </c:pt>
                <c:pt idx="189">
                  <c:v>15.625</c:v>
                </c:pt>
                <c:pt idx="190">
                  <c:v>15.708333333333334</c:v>
                </c:pt>
                <c:pt idx="191">
                  <c:v>15.791666666666666</c:v>
                </c:pt>
                <c:pt idx="192">
                  <c:v>15.875</c:v>
                </c:pt>
                <c:pt idx="193">
                  <c:v>15.958333333333334</c:v>
                </c:pt>
                <c:pt idx="194">
                  <c:v>16.041666666666668</c:v>
                </c:pt>
                <c:pt idx="195">
                  <c:v>16.125</c:v>
                </c:pt>
                <c:pt idx="196">
                  <c:v>16.208333333333332</c:v>
                </c:pt>
                <c:pt idx="197">
                  <c:v>16.291666666666668</c:v>
                </c:pt>
                <c:pt idx="198">
                  <c:v>16.375</c:v>
                </c:pt>
                <c:pt idx="199">
                  <c:v>16.458333333333332</c:v>
                </c:pt>
                <c:pt idx="200">
                  <c:v>16.541666666666668</c:v>
                </c:pt>
                <c:pt idx="201">
                  <c:v>16.625</c:v>
                </c:pt>
                <c:pt idx="202">
                  <c:v>16.708333333333332</c:v>
                </c:pt>
                <c:pt idx="203">
                  <c:v>16.791666666666668</c:v>
                </c:pt>
                <c:pt idx="204">
                  <c:v>16.875</c:v>
                </c:pt>
                <c:pt idx="205">
                  <c:v>16.958333333333332</c:v>
                </c:pt>
                <c:pt idx="206">
                  <c:v>17.041666666666668</c:v>
                </c:pt>
                <c:pt idx="207">
                  <c:v>17.125</c:v>
                </c:pt>
                <c:pt idx="208">
                  <c:v>17.208333333333332</c:v>
                </c:pt>
                <c:pt idx="209">
                  <c:v>17.291666666666668</c:v>
                </c:pt>
                <c:pt idx="210">
                  <c:v>17.375</c:v>
                </c:pt>
                <c:pt idx="211">
                  <c:v>17.458333333333332</c:v>
                </c:pt>
                <c:pt idx="212">
                  <c:v>17.541666666666668</c:v>
                </c:pt>
                <c:pt idx="213">
                  <c:v>17.625</c:v>
                </c:pt>
                <c:pt idx="214">
                  <c:v>17.708333333333332</c:v>
                </c:pt>
                <c:pt idx="215">
                  <c:v>17.791666666666668</c:v>
                </c:pt>
                <c:pt idx="216">
                  <c:v>17.875</c:v>
                </c:pt>
                <c:pt idx="217">
                  <c:v>17.958333333333332</c:v>
                </c:pt>
                <c:pt idx="218">
                  <c:v>18.041666666666668</c:v>
                </c:pt>
                <c:pt idx="219">
                  <c:v>18.125</c:v>
                </c:pt>
                <c:pt idx="220">
                  <c:v>18.208333333333332</c:v>
                </c:pt>
                <c:pt idx="221">
                  <c:v>18.291666666666668</c:v>
                </c:pt>
                <c:pt idx="222">
                  <c:v>18.375</c:v>
                </c:pt>
                <c:pt idx="223">
                  <c:v>18.458333333333332</c:v>
                </c:pt>
                <c:pt idx="224">
                  <c:v>18.541666666666668</c:v>
                </c:pt>
                <c:pt idx="225">
                  <c:v>18.625</c:v>
                </c:pt>
                <c:pt idx="226">
                  <c:v>18.708333333333332</c:v>
                </c:pt>
                <c:pt idx="227">
                  <c:v>18.791666666666668</c:v>
                </c:pt>
                <c:pt idx="228">
                  <c:v>18.875</c:v>
                </c:pt>
                <c:pt idx="229">
                  <c:v>18.958333333333332</c:v>
                </c:pt>
                <c:pt idx="230">
                  <c:v>19.041666666666668</c:v>
                </c:pt>
                <c:pt idx="231">
                  <c:v>19.125</c:v>
                </c:pt>
                <c:pt idx="232">
                  <c:v>19.208333333333332</c:v>
                </c:pt>
                <c:pt idx="233">
                  <c:v>19.291666666666668</c:v>
                </c:pt>
                <c:pt idx="234">
                  <c:v>19.375</c:v>
                </c:pt>
                <c:pt idx="235">
                  <c:v>19.458333333333332</c:v>
                </c:pt>
                <c:pt idx="236">
                  <c:v>19.541666666666668</c:v>
                </c:pt>
                <c:pt idx="237">
                  <c:v>19.625</c:v>
                </c:pt>
                <c:pt idx="238">
                  <c:v>19.708333333333332</c:v>
                </c:pt>
                <c:pt idx="239">
                  <c:v>19.791666666666668</c:v>
                </c:pt>
                <c:pt idx="240">
                  <c:v>19.875</c:v>
                </c:pt>
                <c:pt idx="241">
                  <c:v>19.958333333333332</c:v>
                </c:pt>
                <c:pt idx="242">
                  <c:v>20</c:v>
                </c:pt>
              </c:numCache>
            </c:numRef>
          </c:xVal>
          <c:yVal>
            <c:numRef>
              <c:f>weight4age!$N$2:$N$244</c:f>
              <c:numCache>
                <c:formatCode>General</c:formatCode>
                <c:ptCount val="243"/>
                <c:pt idx="0">
                  <c:v>4.4464883080000002</c:v>
                </c:pt>
                <c:pt idx="1">
                  <c:v>5.0326249819999997</c:v>
                </c:pt>
                <c:pt idx="2">
                  <c:v>6.1219291030000003</c:v>
                </c:pt>
                <c:pt idx="3">
                  <c:v>7.1062501320000004</c:v>
                </c:pt>
                <c:pt idx="4">
                  <c:v>7.9938780490000001</c:v>
                </c:pt>
                <c:pt idx="5">
                  <c:v>8.7934436629999997</c:v>
                </c:pt>
                <c:pt idx="6">
                  <c:v>9.5133065600000002</c:v>
                </c:pt>
                <c:pt idx="7">
                  <c:v>10.16135019</c:v>
                </c:pt>
                <c:pt idx="8">
                  <c:v>10.744923760000001</c:v>
                </c:pt>
                <c:pt idx="9">
                  <c:v>11.27083843</c:v>
                </c:pt>
                <c:pt idx="10">
                  <c:v>11.74538465</c:v>
                </c:pt>
                <c:pt idx="11">
                  <c:v>12.17435729</c:v>
                </c:pt>
                <c:pt idx="12">
                  <c:v>12.56308347</c:v>
                </c:pt>
                <c:pt idx="13">
                  <c:v>12.916450429999999</c:v>
                </c:pt>
                <c:pt idx="14">
                  <c:v>13.238933380000001</c:v>
                </c:pt>
                <c:pt idx="15">
                  <c:v>13.53462171</c:v>
                </c:pt>
                <c:pt idx="16">
                  <c:v>13.80724431</c:v>
                </c:pt>
                <c:pt idx="17">
                  <c:v>14.0601935</c:v>
                </c:pt>
                <c:pt idx="18">
                  <c:v>14.296547739999999</c:v>
                </c:pt>
                <c:pt idx="19">
                  <c:v>14.51909298</c:v>
                </c:pt>
                <c:pt idx="20">
                  <c:v>14.730343120000001</c:v>
                </c:pt>
                <c:pt idx="21">
                  <c:v>14.932558780000001</c:v>
                </c:pt>
                <c:pt idx="22">
                  <c:v>15.127765419999999</c:v>
                </c:pt>
                <c:pt idx="23">
                  <c:v>15.317770230000001</c:v>
                </c:pt>
                <c:pt idx="24">
                  <c:v>15.50417803</c:v>
                </c:pt>
                <c:pt idx="25">
                  <c:v>15.59648294</c:v>
                </c:pt>
                <c:pt idx="26">
                  <c:v>15.68840631</c:v>
                </c:pt>
                <c:pt idx="27">
                  <c:v>15.87169941</c:v>
                </c:pt>
                <c:pt idx="28">
                  <c:v>16.055141880000001</c:v>
                </c:pt>
                <c:pt idx="29">
                  <c:v>16.239671139999999</c:v>
                </c:pt>
                <c:pt idx="30">
                  <c:v>16.426089569999998</c:v>
                </c:pt>
                <c:pt idx="31">
                  <c:v>16.615075839999999</c:v>
                </c:pt>
                <c:pt idx="32">
                  <c:v>16.807195830000001</c:v>
                </c:pt>
                <c:pt idx="33">
                  <c:v>17.00291386</c:v>
                </c:pt>
                <c:pt idx="34">
                  <c:v>17.202598399999999</c:v>
                </c:pt>
                <c:pt idx="35">
                  <c:v>17.40653734</c:v>
                </c:pt>
                <c:pt idx="36">
                  <c:v>17.614946979999999</c:v>
                </c:pt>
                <c:pt idx="37">
                  <c:v>17.827971699999999</c:v>
                </c:pt>
                <c:pt idx="38">
                  <c:v>18.045703629999998</c:v>
                </c:pt>
                <c:pt idx="39">
                  <c:v>18.268178930000001</c:v>
                </c:pt>
                <c:pt idx="40">
                  <c:v>18.495394449999999</c:v>
                </c:pt>
                <c:pt idx="41">
                  <c:v>18.727307629999999</c:v>
                </c:pt>
                <c:pt idx="42">
                  <c:v>18.963850090000001</c:v>
                </c:pt>
                <c:pt idx="43">
                  <c:v>19.204922920000001</c:v>
                </c:pt>
                <c:pt idx="44">
                  <c:v>19.450405839999998</c:v>
                </c:pt>
                <c:pt idx="45">
                  <c:v>19.70016918</c:v>
                </c:pt>
                <c:pt idx="46">
                  <c:v>19.954067739999999</c:v>
                </c:pt>
                <c:pt idx="47">
                  <c:v>20.211949629999999</c:v>
                </c:pt>
                <c:pt idx="48">
                  <c:v>20.473656550000001</c:v>
                </c:pt>
                <c:pt idx="49">
                  <c:v>20.73903469</c:v>
                </c:pt>
                <c:pt idx="50">
                  <c:v>21.007926479999998</c:v>
                </c:pt>
                <c:pt idx="51">
                  <c:v>21.280179530000002</c:v>
                </c:pt>
                <c:pt idx="52">
                  <c:v>21.55564717</c:v>
                </c:pt>
                <c:pt idx="53">
                  <c:v>21.834190110000002</c:v>
                </c:pt>
                <c:pt idx="54">
                  <c:v>22.115677989999998</c:v>
                </c:pt>
                <c:pt idx="55">
                  <c:v>22.399990590000002</c:v>
                </c:pt>
                <c:pt idx="56">
                  <c:v>22.68701888</c:v>
                </c:pt>
                <c:pt idx="57">
                  <c:v>22.976665830000002</c:v>
                </c:pt>
                <c:pt idx="58">
                  <c:v>23.268845120000002</c:v>
                </c:pt>
                <c:pt idx="59">
                  <c:v>23.56348925</c:v>
                </c:pt>
                <c:pt idx="60">
                  <c:v>23.860538859999998</c:v>
                </c:pt>
                <c:pt idx="61">
                  <c:v>24.159950030000001</c:v>
                </c:pt>
                <c:pt idx="62">
                  <c:v>24.461692549999999</c:v>
                </c:pt>
                <c:pt idx="63">
                  <c:v>24.76574995</c:v>
                </c:pt>
                <c:pt idx="64">
                  <c:v>25.072119260000001</c:v>
                </c:pt>
                <c:pt idx="65">
                  <c:v>25.380810759999999</c:v>
                </c:pt>
                <c:pt idx="66">
                  <c:v>25.691847580000001</c:v>
                </c:pt>
                <c:pt idx="67">
                  <c:v>26.005265250000001</c:v>
                </c:pt>
                <c:pt idx="68">
                  <c:v>26.321111120000001</c:v>
                </c:pt>
                <c:pt idx="69">
                  <c:v>26.639443759999999</c:v>
                </c:pt>
                <c:pt idx="70">
                  <c:v>26.960332220000002</c:v>
                </c:pt>
                <c:pt idx="71">
                  <c:v>27.28385531</c:v>
                </c:pt>
                <c:pt idx="72">
                  <c:v>27.610100800000001</c:v>
                </c:pt>
                <c:pt idx="73">
                  <c:v>27.939161940000002</c:v>
                </c:pt>
                <c:pt idx="74">
                  <c:v>28.271146309999999</c:v>
                </c:pt>
                <c:pt idx="75">
                  <c:v>28.606161060000002</c:v>
                </c:pt>
                <c:pt idx="76">
                  <c:v>28.944320770000001</c:v>
                </c:pt>
                <c:pt idx="77">
                  <c:v>29.285744399999999</c:v>
                </c:pt>
                <c:pt idx="78">
                  <c:v>29.630554289999999</c:v>
                </c:pt>
                <c:pt idx="79">
                  <c:v>29.978875240000001</c:v>
                </c:pt>
                <c:pt idx="80">
                  <c:v>30.330833559999999</c:v>
                </c:pt>
                <c:pt idx="81">
                  <c:v>30.68655618</c:v>
                </c:pt>
                <c:pt idx="82">
                  <c:v>31.046166849999999</c:v>
                </c:pt>
                <c:pt idx="83">
                  <c:v>31.409795429999999</c:v>
                </c:pt>
                <c:pt idx="84">
                  <c:v>31.77756321</c:v>
                </c:pt>
                <c:pt idx="85">
                  <c:v>32.149590539999998</c:v>
                </c:pt>
                <c:pt idx="86">
                  <c:v>32.525994930000003</c:v>
                </c:pt>
                <c:pt idx="87">
                  <c:v>32.906887159999997</c:v>
                </c:pt>
                <c:pt idx="88">
                  <c:v>33.292377449999996</c:v>
                </c:pt>
                <c:pt idx="89">
                  <c:v>33.682567169999999</c:v>
                </c:pt>
                <c:pt idx="90">
                  <c:v>34.077552709999999</c:v>
                </c:pt>
                <c:pt idx="91">
                  <c:v>34.477424030000002</c:v>
                </c:pt>
                <c:pt idx="92">
                  <c:v>34.882264210000002</c:v>
                </c:pt>
                <c:pt idx="93">
                  <c:v>35.292149100000003</c:v>
                </c:pt>
                <c:pt idx="94">
                  <c:v>35.707146999999999</c:v>
                </c:pt>
                <c:pt idx="95">
                  <c:v>36.127318359999997</c:v>
                </c:pt>
                <c:pt idx="96">
                  <c:v>36.55271218</c:v>
                </c:pt>
                <c:pt idx="97">
                  <c:v>36.983378369999997</c:v>
                </c:pt>
                <c:pt idx="98">
                  <c:v>37.419349910000001</c:v>
                </c:pt>
                <c:pt idx="99">
                  <c:v>37.860653820000003</c:v>
                </c:pt>
                <c:pt idx="100">
                  <c:v>38.307308419999998</c:v>
                </c:pt>
                <c:pt idx="101">
                  <c:v>38.759323289999998</c:v>
                </c:pt>
                <c:pt idx="102">
                  <c:v>39.216699149999997</c:v>
                </c:pt>
                <c:pt idx="103">
                  <c:v>39.679427830000002</c:v>
                </c:pt>
                <c:pt idx="104">
                  <c:v>40.14749235</c:v>
                </c:pt>
                <c:pt idx="105">
                  <c:v>40.620866059999997</c:v>
                </c:pt>
                <c:pt idx="106">
                  <c:v>41.099518740000001</c:v>
                </c:pt>
                <c:pt idx="107">
                  <c:v>41.583402370000002</c:v>
                </c:pt>
                <c:pt idx="108">
                  <c:v>42.07246636</c:v>
                </c:pt>
                <c:pt idx="109">
                  <c:v>42.566650660000001</c:v>
                </c:pt>
                <c:pt idx="110">
                  <c:v>43.065886620000001</c:v>
                </c:pt>
                <c:pt idx="111">
                  <c:v>43.570097390000001</c:v>
                </c:pt>
                <c:pt idx="112">
                  <c:v>44.079198089999998</c:v>
                </c:pt>
                <c:pt idx="113">
                  <c:v>44.59309597</c:v>
                </c:pt>
                <c:pt idx="114">
                  <c:v>45.111690639999999</c:v>
                </c:pt>
                <c:pt idx="115">
                  <c:v>45.634874330000002</c:v>
                </c:pt>
                <c:pt idx="116">
                  <c:v>46.16252884</c:v>
                </c:pt>
                <c:pt idx="117">
                  <c:v>46.694536970000001</c:v>
                </c:pt>
                <c:pt idx="118">
                  <c:v>47.230768529999999</c:v>
                </c:pt>
                <c:pt idx="119">
                  <c:v>47.771088929999998</c:v>
                </c:pt>
                <c:pt idx="120">
                  <c:v>48.315357679999998</c:v>
                </c:pt>
                <c:pt idx="121">
                  <c:v>48.863428769999999</c:v>
                </c:pt>
                <c:pt idx="122">
                  <c:v>49.415151039999998</c:v>
                </c:pt>
                <c:pt idx="123">
                  <c:v>49.970368520000001</c:v>
                </c:pt>
                <c:pt idx="124">
                  <c:v>50.528920880000001</c:v>
                </c:pt>
                <c:pt idx="125">
                  <c:v>51.090643810000003</c:v>
                </c:pt>
                <c:pt idx="126">
                  <c:v>51.655369409999999</c:v>
                </c:pt>
                <c:pt idx="127">
                  <c:v>52.22292668</c:v>
                </c:pt>
                <c:pt idx="128">
                  <c:v>52.793141869999999</c:v>
                </c:pt>
                <c:pt idx="129">
                  <c:v>53.365838969999999</c:v>
                </c:pt>
                <c:pt idx="130">
                  <c:v>53.940840119999997</c:v>
                </c:pt>
                <c:pt idx="131">
                  <c:v>54.517966049999998</c:v>
                </c:pt>
                <c:pt idx="132">
                  <c:v>55.097037929999999</c:v>
                </c:pt>
                <c:pt idx="133">
                  <c:v>55.677868429999997</c:v>
                </c:pt>
                <c:pt idx="134">
                  <c:v>56.260288009999996</c:v>
                </c:pt>
                <c:pt idx="135">
                  <c:v>56.844107559999998</c:v>
                </c:pt>
                <c:pt idx="136">
                  <c:v>57.429149610000003</c:v>
                </c:pt>
                <c:pt idx="137">
                  <c:v>58.015235480000001</c:v>
                </c:pt>
                <c:pt idx="138">
                  <c:v>58.602187960000002</c:v>
                </c:pt>
                <c:pt idx="139">
                  <c:v>59.189831779999999</c:v>
                </c:pt>
                <c:pt idx="140">
                  <c:v>59.777993889999998</c:v>
                </c:pt>
                <c:pt idx="141">
                  <c:v>60.366503880000003</c:v>
                </c:pt>
                <c:pt idx="142">
                  <c:v>60.955194249999998</c:v>
                </c:pt>
                <c:pt idx="143">
                  <c:v>61.54390076</c:v>
                </c:pt>
                <c:pt idx="144">
                  <c:v>62.132462680000003</c:v>
                </c:pt>
                <c:pt idx="145">
                  <c:v>62.720723110000002</c:v>
                </c:pt>
                <c:pt idx="146">
                  <c:v>63.308529159999999</c:v>
                </c:pt>
                <c:pt idx="147">
                  <c:v>63.895732219999999</c:v>
                </c:pt>
                <c:pt idx="148">
                  <c:v>64.482188160000007</c:v>
                </c:pt>
                <c:pt idx="149">
                  <c:v>65.06775743</c:v>
                </c:pt>
                <c:pt idx="150">
                  <c:v>65.652305269999999</c:v>
                </c:pt>
                <c:pt idx="151">
                  <c:v>66.235701789999993</c:v>
                </c:pt>
                <c:pt idx="152">
                  <c:v>66.817822059999997</c:v>
                </c:pt>
                <c:pt idx="153">
                  <c:v>67.398544939999994</c:v>
                </c:pt>
                <c:pt idx="154">
                  <c:v>67.977758609999995</c:v>
                </c:pt>
                <c:pt idx="155">
                  <c:v>68.555351099999996</c:v>
                </c:pt>
                <c:pt idx="156">
                  <c:v>69.131217520000007</c:v>
                </c:pt>
                <c:pt idx="157">
                  <c:v>69.705257930000002</c:v>
                </c:pt>
                <c:pt idx="158">
                  <c:v>70.277377180000002</c:v>
                </c:pt>
                <c:pt idx="159">
                  <c:v>70.847484800000004</c:v>
                </c:pt>
                <c:pt idx="160">
                  <c:v>71.415494769999995</c:v>
                </c:pt>
                <c:pt idx="161">
                  <c:v>71.981325319999996</c:v>
                </c:pt>
                <c:pt idx="162">
                  <c:v>72.544898689999997</c:v>
                </c:pt>
                <c:pt idx="163">
                  <c:v>73.106137459999999</c:v>
                </c:pt>
                <c:pt idx="164">
                  <c:v>73.664975139999996</c:v>
                </c:pt>
                <c:pt idx="165">
                  <c:v>74.221342149999998</c:v>
                </c:pt>
                <c:pt idx="166">
                  <c:v>74.775173190000004</c:v>
                </c:pt>
                <c:pt idx="167">
                  <c:v>75.326405129999998</c:v>
                </c:pt>
                <c:pt idx="168">
                  <c:v>75.874976489999995</c:v>
                </c:pt>
                <c:pt idx="169">
                  <c:v>76.420826969999993</c:v>
                </c:pt>
                <c:pt idx="170">
                  <c:v>76.963896879999993</c:v>
                </c:pt>
                <c:pt idx="171">
                  <c:v>77.504126549999995</c:v>
                </c:pt>
                <c:pt idx="172">
                  <c:v>78.041455729999996</c:v>
                </c:pt>
                <c:pt idx="173">
                  <c:v>78.575822939999995</c:v>
                </c:pt>
                <c:pt idx="174">
                  <c:v>79.107164780000005</c:v>
                </c:pt>
                <c:pt idx="175">
                  <c:v>79.63541524</c:v>
                </c:pt>
                <c:pt idx="176">
                  <c:v>80.160504950000004</c:v>
                </c:pt>
                <c:pt idx="177">
                  <c:v>80.682360459999998</c:v>
                </c:pt>
                <c:pt idx="178">
                  <c:v>81.200903479999994</c:v>
                </c:pt>
                <c:pt idx="179">
                  <c:v>81.716050069999994</c:v>
                </c:pt>
                <c:pt idx="180">
                  <c:v>82.227704919999994</c:v>
                </c:pt>
                <c:pt idx="181">
                  <c:v>82.735785550000003</c:v>
                </c:pt>
                <c:pt idx="182">
                  <c:v>83.240171540000006</c:v>
                </c:pt>
                <c:pt idx="183">
                  <c:v>83.740753850000004</c:v>
                </c:pt>
                <c:pt idx="184">
                  <c:v>84.237409069999998</c:v>
                </c:pt>
                <c:pt idx="185">
                  <c:v>84.730003769999996</c:v>
                </c:pt>
                <c:pt idx="186">
                  <c:v>85.218393910000003</c:v>
                </c:pt>
                <c:pt idx="187">
                  <c:v>85.702424289999996</c:v>
                </c:pt>
                <c:pt idx="188">
                  <c:v>86.181924449999997</c:v>
                </c:pt>
                <c:pt idx="189">
                  <c:v>86.656726550000002</c:v>
                </c:pt>
                <c:pt idx="190">
                  <c:v>87.126628580000002</c:v>
                </c:pt>
                <c:pt idx="191">
                  <c:v>87.591430770000002</c:v>
                </c:pt>
                <c:pt idx="192">
                  <c:v>88.050926309999994</c:v>
                </c:pt>
                <c:pt idx="193">
                  <c:v>88.50487158</c:v>
                </c:pt>
                <c:pt idx="194">
                  <c:v>88.953032859999993</c:v>
                </c:pt>
                <c:pt idx="195">
                  <c:v>89.395158269999996</c:v>
                </c:pt>
                <c:pt idx="196">
                  <c:v>89.830984909999998</c:v>
                </c:pt>
                <c:pt idx="197">
                  <c:v>90.260239650000003</c:v>
                </c:pt>
                <c:pt idx="198">
                  <c:v>90.68264001</c:v>
                </c:pt>
                <c:pt idx="199">
                  <c:v>91.097895359999995</c:v>
                </c:pt>
                <c:pt idx="200">
                  <c:v>91.505708139999996</c:v>
                </c:pt>
                <c:pt idx="201">
                  <c:v>91.905775410000004</c:v>
                </c:pt>
                <c:pt idx="202">
                  <c:v>92.297790460000002</c:v>
                </c:pt>
                <c:pt idx="203">
                  <c:v>92.6814447</c:v>
                </c:pt>
                <c:pt idx="204">
                  <c:v>93.056429620000003</c:v>
                </c:pt>
                <c:pt idx="205">
                  <c:v>93.42243904</c:v>
                </c:pt>
                <c:pt idx="206">
                  <c:v>93.779171450000007</c:v>
                </c:pt>
                <c:pt idx="207">
                  <c:v>94.126332570000002</c:v>
                </c:pt>
                <c:pt idx="208">
                  <c:v>94.463638059999994</c:v>
                </c:pt>
                <c:pt idx="209">
                  <c:v>94.79080897</c:v>
                </c:pt>
                <c:pt idx="210">
                  <c:v>95.107607790000003</c:v>
                </c:pt>
                <c:pt idx="211">
                  <c:v>95.413787549999995</c:v>
                </c:pt>
                <c:pt idx="212">
                  <c:v>95.709134739999996</c:v>
                </c:pt>
                <c:pt idx="213">
                  <c:v>95.993462350000001</c:v>
                </c:pt>
                <c:pt idx="214">
                  <c:v>96.266613849999999</c:v>
                </c:pt>
                <c:pt idx="215">
                  <c:v>96.528467430000006</c:v>
                </c:pt>
                <c:pt idx="216">
                  <c:v>96.778940460000001</c:v>
                </c:pt>
                <c:pt idx="217">
                  <c:v>97.017994470000005</c:v>
                </c:pt>
                <c:pt idx="218">
                  <c:v>97.245640339999994</c:v>
                </c:pt>
                <c:pt idx="219">
                  <c:v>97.461943980000001</c:v>
                </c:pt>
                <c:pt idx="220">
                  <c:v>97.667040650000004</c:v>
                </c:pt>
                <c:pt idx="221">
                  <c:v>97.861110699999998</c:v>
                </c:pt>
                <c:pt idx="222">
                  <c:v>98.044425160000003</c:v>
                </c:pt>
                <c:pt idx="223">
                  <c:v>98.217331279999996</c:v>
                </c:pt>
                <c:pt idx="224">
                  <c:v>98.380264710000006</c:v>
                </c:pt>
                <c:pt idx="225">
                  <c:v>98.53374986</c:v>
                </c:pt>
                <c:pt idx="226">
                  <c:v>98.678443759999993</c:v>
                </c:pt>
                <c:pt idx="227">
                  <c:v>98.815086199999996</c:v>
                </c:pt>
                <c:pt idx="228">
                  <c:v>98.944552979999997</c:v>
                </c:pt>
                <c:pt idx="229">
                  <c:v>99.067855159999993</c:v>
                </c:pt>
                <c:pt idx="230">
                  <c:v>99.186150069999997</c:v>
                </c:pt>
                <c:pt idx="231">
                  <c:v>99.300752869999997</c:v>
                </c:pt>
                <c:pt idx="232">
                  <c:v>99.413148809999996</c:v>
                </c:pt>
                <c:pt idx="233">
                  <c:v>99.525006099999999</c:v>
                </c:pt>
                <c:pt idx="234">
                  <c:v>99.638189449999999</c:v>
                </c:pt>
                <c:pt idx="235">
                  <c:v>99.754774119999993</c:v>
                </c:pt>
                <c:pt idx="236">
                  <c:v>99.877060360000002</c:v>
                </c:pt>
                <c:pt idx="237">
                  <c:v>100.00758829999999</c:v>
                </c:pt>
                <c:pt idx="238">
                  <c:v>100.1491529</c:v>
                </c:pt>
                <c:pt idx="239">
                  <c:v>100.3048189</c:v>
                </c:pt>
                <c:pt idx="240">
                  <c:v>100.477926</c:v>
                </c:pt>
                <c:pt idx="241">
                  <c:v>100.67213839999999</c:v>
                </c:pt>
                <c:pt idx="242">
                  <c:v>100.7783809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F4A-4C7C-BC01-0DC7A95BB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691968"/>
        <c:axId val="1597695296"/>
      </c:scatterChart>
      <c:valAx>
        <c:axId val="159769196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yr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695296"/>
        <c:crosses val="autoZero"/>
        <c:crossBetween val="midCat"/>
        <c:majorUnit val="2"/>
        <c:minorUnit val="0.25"/>
      </c:valAx>
      <c:valAx>
        <c:axId val="159769529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g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691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weight(length)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measurements1!$B$1</c:f>
              <c:strCache>
                <c:ptCount val="1"/>
                <c:pt idx="0">
                  <c:v>boy1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measurements1!$G$5:$G$7</c:f>
              <c:numCache>
                <c:formatCode>0.0\ "cm"</c:formatCode>
                <c:ptCount val="3"/>
                <c:pt idx="0">
                  <c:v>50</c:v>
                </c:pt>
                <c:pt idx="1">
                  <c:v>75</c:v>
                </c:pt>
                <c:pt idx="2">
                  <c:v>88</c:v>
                </c:pt>
              </c:numCache>
            </c:numRef>
          </c:xVal>
          <c:yVal>
            <c:numRef>
              <c:f>measurements1!$D$5:$D$7</c:f>
              <c:numCache>
                <c:formatCode>0.000\ "kg"</c:formatCode>
                <c:ptCount val="3"/>
                <c:pt idx="0">
                  <c:v>3.5</c:v>
                </c:pt>
                <c:pt idx="1">
                  <c:v>10</c:v>
                </c:pt>
                <c:pt idx="2">
                  <c:v>12.5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32-4223-805F-F4AC4B725B67}"/>
            </c:ext>
          </c:extLst>
        </c:ser>
        <c:ser>
          <c:idx val="10"/>
          <c:order val="1"/>
          <c:tx>
            <c:strRef>
              <c:f>measurements2!$B$1</c:f>
              <c:strCache>
                <c:ptCount val="1"/>
                <c:pt idx="0">
                  <c:v>boy2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measurements2!$G$5:$G$7</c:f>
              <c:numCache>
                <c:formatCode>0.0\ "cm"</c:formatCode>
                <c:ptCount val="3"/>
                <c:pt idx="0">
                  <c:v>48</c:v>
                </c:pt>
                <c:pt idx="1">
                  <c:v>73</c:v>
                </c:pt>
                <c:pt idx="2">
                  <c:v>90</c:v>
                </c:pt>
              </c:numCache>
            </c:numRef>
          </c:xVal>
          <c:yVal>
            <c:numRef>
              <c:f>measurements2!$D$5:$D$7</c:f>
              <c:numCache>
                <c:formatCode>0.000\ "kg"</c:formatCode>
                <c:ptCount val="3"/>
                <c:pt idx="0">
                  <c:v>3.5</c:v>
                </c:pt>
                <c:pt idx="1">
                  <c:v>10.5</c:v>
                </c:pt>
                <c:pt idx="2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32-4223-805F-F4AC4B725B67}"/>
            </c:ext>
          </c:extLst>
        </c:ser>
        <c:ser>
          <c:idx val="1"/>
          <c:order val="2"/>
          <c:tx>
            <c:v>P3 boys</c:v>
          </c:tx>
          <c:spPr>
            <a:ln w="635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weight4length!$B$2:$B$79</c:f>
              <c:numCache>
                <c:formatCode>General</c:formatCode>
                <c:ptCount val="78"/>
                <c:pt idx="0">
                  <c:v>45</c:v>
                </c:pt>
                <c:pt idx="1">
                  <c:v>45.5</c:v>
                </c:pt>
                <c:pt idx="2">
                  <c:v>46.5</c:v>
                </c:pt>
                <c:pt idx="3">
                  <c:v>47.5</c:v>
                </c:pt>
                <c:pt idx="4">
                  <c:v>48.5</c:v>
                </c:pt>
                <c:pt idx="5">
                  <c:v>49.5</c:v>
                </c:pt>
                <c:pt idx="6">
                  <c:v>50.5</c:v>
                </c:pt>
                <c:pt idx="7">
                  <c:v>51.5</c:v>
                </c:pt>
                <c:pt idx="8">
                  <c:v>52.5</c:v>
                </c:pt>
                <c:pt idx="9">
                  <c:v>53.5</c:v>
                </c:pt>
                <c:pt idx="10">
                  <c:v>54.5</c:v>
                </c:pt>
                <c:pt idx="11">
                  <c:v>55.5</c:v>
                </c:pt>
                <c:pt idx="12">
                  <c:v>56.5</c:v>
                </c:pt>
                <c:pt idx="13">
                  <c:v>57.5</c:v>
                </c:pt>
                <c:pt idx="14">
                  <c:v>58.5</c:v>
                </c:pt>
                <c:pt idx="15">
                  <c:v>59.5</c:v>
                </c:pt>
                <c:pt idx="16">
                  <c:v>60.5</c:v>
                </c:pt>
                <c:pt idx="17">
                  <c:v>61.5</c:v>
                </c:pt>
                <c:pt idx="18">
                  <c:v>62.5</c:v>
                </c:pt>
                <c:pt idx="19">
                  <c:v>63.5</c:v>
                </c:pt>
                <c:pt idx="20">
                  <c:v>64.5</c:v>
                </c:pt>
                <c:pt idx="21">
                  <c:v>65.5</c:v>
                </c:pt>
                <c:pt idx="22">
                  <c:v>66.5</c:v>
                </c:pt>
                <c:pt idx="23">
                  <c:v>67.5</c:v>
                </c:pt>
                <c:pt idx="24">
                  <c:v>68.5</c:v>
                </c:pt>
                <c:pt idx="25">
                  <c:v>69.5</c:v>
                </c:pt>
                <c:pt idx="26">
                  <c:v>70.5</c:v>
                </c:pt>
                <c:pt idx="27">
                  <c:v>71.5</c:v>
                </c:pt>
                <c:pt idx="28">
                  <c:v>72.5</c:v>
                </c:pt>
                <c:pt idx="29">
                  <c:v>73.5</c:v>
                </c:pt>
                <c:pt idx="30">
                  <c:v>74.5</c:v>
                </c:pt>
                <c:pt idx="31">
                  <c:v>75.5</c:v>
                </c:pt>
                <c:pt idx="32">
                  <c:v>76.5</c:v>
                </c:pt>
                <c:pt idx="33">
                  <c:v>77.5</c:v>
                </c:pt>
                <c:pt idx="34">
                  <c:v>78.5</c:v>
                </c:pt>
                <c:pt idx="35">
                  <c:v>79.5</c:v>
                </c:pt>
                <c:pt idx="36">
                  <c:v>80.5</c:v>
                </c:pt>
                <c:pt idx="37">
                  <c:v>81.5</c:v>
                </c:pt>
                <c:pt idx="38">
                  <c:v>82.5</c:v>
                </c:pt>
                <c:pt idx="39">
                  <c:v>83.5</c:v>
                </c:pt>
                <c:pt idx="40">
                  <c:v>84.5</c:v>
                </c:pt>
                <c:pt idx="41">
                  <c:v>85.5</c:v>
                </c:pt>
                <c:pt idx="42">
                  <c:v>86.5</c:v>
                </c:pt>
                <c:pt idx="43">
                  <c:v>87.5</c:v>
                </c:pt>
                <c:pt idx="44">
                  <c:v>88.5</c:v>
                </c:pt>
                <c:pt idx="45">
                  <c:v>89.5</c:v>
                </c:pt>
                <c:pt idx="46">
                  <c:v>90.5</c:v>
                </c:pt>
                <c:pt idx="47">
                  <c:v>91.5</c:v>
                </c:pt>
                <c:pt idx="48">
                  <c:v>92.5</c:v>
                </c:pt>
                <c:pt idx="49">
                  <c:v>93.5</c:v>
                </c:pt>
                <c:pt idx="50">
                  <c:v>94.5</c:v>
                </c:pt>
                <c:pt idx="51">
                  <c:v>95.5</c:v>
                </c:pt>
                <c:pt idx="52">
                  <c:v>96.5</c:v>
                </c:pt>
                <c:pt idx="53">
                  <c:v>97.5</c:v>
                </c:pt>
                <c:pt idx="54">
                  <c:v>98.5</c:v>
                </c:pt>
                <c:pt idx="55">
                  <c:v>99.5</c:v>
                </c:pt>
                <c:pt idx="56">
                  <c:v>100.5</c:v>
                </c:pt>
                <c:pt idx="57">
                  <c:v>101.5</c:v>
                </c:pt>
                <c:pt idx="58">
                  <c:v>102.5</c:v>
                </c:pt>
                <c:pt idx="59">
                  <c:v>103.5</c:v>
                </c:pt>
                <c:pt idx="60">
                  <c:v>104.5</c:v>
                </c:pt>
                <c:pt idx="61">
                  <c:v>105.5</c:v>
                </c:pt>
                <c:pt idx="62">
                  <c:v>106.5</c:v>
                </c:pt>
                <c:pt idx="63">
                  <c:v>107.5</c:v>
                </c:pt>
                <c:pt idx="64">
                  <c:v>108.5</c:v>
                </c:pt>
                <c:pt idx="65">
                  <c:v>109.5</c:v>
                </c:pt>
                <c:pt idx="66">
                  <c:v>110.5</c:v>
                </c:pt>
                <c:pt idx="67">
                  <c:v>111.5</c:v>
                </c:pt>
                <c:pt idx="68">
                  <c:v>112.5</c:v>
                </c:pt>
                <c:pt idx="69">
                  <c:v>113.5</c:v>
                </c:pt>
                <c:pt idx="70">
                  <c:v>114.5</c:v>
                </c:pt>
                <c:pt idx="71">
                  <c:v>115.5</c:v>
                </c:pt>
                <c:pt idx="72">
                  <c:v>116.5</c:v>
                </c:pt>
                <c:pt idx="73">
                  <c:v>117.5</c:v>
                </c:pt>
                <c:pt idx="74">
                  <c:v>118.5</c:v>
                </c:pt>
                <c:pt idx="75">
                  <c:v>119.5</c:v>
                </c:pt>
                <c:pt idx="76">
                  <c:v>120.5</c:v>
                </c:pt>
                <c:pt idx="77">
                  <c:v>121.5</c:v>
                </c:pt>
              </c:numCache>
            </c:numRef>
          </c:xVal>
          <c:yVal>
            <c:numRef>
              <c:f>weight4length!$F$2:$F$79</c:f>
              <c:numCache>
                <c:formatCode>General</c:formatCode>
                <c:ptCount val="78"/>
                <c:pt idx="0">
                  <c:v>1.5970285179999999</c:v>
                </c:pt>
                <c:pt idx="1">
                  <c:v>1.7029574169999999</c:v>
                </c:pt>
                <c:pt idx="2">
                  <c:v>1.918742401</c:v>
                </c:pt>
                <c:pt idx="3">
                  <c:v>2.1392834710000002</c:v>
                </c:pt>
                <c:pt idx="4">
                  <c:v>2.3640259650000002</c:v>
                </c:pt>
                <c:pt idx="5">
                  <c:v>2.59243106</c:v>
                </c:pt>
                <c:pt idx="6">
                  <c:v>2.8239668440000001</c:v>
                </c:pt>
                <c:pt idx="7">
                  <c:v>3.0581041029999998</c:v>
                </c:pt>
                <c:pt idx="8">
                  <c:v>3.2943222250000002</c:v>
                </c:pt>
                <c:pt idx="9">
                  <c:v>3.5321098370000001</c:v>
                </c:pt>
                <c:pt idx="10">
                  <c:v>3.7709751749999998</c:v>
                </c:pt>
                <c:pt idx="11">
                  <c:v>4.0104483289999999</c:v>
                </c:pt>
                <c:pt idx="12">
                  <c:v>4.2500880710000004</c:v>
                </c:pt>
                <c:pt idx="13">
                  <c:v>4.4894855370000002</c:v>
                </c:pt>
                <c:pt idx="14">
                  <c:v>4.7282672330000004</c:v>
                </c:pt>
                <c:pt idx="15">
                  <c:v>4.9660969990000003</c:v>
                </c:pt>
                <c:pt idx="16">
                  <c:v>5.202677038</c:v>
                </c:pt>
                <c:pt idx="17">
                  <c:v>5.4377484970000003</c:v>
                </c:pt>
                <c:pt idx="18">
                  <c:v>5.6710890010000004</c:v>
                </c:pt>
                <c:pt idx="19">
                  <c:v>5.9025155429999998</c:v>
                </c:pt>
                <c:pt idx="20">
                  <c:v>6.1318805579999998</c:v>
                </c:pt>
                <c:pt idx="21">
                  <c:v>6.3590684020000001</c:v>
                </c:pt>
                <c:pt idx="22">
                  <c:v>6.5839975610000003</c:v>
                </c:pt>
                <c:pt idx="23">
                  <c:v>6.8066163680000003</c:v>
                </c:pt>
                <c:pt idx="24">
                  <c:v>7.0269011649999999</c:v>
                </c:pt>
                <c:pt idx="25">
                  <c:v>7.2448564949999996</c:v>
                </c:pt>
                <c:pt idx="26">
                  <c:v>7.4605100990000004</c:v>
                </c:pt>
                <c:pt idx="27">
                  <c:v>7.6739136400000003</c:v>
                </c:pt>
                <c:pt idx="28">
                  <c:v>7.8851401839999999</c:v>
                </c:pt>
                <c:pt idx="29">
                  <c:v>8.0942848109999996</c:v>
                </c:pt>
                <c:pt idx="30">
                  <c:v>8.3014594529999997</c:v>
                </c:pt>
                <c:pt idx="31">
                  <c:v>8.5067950260000007</c:v>
                </c:pt>
                <c:pt idx="32">
                  <c:v>8.7104392379999993</c:v>
                </c:pt>
                <c:pt idx="33">
                  <c:v>9.0732677309999996</c:v>
                </c:pt>
                <c:pt idx="34">
                  <c:v>9.2730920799999996</c:v>
                </c:pt>
                <c:pt idx="35">
                  <c:v>9.4719215400000003</c:v>
                </c:pt>
                <c:pt idx="36">
                  <c:v>9.6699706120000002</c:v>
                </c:pt>
                <c:pt idx="37">
                  <c:v>9.8674650980000003</c:v>
                </c:pt>
                <c:pt idx="38">
                  <c:v>10.064641249999999</c:v>
                </c:pt>
                <c:pt idx="39">
                  <c:v>10.26174496</c:v>
                </c:pt>
                <c:pt idx="40">
                  <c:v>10.459030909999999</c:v>
                </c:pt>
                <c:pt idx="41">
                  <c:v>10.65676178</c:v>
                </c:pt>
                <c:pt idx="42">
                  <c:v>10.85520745</c:v>
                </c:pt>
                <c:pt idx="43">
                  <c:v>11.0546442</c:v>
                </c:pt>
                <c:pt idx="44">
                  <c:v>11.25535391</c:v>
                </c:pt>
                <c:pt idx="45">
                  <c:v>11.45762324</c:v>
                </c:pt>
                <c:pt idx="46">
                  <c:v>11.66174286</c:v>
                </c:pt>
                <c:pt idx="47">
                  <c:v>11.86800626</c:v>
                </c:pt>
                <c:pt idx="48">
                  <c:v>12.07670968</c:v>
                </c:pt>
                <c:pt idx="49">
                  <c:v>12.288150229999999</c:v>
                </c:pt>
                <c:pt idx="50">
                  <c:v>12.50262539</c:v>
                </c:pt>
                <c:pt idx="51">
                  <c:v>12.72043131</c:v>
                </c:pt>
                <c:pt idx="52">
                  <c:v>12.94186266</c:v>
                </c:pt>
                <c:pt idx="53">
                  <c:v>13.167209789999999</c:v>
                </c:pt>
                <c:pt idx="54">
                  <c:v>13.39675772</c:v>
                </c:pt>
                <c:pt idx="55">
                  <c:v>13.6307828</c:v>
                </c:pt>
                <c:pt idx="56">
                  <c:v>13.86955335</c:v>
                </c:pt>
                <c:pt idx="57">
                  <c:v>14.11332298</c:v>
                </c:pt>
                <c:pt idx="58">
                  <c:v>14.362327499999999</c:v>
                </c:pt>
                <c:pt idx="59">
                  <c:v>14.61678517</c:v>
                </c:pt>
                <c:pt idx="60">
                  <c:v>14.8768847</c:v>
                </c:pt>
                <c:pt idx="61">
                  <c:v>15.142787419999999</c:v>
                </c:pt>
                <c:pt idx="62">
                  <c:v>15.414614029999999</c:v>
                </c:pt>
                <c:pt idx="63">
                  <c:v>15.692446759999999</c:v>
                </c:pt>
                <c:pt idx="64">
                  <c:v>15.97631447</c:v>
                </c:pt>
                <c:pt idx="65">
                  <c:v>16.266199820000001</c:v>
                </c:pt>
                <c:pt idx="66">
                  <c:v>16.562023750000002</c:v>
                </c:pt>
                <c:pt idx="67">
                  <c:v>16.863656930000001</c:v>
                </c:pt>
                <c:pt idx="68">
                  <c:v>17.170913160000001</c:v>
                </c:pt>
                <c:pt idx="69">
                  <c:v>17.483554869999999</c:v>
                </c:pt>
                <c:pt idx="70">
                  <c:v>17.80130995</c:v>
                </c:pt>
                <c:pt idx="71">
                  <c:v>18.123863530000001</c:v>
                </c:pt>
                <c:pt idx="72">
                  <c:v>18.450877640000002</c:v>
                </c:pt>
                <c:pt idx="73">
                  <c:v>18.781990019999999</c:v>
                </c:pt>
                <c:pt idx="74">
                  <c:v>19.116822859999999</c:v>
                </c:pt>
                <c:pt idx="75">
                  <c:v>19.454974910000001</c:v>
                </c:pt>
                <c:pt idx="76">
                  <c:v>19.796034509999998</c:v>
                </c:pt>
                <c:pt idx="77">
                  <c:v>20.139563809999999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32-4223-805F-F4AC4B725B67}"/>
            </c:ext>
          </c:extLst>
        </c:ser>
        <c:ser>
          <c:idx val="2"/>
          <c:order val="3"/>
          <c:tx>
            <c:v>P5 boys</c:v>
          </c:tx>
          <c:spPr>
            <a:ln w="6350" cap="rnd">
              <a:solidFill>
                <a:srgbClr val="00B0F0">
                  <a:alpha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weight4length!$B$2:$B$79</c:f>
              <c:numCache>
                <c:formatCode>General</c:formatCode>
                <c:ptCount val="78"/>
                <c:pt idx="0">
                  <c:v>45</c:v>
                </c:pt>
                <c:pt idx="1">
                  <c:v>45.5</c:v>
                </c:pt>
                <c:pt idx="2">
                  <c:v>46.5</c:v>
                </c:pt>
                <c:pt idx="3">
                  <c:v>47.5</c:v>
                </c:pt>
                <c:pt idx="4">
                  <c:v>48.5</c:v>
                </c:pt>
                <c:pt idx="5">
                  <c:v>49.5</c:v>
                </c:pt>
                <c:pt idx="6">
                  <c:v>50.5</c:v>
                </c:pt>
                <c:pt idx="7">
                  <c:v>51.5</c:v>
                </c:pt>
                <c:pt idx="8">
                  <c:v>52.5</c:v>
                </c:pt>
                <c:pt idx="9">
                  <c:v>53.5</c:v>
                </c:pt>
                <c:pt idx="10">
                  <c:v>54.5</c:v>
                </c:pt>
                <c:pt idx="11">
                  <c:v>55.5</c:v>
                </c:pt>
                <c:pt idx="12">
                  <c:v>56.5</c:v>
                </c:pt>
                <c:pt idx="13">
                  <c:v>57.5</c:v>
                </c:pt>
                <c:pt idx="14">
                  <c:v>58.5</c:v>
                </c:pt>
                <c:pt idx="15">
                  <c:v>59.5</c:v>
                </c:pt>
                <c:pt idx="16">
                  <c:v>60.5</c:v>
                </c:pt>
                <c:pt idx="17">
                  <c:v>61.5</c:v>
                </c:pt>
                <c:pt idx="18">
                  <c:v>62.5</c:v>
                </c:pt>
                <c:pt idx="19">
                  <c:v>63.5</c:v>
                </c:pt>
                <c:pt idx="20">
                  <c:v>64.5</c:v>
                </c:pt>
                <c:pt idx="21">
                  <c:v>65.5</c:v>
                </c:pt>
                <c:pt idx="22">
                  <c:v>66.5</c:v>
                </c:pt>
                <c:pt idx="23">
                  <c:v>67.5</c:v>
                </c:pt>
                <c:pt idx="24">
                  <c:v>68.5</c:v>
                </c:pt>
                <c:pt idx="25">
                  <c:v>69.5</c:v>
                </c:pt>
                <c:pt idx="26">
                  <c:v>70.5</c:v>
                </c:pt>
                <c:pt idx="27">
                  <c:v>71.5</c:v>
                </c:pt>
                <c:pt idx="28">
                  <c:v>72.5</c:v>
                </c:pt>
                <c:pt idx="29">
                  <c:v>73.5</c:v>
                </c:pt>
                <c:pt idx="30">
                  <c:v>74.5</c:v>
                </c:pt>
                <c:pt idx="31">
                  <c:v>75.5</c:v>
                </c:pt>
                <c:pt idx="32">
                  <c:v>76.5</c:v>
                </c:pt>
                <c:pt idx="33">
                  <c:v>77.5</c:v>
                </c:pt>
                <c:pt idx="34">
                  <c:v>78.5</c:v>
                </c:pt>
                <c:pt idx="35">
                  <c:v>79.5</c:v>
                </c:pt>
                <c:pt idx="36">
                  <c:v>80.5</c:v>
                </c:pt>
                <c:pt idx="37">
                  <c:v>81.5</c:v>
                </c:pt>
                <c:pt idx="38">
                  <c:v>82.5</c:v>
                </c:pt>
                <c:pt idx="39">
                  <c:v>83.5</c:v>
                </c:pt>
                <c:pt idx="40">
                  <c:v>84.5</c:v>
                </c:pt>
                <c:pt idx="41">
                  <c:v>85.5</c:v>
                </c:pt>
                <c:pt idx="42">
                  <c:v>86.5</c:v>
                </c:pt>
                <c:pt idx="43">
                  <c:v>87.5</c:v>
                </c:pt>
                <c:pt idx="44">
                  <c:v>88.5</c:v>
                </c:pt>
                <c:pt idx="45">
                  <c:v>89.5</c:v>
                </c:pt>
                <c:pt idx="46">
                  <c:v>90.5</c:v>
                </c:pt>
                <c:pt idx="47">
                  <c:v>91.5</c:v>
                </c:pt>
                <c:pt idx="48">
                  <c:v>92.5</c:v>
                </c:pt>
                <c:pt idx="49">
                  <c:v>93.5</c:v>
                </c:pt>
                <c:pt idx="50">
                  <c:v>94.5</c:v>
                </c:pt>
                <c:pt idx="51">
                  <c:v>95.5</c:v>
                </c:pt>
                <c:pt idx="52">
                  <c:v>96.5</c:v>
                </c:pt>
                <c:pt idx="53">
                  <c:v>97.5</c:v>
                </c:pt>
                <c:pt idx="54">
                  <c:v>98.5</c:v>
                </c:pt>
                <c:pt idx="55">
                  <c:v>99.5</c:v>
                </c:pt>
                <c:pt idx="56">
                  <c:v>100.5</c:v>
                </c:pt>
                <c:pt idx="57">
                  <c:v>101.5</c:v>
                </c:pt>
                <c:pt idx="58">
                  <c:v>102.5</c:v>
                </c:pt>
                <c:pt idx="59">
                  <c:v>103.5</c:v>
                </c:pt>
                <c:pt idx="60">
                  <c:v>104.5</c:v>
                </c:pt>
                <c:pt idx="61">
                  <c:v>105.5</c:v>
                </c:pt>
                <c:pt idx="62">
                  <c:v>106.5</c:v>
                </c:pt>
                <c:pt idx="63">
                  <c:v>107.5</c:v>
                </c:pt>
                <c:pt idx="64">
                  <c:v>108.5</c:v>
                </c:pt>
                <c:pt idx="65">
                  <c:v>109.5</c:v>
                </c:pt>
                <c:pt idx="66">
                  <c:v>110.5</c:v>
                </c:pt>
                <c:pt idx="67">
                  <c:v>111.5</c:v>
                </c:pt>
                <c:pt idx="68">
                  <c:v>112.5</c:v>
                </c:pt>
                <c:pt idx="69">
                  <c:v>113.5</c:v>
                </c:pt>
                <c:pt idx="70">
                  <c:v>114.5</c:v>
                </c:pt>
                <c:pt idx="71">
                  <c:v>115.5</c:v>
                </c:pt>
                <c:pt idx="72">
                  <c:v>116.5</c:v>
                </c:pt>
                <c:pt idx="73">
                  <c:v>117.5</c:v>
                </c:pt>
                <c:pt idx="74">
                  <c:v>118.5</c:v>
                </c:pt>
                <c:pt idx="75">
                  <c:v>119.5</c:v>
                </c:pt>
                <c:pt idx="76">
                  <c:v>120.5</c:v>
                </c:pt>
                <c:pt idx="77">
                  <c:v>121.5</c:v>
                </c:pt>
              </c:numCache>
            </c:numRef>
          </c:xVal>
          <c:yVal>
            <c:numRef>
              <c:f>weight4length!$G$2:$G$79</c:f>
              <c:numCache>
                <c:formatCode>General</c:formatCode>
                <c:ptCount val="78"/>
                <c:pt idx="0">
                  <c:v>1.690593749</c:v>
                </c:pt>
                <c:pt idx="1">
                  <c:v>1.792954672</c:v>
                </c:pt>
                <c:pt idx="2">
                  <c:v>2.0030605600000002</c:v>
                </c:pt>
                <c:pt idx="3">
                  <c:v>2.2195142909999999</c:v>
                </c:pt>
                <c:pt idx="4">
                  <c:v>2.4414219049999999</c:v>
                </c:pt>
                <c:pt idx="5">
                  <c:v>2.6679822820000001</c:v>
                </c:pt>
                <c:pt idx="6">
                  <c:v>2.8984636500000001</c:v>
                </c:pt>
                <c:pt idx="7">
                  <c:v>3.132186651</c:v>
                </c:pt>
                <c:pt idx="8">
                  <c:v>3.368517223</c:v>
                </c:pt>
                <c:pt idx="9">
                  <c:v>3.6068595889999999</c:v>
                </c:pt>
                <c:pt idx="10">
                  <c:v>3.8466575160000001</c:v>
                </c:pt>
                <c:pt idx="11">
                  <c:v>4.0873922719999998</c:v>
                </c:pt>
                <c:pt idx="12">
                  <c:v>4.3285845250000001</c:v>
                </c:pt>
                <c:pt idx="13">
                  <c:v>4.5697949940000004</c:v>
                </c:pt>
                <c:pt idx="14">
                  <c:v>4.810625098</c:v>
                </c:pt>
                <c:pt idx="15">
                  <c:v>5.0507172049999998</c:v>
                </c:pt>
                <c:pt idx="16">
                  <c:v>5.2897544270000001</c:v>
                </c:pt>
                <c:pt idx="17">
                  <c:v>5.5274602020000003</c:v>
                </c:pt>
                <c:pt idx="18">
                  <c:v>5.7635959459999997</c:v>
                </c:pt>
                <c:pt idx="19">
                  <c:v>5.9979622360000002</c:v>
                </c:pt>
                <c:pt idx="20">
                  <c:v>6.2303955569999996</c:v>
                </c:pt>
                <c:pt idx="21">
                  <c:v>6.4607653689999998</c:v>
                </c:pt>
                <c:pt idx="22">
                  <c:v>6.6889749150000002</c:v>
                </c:pt>
                <c:pt idx="23">
                  <c:v>6.9149578480000002</c:v>
                </c:pt>
                <c:pt idx="24">
                  <c:v>7.1386764850000004</c:v>
                </c:pt>
                <c:pt idx="25">
                  <c:v>7.3601213879999996</c:v>
                </c:pt>
                <c:pt idx="26">
                  <c:v>7.5793076419999998</c:v>
                </c:pt>
                <c:pt idx="27">
                  <c:v>7.7962748480000004</c:v>
                </c:pt>
                <c:pt idx="28">
                  <c:v>8.0110850350000007</c:v>
                </c:pt>
                <c:pt idx="29">
                  <c:v>8.2238225949999997</c:v>
                </c:pt>
                <c:pt idx="30">
                  <c:v>8.4345905709999993</c:v>
                </c:pt>
                <c:pt idx="31">
                  <c:v>8.6435115669999991</c:v>
                </c:pt>
                <c:pt idx="32">
                  <c:v>8.8507259240000007</c:v>
                </c:pt>
                <c:pt idx="33">
                  <c:v>9.2199220749999995</c:v>
                </c:pt>
                <c:pt idx="34">
                  <c:v>9.4232420030000004</c:v>
                </c:pt>
                <c:pt idx="35">
                  <c:v>9.6255313529999995</c:v>
                </c:pt>
                <c:pt idx="36">
                  <c:v>9.8270008339999997</c:v>
                </c:pt>
                <c:pt idx="37">
                  <c:v>10.027872889999999</c:v>
                </c:pt>
                <c:pt idx="38">
                  <c:v>10.22838074</c:v>
                </c:pt>
                <c:pt idx="39">
                  <c:v>10.4287674</c:v>
                </c:pt>
                <c:pt idx="40">
                  <c:v>10.62928475</c:v>
                </c:pt>
                <c:pt idx="41">
                  <c:v>10.830192569999999</c:v>
                </c:pt>
                <c:pt idx="42">
                  <c:v>11.03175764</c:v>
                </c:pt>
                <c:pt idx="43">
                  <c:v>11.2342528</c:v>
                </c:pt>
                <c:pt idx="44">
                  <c:v>11.43795604</c:v>
                </c:pt>
                <c:pt idx="45">
                  <c:v>11.64314963</c:v>
                </c:pt>
                <c:pt idx="46">
                  <c:v>11.850119210000001</c:v>
                </c:pt>
                <c:pt idx="47">
                  <c:v>12.05915274</c:v>
                </c:pt>
                <c:pt idx="48">
                  <c:v>12.270540029999999</c:v>
                </c:pt>
                <c:pt idx="49">
                  <c:v>12.48457136</c:v>
                </c:pt>
                <c:pt idx="50">
                  <c:v>12.70153676</c:v>
                </c:pt>
                <c:pt idx="51">
                  <c:v>12.921724709999999</c:v>
                </c:pt>
                <c:pt idx="52">
                  <c:v>13.14542179</c:v>
                </c:pt>
                <c:pt idx="53">
                  <c:v>13.372910559999999</c:v>
                </c:pt>
                <c:pt idx="54">
                  <c:v>13.604468750000001</c:v>
                </c:pt>
                <c:pt idx="55">
                  <c:v>13.840366789999999</c:v>
                </c:pt>
                <c:pt idx="56">
                  <c:v>14.08086791</c:v>
                </c:pt>
                <c:pt idx="57">
                  <c:v>14.326223499999999</c:v>
                </c:pt>
                <c:pt idx="58">
                  <c:v>14.576670569999999</c:v>
                </c:pt>
                <c:pt idx="59">
                  <c:v>14.832431359999999</c:v>
                </c:pt>
                <c:pt idx="60">
                  <c:v>15.09370466</c:v>
                </c:pt>
                <c:pt idx="61">
                  <c:v>15.360666269999999</c:v>
                </c:pt>
                <c:pt idx="62">
                  <c:v>15.633458940000001</c:v>
                </c:pt>
                <c:pt idx="63">
                  <c:v>15.91219242</c:v>
                </c:pt>
                <c:pt idx="64">
                  <c:v>16.196931639999999</c:v>
                </c:pt>
                <c:pt idx="65">
                  <c:v>16.487699979999999</c:v>
                </c:pt>
                <c:pt idx="66">
                  <c:v>16.784466590000001</c:v>
                </c:pt>
                <c:pt idx="67">
                  <c:v>17.087153010000002</c:v>
                </c:pt>
                <c:pt idx="68">
                  <c:v>17.395626969999999</c:v>
                </c:pt>
                <c:pt idx="69">
                  <c:v>17.70970539</c:v>
                </c:pt>
                <c:pt idx="70">
                  <c:v>18.029166329999999</c:v>
                </c:pt>
                <c:pt idx="71">
                  <c:v>18.353742839999999</c:v>
                </c:pt>
                <c:pt idx="72">
                  <c:v>18.683137949999999</c:v>
                </c:pt>
                <c:pt idx="73">
                  <c:v>19.017024410000001</c:v>
                </c:pt>
                <c:pt idx="74">
                  <c:v>19.35505216</c:v>
                </c:pt>
                <c:pt idx="75">
                  <c:v>19.69684281</c:v>
                </c:pt>
                <c:pt idx="76">
                  <c:v>20.0420005</c:v>
                </c:pt>
                <c:pt idx="77">
                  <c:v>20.390099899999999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32-4223-805F-F4AC4B725B67}"/>
            </c:ext>
          </c:extLst>
        </c:ser>
        <c:ser>
          <c:idx val="3"/>
          <c:order val="4"/>
          <c:tx>
            <c:v>P10 boys</c:v>
          </c:tx>
          <c:spPr>
            <a:ln w="6350" cap="rnd">
              <a:solidFill>
                <a:srgbClr val="00B0F0">
                  <a:alpha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weight4length!$B$2:$B$79</c:f>
              <c:numCache>
                <c:formatCode>General</c:formatCode>
                <c:ptCount val="78"/>
                <c:pt idx="0">
                  <c:v>45</c:v>
                </c:pt>
                <c:pt idx="1">
                  <c:v>45.5</c:v>
                </c:pt>
                <c:pt idx="2">
                  <c:v>46.5</c:v>
                </c:pt>
                <c:pt idx="3">
                  <c:v>47.5</c:v>
                </c:pt>
                <c:pt idx="4">
                  <c:v>48.5</c:v>
                </c:pt>
                <c:pt idx="5">
                  <c:v>49.5</c:v>
                </c:pt>
                <c:pt idx="6">
                  <c:v>50.5</c:v>
                </c:pt>
                <c:pt idx="7">
                  <c:v>51.5</c:v>
                </c:pt>
                <c:pt idx="8">
                  <c:v>52.5</c:v>
                </c:pt>
                <c:pt idx="9">
                  <c:v>53.5</c:v>
                </c:pt>
                <c:pt idx="10">
                  <c:v>54.5</c:v>
                </c:pt>
                <c:pt idx="11">
                  <c:v>55.5</c:v>
                </c:pt>
                <c:pt idx="12">
                  <c:v>56.5</c:v>
                </c:pt>
                <c:pt idx="13">
                  <c:v>57.5</c:v>
                </c:pt>
                <c:pt idx="14">
                  <c:v>58.5</c:v>
                </c:pt>
                <c:pt idx="15">
                  <c:v>59.5</c:v>
                </c:pt>
                <c:pt idx="16">
                  <c:v>60.5</c:v>
                </c:pt>
                <c:pt idx="17">
                  <c:v>61.5</c:v>
                </c:pt>
                <c:pt idx="18">
                  <c:v>62.5</c:v>
                </c:pt>
                <c:pt idx="19">
                  <c:v>63.5</c:v>
                </c:pt>
                <c:pt idx="20">
                  <c:v>64.5</c:v>
                </c:pt>
                <c:pt idx="21">
                  <c:v>65.5</c:v>
                </c:pt>
                <c:pt idx="22">
                  <c:v>66.5</c:v>
                </c:pt>
                <c:pt idx="23">
                  <c:v>67.5</c:v>
                </c:pt>
                <c:pt idx="24">
                  <c:v>68.5</c:v>
                </c:pt>
                <c:pt idx="25">
                  <c:v>69.5</c:v>
                </c:pt>
                <c:pt idx="26">
                  <c:v>70.5</c:v>
                </c:pt>
                <c:pt idx="27">
                  <c:v>71.5</c:v>
                </c:pt>
                <c:pt idx="28">
                  <c:v>72.5</c:v>
                </c:pt>
                <c:pt idx="29">
                  <c:v>73.5</c:v>
                </c:pt>
                <c:pt idx="30">
                  <c:v>74.5</c:v>
                </c:pt>
                <c:pt idx="31">
                  <c:v>75.5</c:v>
                </c:pt>
                <c:pt idx="32">
                  <c:v>76.5</c:v>
                </c:pt>
                <c:pt idx="33">
                  <c:v>77.5</c:v>
                </c:pt>
                <c:pt idx="34">
                  <c:v>78.5</c:v>
                </c:pt>
                <c:pt idx="35">
                  <c:v>79.5</c:v>
                </c:pt>
                <c:pt idx="36">
                  <c:v>80.5</c:v>
                </c:pt>
                <c:pt idx="37">
                  <c:v>81.5</c:v>
                </c:pt>
                <c:pt idx="38">
                  <c:v>82.5</c:v>
                </c:pt>
                <c:pt idx="39">
                  <c:v>83.5</c:v>
                </c:pt>
                <c:pt idx="40">
                  <c:v>84.5</c:v>
                </c:pt>
                <c:pt idx="41">
                  <c:v>85.5</c:v>
                </c:pt>
                <c:pt idx="42">
                  <c:v>86.5</c:v>
                </c:pt>
                <c:pt idx="43">
                  <c:v>87.5</c:v>
                </c:pt>
                <c:pt idx="44">
                  <c:v>88.5</c:v>
                </c:pt>
                <c:pt idx="45">
                  <c:v>89.5</c:v>
                </c:pt>
                <c:pt idx="46">
                  <c:v>90.5</c:v>
                </c:pt>
                <c:pt idx="47">
                  <c:v>91.5</c:v>
                </c:pt>
                <c:pt idx="48">
                  <c:v>92.5</c:v>
                </c:pt>
                <c:pt idx="49">
                  <c:v>93.5</c:v>
                </c:pt>
                <c:pt idx="50">
                  <c:v>94.5</c:v>
                </c:pt>
                <c:pt idx="51">
                  <c:v>95.5</c:v>
                </c:pt>
                <c:pt idx="52">
                  <c:v>96.5</c:v>
                </c:pt>
                <c:pt idx="53">
                  <c:v>97.5</c:v>
                </c:pt>
                <c:pt idx="54">
                  <c:v>98.5</c:v>
                </c:pt>
                <c:pt idx="55">
                  <c:v>99.5</c:v>
                </c:pt>
                <c:pt idx="56">
                  <c:v>100.5</c:v>
                </c:pt>
                <c:pt idx="57">
                  <c:v>101.5</c:v>
                </c:pt>
                <c:pt idx="58">
                  <c:v>102.5</c:v>
                </c:pt>
                <c:pt idx="59">
                  <c:v>103.5</c:v>
                </c:pt>
                <c:pt idx="60">
                  <c:v>104.5</c:v>
                </c:pt>
                <c:pt idx="61">
                  <c:v>105.5</c:v>
                </c:pt>
                <c:pt idx="62">
                  <c:v>106.5</c:v>
                </c:pt>
                <c:pt idx="63">
                  <c:v>107.5</c:v>
                </c:pt>
                <c:pt idx="64">
                  <c:v>108.5</c:v>
                </c:pt>
                <c:pt idx="65">
                  <c:v>109.5</c:v>
                </c:pt>
                <c:pt idx="66">
                  <c:v>110.5</c:v>
                </c:pt>
                <c:pt idx="67">
                  <c:v>111.5</c:v>
                </c:pt>
                <c:pt idx="68">
                  <c:v>112.5</c:v>
                </c:pt>
                <c:pt idx="69">
                  <c:v>113.5</c:v>
                </c:pt>
                <c:pt idx="70">
                  <c:v>114.5</c:v>
                </c:pt>
                <c:pt idx="71">
                  <c:v>115.5</c:v>
                </c:pt>
                <c:pt idx="72">
                  <c:v>116.5</c:v>
                </c:pt>
                <c:pt idx="73">
                  <c:v>117.5</c:v>
                </c:pt>
                <c:pt idx="74">
                  <c:v>118.5</c:v>
                </c:pt>
                <c:pt idx="75">
                  <c:v>119.5</c:v>
                </c:pt>
                <c:pt idx="76">
                  <c:v>120.5</c:v>
                </c:pt>
                <c:pt idx="77">
                  <c:v>121.5</c:v>
                </c:pt>
              </c:numCache>
            </c:numRef>
          </c:xVal>
          <c:yVal>
            <c:numRef>
              <c:f>weight4length!$H$2:$H$79</c:f>
              <c:numCache>
                <c:formatCode>General</c:formatCode>
                <c:ptCount val="78"/>
                <c:pt idx="0">
                  <c:v>1.8303032850000001</c:v>
                </c:pt>
                <c:pt idx="1">
                  <c:v>1.9288053919999999</c:v>
                </c:pt>
                <c:pt idx="2">
                  <c:v>2.1326073449999998</c:v>
                </c:pt>
                <c:pt idx="3">
                  <c:v>2.3444423849999998</c:v>
                </c:pt>
                <c:pt idx="4">
                  <c:v>2.5631709150000002</c:v>
                </c:pt>
                <c:pt idx="5">
                  <c:v>2.7877629100000001</c:v>
                </c:pt>
                <c:pt idx="6">
                  <c:v>3.0172890510000001</c:v>
                </c:pt>
                <c:pt idx="7">
                  <c:v>3.2509082739999999</c:v>
                </c:pt>
                <c:pt idx="8">
                  <c:v>3.4878561069999998</c:v>
                </c:pt>
                <c:pt idx="9">
                  <c:v>3.7274351060000002</c:v>
                </c:pt>
                <c:pt idx="10">
                  <c:v>3.969008144</c:v>
                </c:pt>
                <c:pt idx="11">
                  <c:v>4.211993219</c:v>
                </c:pt>
                <c:pt idx="12">
                  <c:v>4.4558600689999999</c:v>
                </c:pt>
                <c:pt idx="13">
                  <c:v>4.700127546</c:v>
                </c:pt>
                <c:pt idx="14">
                  <c:v>4.94436155</c:v>
                </c:pt>
                <c:pt idx="15">
                  <c:v>5.1881732270000001</c:v>
                </c:pt>
                <c:pt idx="16">
                  <c:v>5.4312172619999997</c:v>
                </c:pt>
                <c:pt idx="17">
                  <c:v>5.6731902319999996</c:v>
                </c:pt>
                <c:pt idx="18">
                  <c:v>5.9138285899999996</c:v>
                </c:pt>
                <c:pt idx="19">
                  <c:v>6.1529074789999996</c:v>
                </c:pt>
                <c:pt idx="20">
                  <c:v>6.3902385920000002</c:v>
                </c:pt>
                <c:pt idx="21">
                  <c:v>6.6256681650000004</c:v>
                </c:pt>
                <c:pt idx="22">
                  <c:v>6.859075839</c:v>
                </c:pt>
                <c:pt idx="23">
                  <c:v>7.0903726709999999</c:v>
                </c:pt>
                <c:pt idx="24">
                  <c:v>7.3194995660000002</c:v>
                </c:pt>
                <c:pt idx="25">
                  <c:v>7.5464260200000002</c:v>
                </c:pt>
                <c:pt idx="26">
                  <c:v>7.7711482829999996</c:v>
                </c:pt>
                <c:pt idx="27">
                  <c:v>7.9936882919999999</c:v>
                </c:pt>
                <c:pt idx="28">
                  <c:v>8.2140922369999991</c:v>
                </c:pt>
                <c:pt idx="29">
                  <c:v>8.4324294920000007</c:v>
                </c:pt>
                <c:pt idx="30">
                  <c:v>8.6487910059999997</c:v>
                </c:pt>
                <c:pt idx="31">
                  <c:v>8.8632884230000002</c:v>
                </c:pt>
                <c:pt idx="32">
                  <c:v>9.0760527759999992</c:v>
                </c:pt>
                <c:pt idx="33">
                  <c:v>9.4551485450000001</c:v>
                </c:pt>
                <c:pt idx="34">
                  <c:v>9.6639078230000006</c:v>
                </c:pt>
                <c:pt idx="35">
                  <c:v>9.8715878989999997</c:v>
                </c:pt>
                <c:pt idx="36">
                  <c:v>10.07839639</c:v>
                </c:pt>
                <c:pt idx="37">
                  <c:v>10.28455342</c:v>
                </c:pt>
                <c:pt idx="38">
                  <c:v>10.49029047</c:v>
                </c:pt>
                <c:pt idx="39">
                  <c:v>10.695849150000001</c:v>
                </c:pt>
                <c:pt idx="40">
                  <c:v>10.901480060000001</c:v>
                </c:pt>
                <c:pt idx="41">
                  <c:v>11.107441590000001</c:v>
                </c:pt>
                <c:pt idx="42">
                  <c:v>11.313998809999999</c:v>
                </c:pt>
                <c:pt idx="43">
                  <c:v>11.52142229</c:v>
                </c:pt>
                <c:pt idx="44">
                  <c:v>11.729986999999999</c:v>
                </c:pt>
                <c:pt idx="45">
                  <c:v>11.93997121</c:v>
                </c:pt>
                <c:pt idx="46">
                  <c:v>12.151655480000001</c:v>
                </c:pt>
                <c:pt idx="47">
                  <c:v>12.365321550000001</c:v>
                </c:pt>
                <c:pt idx="48">
                  <c:v>12.581251419999999</c:v>
                </c:pt>
                <c:pt idx="49">
                  <c:v>12.799726400000001</c:v>
                </c:pt>
                <c:pt idx="50">
                  <c:v>13.02102616</c:v>
                </c:pt>
                <c:pt idx="51">
                  <c:v>13.245427859999999</c:v>
                </c:pt>
                <c:pt idx="52">
                  <c:v>13.47320539</c:v>
                </c:pt>
                <c:pt idx="53">
                  <c:v>13.70462839</c:v>
                </c:pt>
                <c:pt idx="54">
                  <c:v>13.939961500000001</c:v>
                </c:pt>
                <c:pt idx="55">
                  <c:v>14.17946326</c:v>
                </c:pt>
                <c:pt idx="56">
                  <c:v>14.42338546</c:v>
                </c:pt>
                <c:pt idx="57">
                  <c:v>14.6719715</c:v>
                </c:pt>
                <c:pt idx="58">
                  <c:v>14.92545486</c:v>
                </c:pt>
                <c:pt idx="59">
                  <c:v>15.184057920000001</c:v>
                </c:pt>
                <c:pt idx="60">
                  <c:v>15.44798851</c:v>
                </c:pt>
                <c:pt idx="61">
                  <c:v>15.717438140000001</c:v>
                </c:pt>
                <c:pt idx="62">
                  <c:v>15.99257708</c:v>
                </c:pt>
                <c:pt idx="63">
                  <c:v>16.273551690000001</c:v>
                </c:pt>
                <c:pt idx="64">
                  <c:v>16.560477639999998</c:v>
                </c:pt>
                <c:pt idx="65">
                  <c:v>16.85343765</c:v>
                </c:pt>
                <c:pt idx="66">
                  <c:v>17.152473560000001</c:v>
                </c:pt>
                <c:pt idx="67">
                  <c:v>17.457585399999999</c:v>
                </c:pt>
                <c:pt idx="68">
                  <c:v>17.768726189999999</c:v>
                </c:pt>
                <c:pt idx="69">
                  <c:v>18.085800729999999</c:v>
                </c:pt>
                <c:pt idx="70">
                  <c:v>18.408669759999999</c:v>
                </c:pt>
                <c:pt idx="71">
                  <c:v>18.737146559999999</c:v>
                </c:pt>
                <c:pt idx="72">
                  <c:v>19.0710044</c:v>
                </c:pt>
                <c:pt idx="73">
                  <c:v>19.409977269999999</c:v>
                </c:pt>
                <c:pt idx="74">
                  <c:v>19.75376486</c:v>
                </c:pt>
                <c:pt idx="75">
                  <c:v>20.102030800000001</c:v>
                </c:pt>
                <c:pt idx="76">
                  <c:v>20.454409559999998</c:v>
                </c:pt>
                <c:pt idx="77">
                  <c:v>20.81050076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E32-4223-805F-F4AC4B725B67}"/>
            </c:ext>
          </c:extLst>
        </c:ser>
        <c:ser>
          <c:idx val="4"/>
          <c:order val="5"/>
          <c:tx>
            <c:v>P25 boys</c:v>
          </c:tx>
          <c:spPr>
            <a:ln w="6350" cap="rnd">
              <a:solidFill>
                <a:srgbClr val="00B0F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weight4length!$B$2:$B$79</c:f>
              <c:numCache>
                <c:formatCode>General</c:formatCode>
                <c:ptCount val="78"/>
                <c:pt idx="0">
                  <c:v>45</c:v>
                </c:pt>
                <c:pt idx="1">
                  <c:v>45.5</c:v>
                </c:pt>
                <c:pt idx="2">
                  <c:v>46.5</c:v>
                </c:pt>
                <c:pt idx="3">
                  <c:v>47.5</c:v>
                </c:pt>
                <c:pt idx="4">
                  <c:v>48.5</c:v>
                </c:pt>
                <c:pt idx="5">
                  <c:v>49.5</c:v>
                </c:pt>
                <c:pt idx="6">
                  <c:v>50.5</c:v>
                </c:pt>
                <c:pt idx="7">
                  <c:v>51.5</c:v>
                </c:pt>
                <c:pt idx="8">
                  <c:v>52.5</c:v>
                </c:pt>
                <c:pt idx="9">
                  <c:v>53.5</c:v>
                </c:pt>
                <c:pt idx="10">
                  <c:v>54.5</c:v>
                </c:pt>
                <c:pt idx="11">
                  <c:v>55.5</c:v>
                </c:pt>
                <c:pt idx="12">
                  <c:v>56.5</c:v>
                </c:pt>
                <c:pt idx="13">
                  <c:v>57.5</c:v>
                </c:pt>
                <c:pt idx="14">
                  <c:v>58.5</c:v>
                </c:pt>
                <c:pt idx="15">
                  <c:v>59.5</c:v>
                </c:pt>
                <c:pt idx="16">
                  <c:v>60.5</c:v>
                </c:pt>
                <c:pt idx="17">
                  <c:v>61.5</c:v>
                </c:pt>
                <c:pt idx="18">
                  <c:v>62.5</c:v>
                </c:pt>
                <c:pt idx="19">
                  <c:v>63.5</c:v>
                </c:pt>
                <c:pt idx="20">
                  <c:v>64.5</c:v>
                </c:pt>
                <c:pt idx="21">
                  <c:v>65.5</c:v>
                </c:pt>
                <c:pt idx="22">
                  <c:v>66.5</c:v>
                </c:pt>
                <c:pt idx="23">
                  <c:v>67.5</c:v>
                </c:pt>
                <c:pt idx="24">
                  <c:v>68.5</c:v>
                </c:pt>
                <c:pt idx="25">
                  <c:v>69.5</c:v>
                </c:pt>
                <c:pt idx="26">
                  <c:v>70.5</c:v>
                </c:pt>
                <c:pt idx="27">
                  <c:v>71.5</c:v>
                </c:pt>
                <c:pt idx="28">
                  <c:v>72.5</c:v>
                </c:pt>
                <c:pt idx="29">
                  <c:v>73.5</c:v>
                </c:pt>
                <c:pt idx="30">
                  <c:v>74.5</c:v>
                </c:pt>
                <c:pt idx="31">
                  <c:v>75.5</c:v>
                </c:pt>
                <c:pt idx="32">
                  <c:v>76.5</c:v>
                </c:pt>
                <c:pt idx="33">
                  <c:v>77.5</c:v>
                </c:pt>
                <c:pt idx="34">
                  <c:v>78.5</c:v>
                </c:pt>
                <c:pt idx="35">
                  <c:v>79.5</c:v>
                </c:pt>
                <c:pt idx="36">
                  <c:v>80.5</c:v>
                </c:pt>
                <c:pt idx="37">
                  <c:v>81.5</c:v>
                </c:pt>
                <c:pt idx="38">
                  <c:v>82.5</c:v>
                </c:pt>
                <c:pt idx="39">
                  <c:v>83.5</c:v>
                </c:pt>
                <c:pt idx="40">
                  <c:v>84.5</c:v>
                </c:pt>
                <c:pt idx="41">
                  <c:v>85.5</c:v>
                </c:pt>
                <c:pt idx="42">
                  <c:v>86.5</c:v>
                </c:pt>
                <c:pt idx="43">
                  <c:v>87.5</c:v>
                </c:pt>
                <c:pt idx="44">
                  <c:v>88.5</c:v>
                </c:pt>
                <c:pt idx="45">
                  <c:v>89.5</c:v>
                </c:pt>
                <c:pt idx="46">
                  <c:v>90.5</c:v>
                </c:pt>
                <c:pt idx="47">
                  <c:v>91.5</c:v>
                </c:pt>
                <c:pt idx="48">
                  <c:v>92.5</c:v>
                </c:pt>
                <c:pt idx="49">
                  <c:v>93.5</c:v>
                </c:pt>
                <c:pt idx="50">
                  <c:v>94.5</c:v>
                </c:pt>
                <c:pt idx="51">
                  <c:v>95.5</c:v>
                </c:pt>
                <c:pt idx="52">
                  <c:v>96.5</c:v>
                </c:pt>
                <c:pt idx="53">
                  <c:v>97.5</c:v>
                </c:pt>
                <c:pt idx="54">
                  <c:v>98.5</c:v>
                </c:pt>
                <c:pt idx="55">
                  <c:v>99.5</c:v>
                </c:pt>
                <c:pt idx="56">
                  <c:v>100.5</c:v>
                </c:pt>
                <c:pt idx="57">
                  <c:v>101.5</c:v>
                </c:pt>
                <c:pt idx="58">
                  <c:v>102.5</c:v>
                </c:pt>
                <c:pt idx="59">
                  <c:v>103.5</c:v>
                </c:pt>
                <c:pt idx="60">
                  <c:v>104.5</c:v>
                </c:pt>
                <c:pt idx="61">
                  <c:v>105.5</c:v>
                </c:pt>
                <c:pt idx="62">
                  <c:v>106.5</c:v>
                </c:pt>
                <c:pt idx="63">
                  <c:v>107.5</c:v>
                </c:pt>
                <c:pt idx="64">
                  <c:v>108.5</c:v>
                </c:pt>
                <c:pt idx="65">
                  <c:v>109.5</c:v>
                </c:pt>
                <c:pt idx="66">
                  <c:v>110.5</c:v>
                </c:pt>
                <c:pt idx="67">
                  <c:v>111.5</c:v>
                </c:pt>
                <c:pt idx="68">
                  <c:v>112.5</c:v>
                </c:pt>
                <c:pt idx="69">
                  <c:v>113.5</c:v>
                </c:pt>
                <c:pt idx="70">
                  <c:v>114.5</c:v>
                </c:pt>
                <c:pt idx="71">
                  <c:v>115.5</c:v>
                </c:pt>
                <c:pt idx="72">
                  <c:v>116.5</c:v>
                </c:pt>
                <c:pt idx="73">
                  <c:v>117.5</c:v>
                </c:pt>
                <c:pt idx="74">
                  <c:v>118.5</c:v>
                </c:pt>
                <c:pt idx="75">
                  <c:v>119.5</c:v>
                </c:pt>
                <c:pt idx="76">
                  <c:v>120.5</c:v>
                </c:pt>
                <c:pt idx="77">
                  <c:v>121.5</c:v>
                </c:pt>
              </c:numCache>
            </c:numRef>
          </c:xVal>
          <c:yVal>
            <c:numRef>
              <c:f>weight4length!$I$2:$I$79</c:f>
              <c:numCache>
                <c:formatCode>General</c:formatCode>
                <c:ptCount val="78"/>
                <c:pt idx="0">
                  <c:v>2.0537023259999998</c:v>
                </c:pt>
                <c:pt idx="1">
                  <c:v>2.1493142459999999</c:v>
                </c:pt>
                <c:pt idx="2">
                  <c:v>2.3483531100000001</c:v>
                </c:pt>
                <c:pt idx="3">
                  <c:v>2.5568340510000001</c:v>
                </c:pt>
                <c:pt idx="4">
                  <c:v>2.773593907</c:v>
                </c:pt>
                <c:pt idx="5">
                  <c:v>2.9975145150000002</c:v>
                </c:pt>
                <c:pt idx="6">
                  <c:v>3.227549277</c:v>
                </c:pt>
                <c:pt idx="7">
                  <c:v>3.462735881</c:v>
                </c:pt>
                <c:pt idx="8">
                  <c:v>3.7021950870000002</c:v>
                </c:pt>
                <c:pt idx="9">
                  <c:v>3.9451297699999999</c:v>
                </c:pt>
                <c:pt idx="10">
                  <c:v>4.1908157790000002</c:v>
                </c:pt>
                <c:pt idx="11">
                  <c:v>4.4385978899999996</c:v>
                </c:pt>
                <c:pt idx="12">
                  <c:v>4.6878827019999996</c:v>
                </c:pt>
                <c:pt idx="13">
                  <c:v>4.9381337490000003</c:v>
                </c:pt>
                <c:pt idx="14">
                  <c:v>5.1888671259999999</c:v>
                </c:pt>
                <c:pt idx="15">
                  <c:v>5.4396478210000003</c:v>
                </c:pt>
                <c:pt idx="16">
                  <c:v>5.6900866109999999</c:v>
                </c:pt>
                <c:pt idx="17">
                  <c:v>5.9398372220000004</c:v>
                </c:pt>
                <c:pt idx="18">
                  <c:v>6.1885952599999996</c:v>
                </c:pt>
                <c:pt idx="19">
                  <c:v>6.4360939760000004</c:v>
                </c:pt>
                <c:pt idx="20">
                  <c:v>6.6821040690000002</c:v>
                </c:pt>
                <c:pt idx="21">
                  <c:v>6.9264333169999999</c:v>
                </c:pt>
                <c:pt idx="22">
                  <c:v>7.1689228419999997</c:v>
                </c:pt>
                <c:pt idx="23">
                  <c:v>7.4094473169999997</c:v>
                </c:pt>
                <c:pt idx="24">
                  <c:v>7.6479138070000001</c:v>
                </c:pt>
                <c:pt idx="25">
                  <c:v>7.8842594159999999</c:v>
                </c:pt>
                <c:pt idx="26">
                  <c:v>8.1184522090000009</c:v>
                </c:pt>
                <c:pt idx="27">
                  <c:v>8.3504886630000001</c:v>
                </c:pt>
                <c:pt idx="28">
                  <c:v>8.5803931529999993</c:v>
                </c:pt>
                <c:pt idx="29">
                  <c:v>8.8082154819999996</c:v>
                </c:pt>
                <c:pt idx="30">
                  <c:v>9.0340321410000008</c:v>
                </c:pt>
                <c:pt idx="31">
                  <c:v>9.2579428870000005</c:v>
                </c:pt>
                <c:pt idx="32">
                  <c:v>9.4800700940000002</c:v>
                </c:pt>
                <c:pt idx="33">
                  <c:v>9.8758756650000006</c:v>
                </c:pt>
                <c:pt idx="34">
                  <c:v>10.093835329999999</c:v>
                </c:pt>
                <c:pt idx="35">
                  <c:v>10.31065794</c:v>
                </c:pt>
                <c:pt idx="36">
                  <c:v>10.526554519999999</c:v>
                </c:pt>
                <c:pt idx="37">
                  <c:v>10.7417502</c:v>
                </c:pt>
                <c:pt idx="38">
                  <c:v>10.956482640000001</c:v>
                </c:pt>
                <c:pt idx="39">
                  <c:v>11.17100044</c:v>
                </c:pt>
                <c:pt idx="40">
                  <c:v>11.38556161</c:v>
                </c:pt>
                <c:pt idx="41">
                  <c:v>11.60043192</c:v>
                </c:pt>
                <c:pt idx="42">
                  <c:v>11.81588337</c:v>
                </c:pt>
                <c:pt idx="43">
                  <c:v>12.032192609999999</c:v>
                </c:pt>
                <c:pt idx="44">
                  <c:v>12.24963938</c:v>
                </c:pt>
                <c:pt idx="45">
                  <c:v>12.46850502</c:v>
                </c:pt>
                <c:pt idx="46">
                  <c:v>12.68907093</c:v>
                </c:pt>
                <c:pt idx="47">
                  <c:v>12.91161745</c:v>
                </c:pt>
                <c:pt idx="48">
                  <c:v>13.13642188</c:v>
                </c:pt>
                <c:pt idx="49">
                  <c:v>13.363757939999999</c:v>
                </c:pt>
                <c:pt idx="50">
                  <c:v>13.59389429</c:v>
                </c:pt>
                <c:pt idx="51">
                  <c:v>13.82709389</c:v>
                </c:pt>
                <c:pt idx="52">
                  <c:v>14.063612490000001</c:v>
                </c:pt>
                <c:pt idx="53">
                  <c:v>14.30369892</c:v>
                </c:pt>
                <c:pt idx="54">
                  <c:v>14.547594269999999</c:v>
                </c:pt>
                <c:pt idx="55">
                  <c:v>14.79553258</c:v>
                </c:pt>
                <c:pt idx="56">
                  <c:v>15.04773906</c:v>
                </c:pt>
                <c:pt idx="57">
                  <c:v>15.30443284</c:v>
                </c:pt>
                <c:pt idx="58">
                  <c:v>15.565827240000001</c:v>
                </c:pt>
                <c:pt idx="59">
                  <c:v>15.83212792</c:v>
                </c:pt>
                <c:pt idx="60">
                  <c:v>16.103537759999998</c:v>
                </c:pt>
                <c:pt idx="61">
                  <c:v>16.380252930000001</c:v>
                </c:pt>
                <c:pt idx="62">
                  <c:v>16.662466850000001</c:v>
                </c:pt>
                <c:pt idx="63">
                  <c:v>16.950364889999999</c:v>
                </c:pt>
                <c:pt idx="64">
                  <c:v>17.244126810000001</c:v>
                </c:pt>
                <c:pt idx="65">
                  <c:v>17.543917489999998</c:v>
                </c:pt>
                <c:pt idx="66">
                  <c:v>17.849887620000001</c:v>
                </c:pt>
                <c:pt idx="67">
                  <c:v>18.16216193</c:v>
                </c:pt>
                <c:pt idx="68">
                  <c:v>18.480835769999999</c:v>
                </c:pt>
                <c:pt idx="69">
                  <c:v>18.805967160000002</c:v>
                </c:pt>
                <c:pt idx="70">
                  <c:v>19.13756712</c:v>
                </c:pt>
                <c:pt idx="71">
                  <c:v>19.47560008</c:v>
                </c:pt>
                <c:pt idx="72">
                  <c:v>19.819976969999999</c:v>
                </c:pt>
                <c:pt idx="73">
                  <c:v>20.170556439999999</c:v>
                </c:pt>
                <c:pt idx="74">
                  <c:v>20.527144180000001</c:v>
                </c:pt>
                <c:pt idx="75">
                  <c:v>20.88949663</c:v>
                </c:pt>
                <c:pt idx="76">
                  <c:v>21.257320150000002</c:v>
                </c:pt>
                <c:pt idx="77">
                  <c:v>21.63027567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E32-4223-805F-F4AC4B725B67}"/>
            </c:ext>
          </c:extLst>
        </c:ser>
        <c:ser>
          <c:idx val="5"/>
          <c:order val="6"/>
          <c:tx>
            <c:v>P50 boys</c:v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weight4length!$B$2:$B$79</c:f>
              <c:numCache>
                <c:formatCode>General</c:formatCode>
                <c:ptCount val="78"/>
                <c:pt idx="0">
                  <c:v>45</c:v>
                </c:pt>
                <c:pt idx="1">
                  <c:v>45.5</c:v>
                </c:pt>
                <c:pt idx="2">
                  <c:v>46.5</c:v>
                </c:pt>
                <c:pt idx="3">
                  <c:v>47.5</c:v>
                </c:pt>
                <c:pt idx="4">
                  <c:v>48.5</c:v>
                </c:pt>
                <c:pt idx="5">
                  <c:v>49.5</c:v>
                </c:pt>
                <c:pt idx="6">
                  <c:v>50.5</c:v>
                </c:pt>
                <c:pt idx="7">
                  <c:v>51.5</c:v>
                </c:pt>
                <c:pt idx="8">
                  <c:v>52.5</c:v>
                </c:pt>
                <c:pt idx="9">
                  <c:v>53.5</c:v>
                </c:pt>
                <c:pt idx="10">
                  <c:v>54.5</c:v>
                </c:pt>
                <c:pt idx="11">
                  <c:v>55.5</c:v>
                </c:pt>
                <c:pt idx="12">
                  <c:v>56.5</c:v>
                </c:pt>
                <c:pt idx="13">
                  <c:v>57.5</c:v>
                </c:pt>
                <c:pt idx="14">
                  <c:v>58.5</c:v>
                </c:pt>
                <c:pt idx="15">
                  <c:v>59.5</c:v>
                </c:pt>
                <c:pt idx="16">
                  <c:v>60.5</c:v>
                </c:pt>
                <c:pt idx="17">
                  <c:v>61.5</c:v>
                </c:pt>
                <c:pt idx="18">
                  <c:v>62.5</c:v>
                </c:pt>
                <c:pt idx="19">
                  <c:v>63.5</c:v>
                </c:pt>
                <c:pt idx="20">
                  <c:v>64.5</c:v>
                </c:pt>
                <c:pt idx="21">
                  <c:v>65.5</c:v>
                </c:pt>
                <c:pt idx="22">
                  <c:v>66.5</c:v>
                </c:pt>
                <c:pt idx="23">
                  <c:v>67.5</c:v>
                </c:pt>
                <c:pt idx="24">
                  <c:v>68.5</c:v>
                </c:pt>
                <c:pt idx="25">
                  <c:v>69.5</c:v>
                </c:pt>
                <c:pt idx="26">
                  <c:v>70.5</c:v>
                </c:pt>
                <c:pt idx="27">
                  <c:v>71.5</c:v>
                </c:pt>
                <c:pt idx="28">
                  <c:v>72.5</c:v>
                </c:pt>
                <c:pt idx="29">
                  <c:v>73.5</c:v>
                </c:pt>
                <c:pt idx="30">
                  <c:v>74.5</c:v>
                </c:pt>
                <c:pt idx="31">
                  <c:v>75.5</c:v>
                </c:pt>
                <c:pt idx="32">
                  <c:v>76.5</c:v>
                </c:pt>
                <c:pt idx="33">
                  <c:v>77.5</c:v>
                </c:pt>
                <c:pt idx="34">
                  <c:v>78.5</c:v>
                </c:pt>
                <c:pt idx="35">
                  <c:v>79.5</c:v>
                </c:pt>
                <c:pt idx="36">
                  <c:v>80.5</c:v>
                </c:pt>
                <c:pt idx="37">
                  <c:v>81.5</c:v>
                </c:pt>
                <c:pt idx="38">
                  <c:v>82.5</c:v>
                </c:pt>
                <c:pt idx="39">
                  <c:v>83.5</c:v>
                </c:pt>
                <c:pt idx="40">
                  <c:v>84.5</c:v>
                </c:pt>
                <c:pt idx="41">
                  <c:v>85.5</c:v>
                </c:pt>
                <c:pt idx="42">
                  <c:v>86.5</c:v>
                </c:pt>
                <c:pt idx="43">
                  <c:v>87.5</c:v>
                </c:pt>
                <c:pt idx="44">
                  <c:v>88.5</c:v>
                </c:pt>
                <c:pt idx="45">
                  <c:v>89.5</c:v>
                </c:pt>
                <c:pt idx="46">
                  <c:v>90.5</c:v>
                </c:pt>
                <c:pt idx="47">
                  <c:v>91.5</c:v>
                </c:pt>
                <c:pt idx="48">
                  <c:v>92.5</c:v>
                </c:pt>
                <c:pt idx="49">
                  <c:v>93.5</c:v>
                </c:pt>
                <c:pt idx="50">
                  <c:v>94.5</c:v>
                </c:pt>
                <c:pt idx="51">
                  <c:v>95.5</c:v>
                </c:pt>
                <c:pt idx="52">
                  <c:v>96.5</c:v>
                </c:pt>
                <c:pt idx="53">
                  <c:v>97.5</c:v>
                </c:pt>
                <c:pt idx="54">
                  <c:v>98.5</c:v>
                </c:pt>
                <c:pt idx="55">
                  <c:v>99.5</c:v>
                </c:pt>
                <c:pt idx="56">
                  <c:v>100.5</c:v>
                </c:pt>
                <c:pt idx="57">
                  <c:v>101.5</c:v>
                </c:pt>
                <c:pt idx="58">
                  <c:v>102.5</c:v>
                </c:pt>
                <c:pt idx="59">
                  <c:v>103.5</c:v>
                </c:pt>
                <c:pt idx="60">
                  <c:v>104.5</c:v>
                </c:pt>
                <c:pt idx="61">
                  <c:v>105.5</c:v>
                </c:pt>
                <c:pt idx="62">
                  <c:v>106.5</c:v>
                </c:pt>
                <c:pt idx="63">
                  <c:v>107.5</c:v>
                </c:pt>
                <c:pt idx="64">
                  <c:v>108.5</c:v>
                </c:pt>
                <c:pt idx="65">
                  <c:v>109.5</c:v>
                </c:pt>
                <c:pt idx="66">
                  <c:v>110.5</c:v>
                </c:pt>
                <c:pt idx="67">
                  <c:v>111.5</c:v>
                </c:pt>
                <c:pt idx="68">
                  <c:v>112.5</c:v>
                </c:pt>
                <c:pt idx="69">
                  <c:v>113.5</c:v>
                </c:pt>
                <c:pt idx="70">
                  <c:v>114.5</c:v>
                </c:pt>
                <c:pt idx="71">
                  <c:v>115.5</c:v>
                </c:pt>
                <c:pt idx="72">
                  <c:v>116.5</c:v>
                </c:pt>
                <c:pt idx="73">
                  <c:v>117.5</c:v>
                </c:pt>
                <c:pt idx="74">
                  <c:v>118.5</c:v>
                </c:pt>
                <c:pt idx="75">
                  <c:v>119.5</c:v>
                </c:pt>
                <c:pt idx="76">
                  <c:v>120.5</c:v>
                </c:pt>
                <c:pt idx="77">
                  <c:v>121.5</c:v>
                </c:pt>
              </c:numCache>
            </c:numRef>
          </c:xVal>
          <c:yVal>
            <c:numRef>
              <c:f>weight4length!$J$2:$J$79</c:f>
              <c:numCache>
                <c:formatCode>General</c:formatCode>
                <c:ptCount val="78"/>
                <c:pt idx="0">
                  <c:v>2.2897577349999998</c:v>
                </c:pt>
                <c:pt idx="1">
                  <c:v>2.3861721899999999</c:v>
                </c:pt>
                <c:pt idx="2">
                  <c:v>2.5870979219999999</c:v>
                </c:pt>
                <c:pt idx="3">
                  <c:v>2.7979525930000002</c:v>
                </c:pt>
                <c:pt idx="4">
                  <c:v>3.0176797909999999</c:v>
                </c:pt>
                <c:pt idx="5">
                  <c:v>3.2452255829999999</c:v>
                </c:pt>
                <c:pt idx="6">
                  <c:v>3.4795677669999998</c:v>
                </c:pt>
                <c:pt idx="7">
                  <c:v>3.719739648</c:v>
                </c:pt>
                <c:pt idx="8">
                  <c:v>3.964838222</c:v>
                </c:pt>
                <c:pt idx="9">
                  <c:v>4.214033476</c:v>
                </c:pt>
                <c:pt idx="10">
                  <c:v>4.4665626249999999</c:v>
                </c:pt>
                <c:pt idx="11">
                  <c:v>4.7217306690000003</c:v>
                </c:pt>
                <c:pt idx="12">
                  <c:v>4.9789037440000001</c:v>
                </c:pt>
                <c:pt idx="13">
                  <c:v>5.2375047529999996</c:v>
                </c:pt>
                <c:pt idx="14">
                  <c:v>5.4970089150000003</c:v>
                </c:pt>
                <c:pt idx="15">
                  <c:v>5.7569399069999996</c:v>
                </c:pt>
                <c:pt idx="16">
                  <c:v>6.0168666929999999</c:v>
                </c:pt>
                <c:pt idx="17">
                  <c:v>6.2764005750000003</c:v>
                </c:pt>
                <c:pt idx="18">
                  <c:v>6.5351955410000002</c:v>
                </c:pt>
                <c:pt idx="19">
                  <c:v>6.7929423660000001</c:v>
                </c:pt>
                <c:pt idx="20">
                  <c:v>7.0493704250000002</c:v>
                </c:pt>
                <c:pt idx="21">
                  <c:v>7.3042489939999999</c:v>
                </c:pt>
                <c:pt idx="22">
                  <c:v>7.5573819950000001</c:v>
                </c:pt>
                <c:pt idx="23">
                  <c:v>7.8086101360000004</c:v>
                </c:pt>
                <c:pt idx="24">
                  <c:v>8.0578102660000006</c:v>
                </c:pt>
                <c:pt idx="25">
                  <c:v>8.3048923969999997</c:v>
                </c:pt>
                <c:pt idx="26">
                  <c:v>8.549802669</c:v>
                </c:pt>
                <c:pt idx="27">
                  <c:v>8.7925197520000005</c:v>
                </c:pt>
                <c:pt idx="28">
                  <c:v>9.0330549439999999</c:v>
                </c:pt>
                <c:pt idx="29">
                  <c:v>9.2714486750000003</c:v>
                </c:pt>
                <c:pt idx="30">
                  <c:v>9.5077736050000006</c:v>
                </c:pt>
                <c:pt idx="31">
                  <c:v>9.7421293559999995</c:v>
                </c:pt>
                <c:pt idx="32">
                  <c:v>9.9746421779999999</c:v>
                </c:pt>
                <c:pt idx="33">
                  <c:v>10.38901871</c:v>
                </c:pt>
                <c:pt idx="34">
                  <c:v>10.61724901</c:v>
                </c:pt>
                <c:pt idx="35">
                  <c:v>10.844329070000001</c:v>
                </c:pt>
                <c:pt idx="36">
                  <c:v>11.07048885</c:v>
                </c:pt>
                <c:pt idx="37">
                  <c:v>11.295974530000001</c:v>
                </c:pt>
                <c:pt idx="38">
                  <c:v>11.521046549999999</c:v>
                </c:pt>
                <c:pt idx="39">
                  <c:v>11.745977679999999</c:v>
                </c:pt>
                <c:pt idx="40">
                  <c:v>11.97105103</c:v>
                </c:pt>
                <c:pt idx="41">
                  <c:v>12.196557990000001</c:v>
                </c:pt>
                <c:pt idx="42">
                  <c:v>12.4227963</c:v>
                </c:pt>
                <c:pt idx="43">
                  <c:v>12.650067910000001</c:v>
                </c:pt>
                <c:pt idx="44">
                  <c:v>12.878677010000001</c:v>
                </c:pt>
                <c:pt idx="45">
                  <c:v>13.108927939999999</c:v>
                </c:pt>
                <c:pt idx="46">
                  <c:v>13.341123140000001</c:v>
                </c:pt>
                <c:pt idx="47">
                  <c:v>13.575561499999999</c:v>
                </c:pt>
                <c:pt idx="48">
                  <c:v>13.812535520000001</c:v>
                </c:pt>
                <c:pt idx="49">
                  <c:v>14.05233041</c:v>
                </c:pt>
                <c:pt idx="50">
                  <c:v>14.295221850000001</c:v>
                </c:pt>
                <c:pt idx="51">
                  <c:v>14.541474989999999</c:v>
                </c:pt>
                <c:pt idx="52">
                  <c:v>14.791341770000001</c:v>
                </c:pt>
                <c:pt idx="53">
                  <c:v>15.045061520000001</c:v>
                </c:pt>
                <c:pt idx="54">
                  <c:v>15.302859489999999</c:v>
                </c:pt>
                <c:pt idx="55">
                  <c:v>15.564948149999999</c:v>
                </c:pt>
                <c:pt idx="56">
                  <c:v>15.831524290000001</c:v>
                </c:pt>
                <c:pt idx="57">
                  <c:v>16.102774480000001</c:v>
                </c:pt>
                <c:pt idx="58">
                  <c:v>16.378876779999999</c:v>
                </c:pt>
                <c:pt idx="59">
                  <c:v>16.65999867</c:v>
                </c:pt>
                <c:pt idx="60">
                  <c:v>16.946309119999999</c:v>
                </c:pt>
                <c:pt idx="61">
                  <c:v>17.237974439999999</c:v>
                </c:pt>
                <c:pt idx="62">
                  <c:v>17.535171340000002</c:v>
                </c:pt>
                <c:pt idx="63">
                  <c:v>17.838082119999999</c:v>
                </c:pt>
                <c:pt idx="64">
                  <c:v>18.146908209999999</c:v>
                </c:pt>
                <c:pt idx="65">
                  <c:v>18.461858110000001</c:v>
                </c:pt>
                <c:pt idx="66">
                  <c:v>18.783159359999999</c:v>
                </c:pt>
                <c:pt idx="67">
                  <c:v>19.111039829999999</c:v>
                </c:pt>
                <c:pt idx="68">
                  <c:v>19.445728030000001</c:v>
                </c:pt>
                <c:pt idx="69">
                  <c:v>19.78744004</c:v>
                </c:pt>
                <c:pt idx="70">
                  <c:v>20.136355630000001</c:v>
                </c:pt>
                <c:pt idx="71">
                  <c:v>20.492621110000002</c:v>
                </c:pt>
                <c:pt idx="72">
                  <c:v>20.856325420000001</c:v>
                </c:pt>
                <c:pt idx="73">
                  <c:v>21.227498900000001</c:v>
                </c:pt>
                <c:pt idx="74">
                  <c:v>21.606103659999999</c:v>
                </c:pt>
                <c:pt idx="75">
                  <c:v>21.9920407</c:v>
                </c:pt>
                <c:pt idx="76">
                  <c:v>22.3851382</c:v>
                </c:pt>
                <c:pt idx="77">
                  <c:v>22.785166279999999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E32-4223-805F-F4AC4B725B67}"/>
            </c:ext>
          </c:extLst>
        </c:ser>
        <c:ser>
          <c:idx val="6"/>
          <c:order val="7"/>
          <c:tx>
            <c:v>P75 boys</c:v>
          </c:tx>
          <c:spPr>
            <a:ln w="6350" cap="rnd">
              <a:solidFill>
                <a:srgbClr val="00B0F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weight4length!$B$2:$B$79</c:f>
              <c:numCache>
                <c:formatCode>General</c:formatCode>
                <c:ptCount val="78"/>
                <c:pt idx="0">
                  <c:v>45</c:v>
                </c:pt>
                <c:pt idx="1">
                  <c:v>45.5</c:v>
                </c:pt>
                <c:pt idx="2">
                  <c:v>46.5</c:v>
                </c:pt>
                <c:pt idx="3">
                  <c:v>47.5</c:v>
                </c:pt>
                <c:pt idx="4">
                  <c:v>48.5</c:v>
                </c:pt>
                <c:pt idx="5">
                  <c:v>49.5</c:v>
                </c:pt>
                <c:pt idx="6">
                  <c:v>50.5</c:v>
                </c:pt>
                <c:pt idx="7">
                  <c:v>51.5</c:v>
                </c:pt>
                <c:pt idx="8">
                  <c:v>52.5</c:v>
                </c:pt>
                <c:pt idx="9">
                  <c:v>53.5</c:v>
                </c:pt>
                <c:pt idx="10">
                  <c:v>54.5</c:v>
                </c:pt>
                <c:pt idx="11">
                  <c:v>55.5</c:v>
                </c:pt>
                <c:pt idx="12">
                  <c:v>56.5</c:v>
                </c:pt>
                <c:pt idx="13">
                  <c:v>57.5</c:v>
                </c:pt>
                <c:pt idx="14">
                  <c:v>58.5</c:v>
                </c:pt>
                <c:pt idx="15">
                  <c:v>59.5</c:v>
                </c:pt>
                <c:pt idx="16">
                  <c:v>60.5</c:v>
                </c:pt>
                <c:pt idx="17">
                  <c:v>61.5</c:v>
                </c:pt>
                <c:pt idx="18">
                  <c:v>62.5</c:v>
                </c:pt>
                <c:pt idx="19">
                  <c:v>63.5</c:v>
                </c:pt>
                <c:pt idx="20">
                  <c:v>64.5</c:v>
                </c:pt>
                <c:pt idx="21">
                  <c:v>65.5</c:v>
                </c:pt>
                <c:pt idx="22">
                  <c:v>66.5</c:v>
                </c:pt>
                <c:pt idx="23">
                  <c:v>67.5</c:v>
                </c:pt>
                <c:pt idx="24">
                  <c:v>68.5</c:v>
                </c:pt>
                <c:pt idx="25">
                  <c:v>69.5</c:v>
                </c:pt>
                <c:pt idx="26">
                  <c:v>70.5</c:v>
                </c:pt>
                <c:pt idx="27">
                  <c:v>71.5</c:v>
                </c:pt>
                <c:pt idx="28">
                  <c:v>72.5</c:v>
                </c:pt>
                <c:pt idx="29">
                  <c:v>73.5</c:v>
                </c:pt>
                <c:pt idx="30">
                  <c:v>74.5</c:v>
                </c:pt>
                <c:pt idx="31">
                  <c:v>75.5</c:v>
                </c:pt>
                <c:pt idx="32">
                  <c:v>76.5</c:v>
                </c:pt>
                <c:pt idx="33">
                  <c:v>77.5</c:v>
                </c:pt>
                <c:pt idx="34">
                  <c:v>78.5</c:v>
                </c:pt>
                <c:pt idx="35">
                  <c:v>79.5</c:v>
                </c:pt>
                <c:pt idx="36">
                  <c:v>80.5</c:v>
                </c:pt>
                <c:pt idx="37">
                  <c:v>81.5</c:v>
                </c:pt>
                <c:pt idx="38">
                  <c:v>82.5</c:v>
                </c:pt>
                <c:pt idx="39">
                  <c:v>83.5</c:v>
                </c:pt>
                <c:pt idx="40">
                  <c:v>84.5</c:v>
                </c:pt>
                <c:pt idx="41">
                  <c:v>85.5</c:v>
                </c:pt>
                <c:pt idx="42">
                  <c:v>86.5</c:v>
                </c:pt>
                <c:pt idx="43">
                  <c:v>87.5</c:v>
                </c:pt>
                <c:pt idx="44">
                  <c:v>88.5</c:v>
                </c:pt>
                <c:pt idx="45">
                  <c:v>89.5</c:v>
                </c:pt>
                <c:pt idx="46">
                  <c:v>90.5</c:v>
                </c:pt>
                <c:pt idx="47">
                  <c:v>91.5</c:v>
                </c:pt>
                <c:pt idx="48">
                  <c:v>92.5</c:v>
                </c:pt>
                <c:pt idx="49">
                  <c:v>93.5</c:v>
                </c:pt>
                <c:pt idx="50">
                  <c:v>94.5</c:v>
                </c:pt>
                <c:pt idx="51">
                  <c:v>95.5</c:v>
                </c:pt>
                <c:pt idx="52">
                  <c:v>96.5</c:v>
                </c:pt>
                <c:pt idx="53">
                  <c:v>97.5</c:v>
                </c:pt>
                <c:pt idx="54">
                  <c:v>98.5</c:v>
                </c:pt>
                <c:pt idx="55">
                  <c:v>99.5</c:v>
                </c:pt>
                <c:pt idx="56">
                  <c:v>100.5</c:v>
                </c:pt>
                <c:pt idx="57">
                  <c:v>101.5</c:v>
                </c:pt>
                <c:pt idx="58">
                  <c:v>102.5</c:v>
                </c:pt>
                <c:pt idx="59">
                  <c:v>103.5</c:v>
                </c:pt>
                <c:pt idx="60">
                  <c:v>104.5</c:v>
                </c:pt>
                <c:pt idx="61">
                  <c:v>105.5</c:v>
                </c:pt>
                <c:pt idx="62">
                  <c:v>106.5</c:v>
                </c:pt>
                <c:pt idx="63">
                  <c:v>107.5</c:v>
                </c:pt>
                <c:pt idx="64">
                  <c:v>108.5</c:v>
                </c:pt>
                <c:pt idx="65">
                  <c:v>109.5</c:v>
                </c:pt>
                <c:pt idx="66">
                  <c:v>110.5</c:v>
                </c:pt>
                <c:pt idx="67">
                  <c:v>111.5</c:v>
                </c:pt>
                <c:pt idx="68">
                  <c:v>112.5</c:v>
                </c:pt>
                <c:pt idx="69">
                  <c:v>113.5</c:v>
                </c:pt>
                <c:pt idx="70">
                  <c:v>114.5</c:v>
                </c:pt>
                <c:pt idx="71">
                  <c:v>115.5</c:v>
                </c:pt>
                <c:pt idx="72">
                  <c:v>116.5</c:v>
                </c:pt>
                <c:pt idx="73">
                  <c:v>117.5</c:v>
                </c:pt>
                <c:pt idx="74">
                  <c:v>118.5</c:v>
                </c:pt>
                <c:pt idx="75">
                  <c:v>119.5</c:v>
                </c:pt>
                <c:pt idx="76">
                  <c:v>120.5</c:v>
                </c:pt>
                <c:pt idx="77">
                  <c:v>121.5</c:v>
                </c:pt>
              </c:numCache>
            </c:numRef>
          </c:xVal>
          <c:yVal>
            <c:numRef>
              <c:f>weight4length!$K$2:$K$79</c:f>
              <c:numCache>
                <c:formatCode>General</c:formatCode>
                <c:ptCount val="78"/>
                <c:pt idx="0">
                  <c:v>2.5153389480000001</c:v>
                </c:pt>
                <c:pt idx="1">
                  <c:v>2.6157664770000002</c:v>
                </c:pt>
                <c:pt idx="2">
                  <c:v>2.824925474</c:v>
                </c:pt>
                <c:pt idx="3">
                  <c:v>3.0442411589999998</c:v>
                </c:pt>
                <c:pt idx="4">
                  <c:v>3.2726462139999999</c:v>
                </c:pt>
                <c:pt idx="5">
                  <c:v>3.5091035060000002</c:v>
                </c:pt>
                <c:pt idx="6">
                  <c:v>3.7526131170000001</c:v>
                </c:pt>
                <c:pt idx="7">
                  <c:v>4.0022241980000004</c:v>
                </c:pt>
                <c:pt idx="8">
                  <c:v>4.2570395440000004</c:v>
                </c:pt>
                <c:pt idx="9">
                  <c:v>4.516224426</c:v>
                </c:pt>
                <c:pt idx="10">
                  <c:v>4.7790028510000004</c:v>
                </c:pt>
                <c:pt idx="11">
                  <c:v>5.0446598150000002</c:v>
                </c:pt>
                <c:pt idx="12">
                  <c:v>5.3125364480000004</c:v>
                </c:pt>
                <c:pt idx="13">
                  <c:v>5.5820269470000001</c:v>
                </c:pt>
                <c:pt idx="14">
                  <c:v>5.8525751899999996</c:v>
                </c:pt>
                <c:pt idx="15">
                  <c:v>6.1236717919999997</c:v>
                </c:pt>
                <c:pt idx="16">
                  <c:v>6.3948517909999998</c:v>
                </c:pt>
                <c:pt idx="17">
                  <c:v>6.6656925500000002</c:v>
                </c:pt>
                <c:pt idx="18">
                  <c:v>6.9358150810000003</c:v>
                </c:pt>
                <c:pt idx="19">
                  <c:v>7.2048788029999997</c:v>
                </c:pt>
                <c:pt idx="20">
                  <c:v>7.4725843139999997</c:v>
                </c:pt>
                <c:pt idx="21">
                  <c:v>7.7386754990000002</c:v>
                </c:pt>
                <c:pt idx="22">
                  <c:v>8.0029346839999995</c:v>
                </c:pt>
                <c:pt idx="23">
                  <c:v>8.2651853600000003</c:v>
                </c:pt>
                <c:pt idx="24">
                  <c:v>8.5252918389999994</c:v>
                </c:pt>
                <c:pt idx="25">
                  <c:v>8.7831564130000004</c:v>
                </c:pt>
                <c:pt idx="26">
                  <c:v>9.0387224350000004</c:v>
                </c:pt>
                <c:pt idx="27">
                  <c:v>9.2919706089999998</c:v>
                </c:pt>
                <c:pt idx="28">
                  <c:v>9.5429189660000002</c:v>
                </c:pt>
                <c:pt idx="29">
                  <c:v>9.7916192110000004</c:v>
                </c:pt>
                <c:pt idx="30">
                  <c:v>10.038159520000001</c:v>
                </c:pt>
                <c:pt idx="31">
                  <c:v>10.28265908</c:v>
                </c:pt>
                <c:pt idx="32">
                  <c:v>10.525267489999999</c:v>
                </c:pt>
                <c:pt idx="33">
                  <c:v>10.957782480000001</c:v>
                </c:pt>
                <c:pt idx="34">
                  <c:v>11.19612673</c:v>
                </c:pt>
                <c:pt idx="35">
                  <c:v>11.433391479999999</c:v>
                </c:pt>
                <c:pt idx="36">
                  <c:v>11.66984493</c:v>
                </c:pt>
                <c:pt idx="37">
                  <c:v>11.90577397</c:v>
                </c:pt>
                <c:pt idx="38">
                  <c:v>12.14148209</c:v>
                </c:pt>
                <c:pt idx="39">
                  <c:v>12.37728721</c:v>
                </c:pt>
                <c:pt idx="40">
                  <c:v>12.61351947</c:v>
                </c:pt>
                <c:pt idx="41">
                  <c:v>12.850519070000001</c:v>
                </c:pt>
                <c:pt idx="42">
                  <c:v>13.088633979999999</c:v>
                </c:pt>
                <c:pt idx="43">
                  <c:v>13.328217629999999</c:v>
                </c:pt>
                <c:pt idx="44">
                  <c:v>13.56962661</c:v>
                </c:pt>
                <c:pt idx="45">
                  <c:v>13.81321822</c:v>
                </c:pt>
                <c:pt idx="46">
                  <c:v>14.05934806</c:v>
                </c:pt>
                <c:pt idx="47">
                  <c:v>14.30836781</c:v>
                </c:pt>
                <c:pt idx="48">
                  <c:v>14.560621920000001</c:v>
                </c:pt>
                <c:pt idx="49">
                  <c:v>14.81644595</c:v>
                </c:pt>
                <c:pt idx="50">
                  <c:v>15.07616355</c:v>
                </c:pt>
                <c:pt idx="51">
                  <c:v>15.3400845</c:v>
                </c:pt>
                <c:pt idx="52">
                  <c:v>15.60850108</c:v>
                </c:pt>
                <c:pt idx="53">
                  <c:v>15.88168735</c:v>
                </c:pt>
                <c:pt idx="54">
                  <c:v>16.159896450000002</c:v>
                </c:pt>
                <c:pt idx="55">
                  <c:v>16.443360599999998</c:v>
                </c:pt>
                <c:pt idx="56">
                  <c:v>16.732286760000001</c:v>
                </c:pt>
                <c:pt idx="57">
                  <c:v>17.026861050000001</c:v>
                </c:pt>
                <c:pt idx="58">
                  <c:v>17.327249609999999</c:v>
                </c:pt>
                <c:pt idx="59">
                  <c:v>17.63359604</c:v>
                </c:pt>
                <c:pt idx="60">
                  <c:v>17.946034430000001</c:v>
                </c:pt>
                <c:pt idx="61">
                  <c:v>18.264686319999999</c:v>
                </c:pt>
                <c:pt idx="62">
                  <c:v>18.589677720000001</c:v>
                </c:pt>
                <c:pt idx="63">
                  <c:v>18.921137850000001</c:v>
                </c:pt>
                <c:pt idx="64">
                  <c:v>19.259220689999999</c:v>
                </c:pt>
                <c:pt idx="65">
                  <c:v>19.604097809999999</c:v>
                </c:pt>
                <c:pt idx="66">
                  <c:v>19.955981359999999</c:v>
                </c:pt>
                <c:pt idx="67">
                  <c:v>20.315109270000001</c:v>
                </c:pt>
                <c:pt idx="68">
                  <c:v>20.681753560000001</c:v>
                </c:pt>
                <c:pt idx="69">
                  <c:v>21.056209750000001</c:v>
                </c:pt>
                <c:pt idx="70">
                  <c:v>21.438767540000001</c:v>
                </c:pt>
                <c:pt idx="71">
                  <c:v>21.8297156</c:v>
                </c:pt>
                <c:pt idx="72">
                  <c:v>22.229305249999999</c:v>
                </c:pt>
                <c:pt idx="73">
                  <c:v>22.637743929999999</c:v>
                </c:pt>
                <c:pt idx="74">
                  <c:v>23.055174619999999</c:v>
                </c:pt>
                <c:pt idx="75">
                  <c:v>23.481680870000002</c:v>
                </c:pt>
                <c:pt idx="76">
                  <c:v>23.91726195</c:v>
                </c:pt>
                <c:pt idx="77">
                  <c:v>24.36185175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E32-4223-805F-F4AC4B725B67}"/>
            </c:ext>
          </c:extLst>
        </c:ser>
        <c:ser>
          <c:idx val="7"/>
          <c:order val="8"/>
          <c:tx>
            <c:v>P90 boys</c:v>
          </c:tx>
          <c:spPr>
            <a:ln w="6350" cap="rnd">
              <a:solidFill>
                <a:srgbClr val="00B0F0">
                  <a:alpha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weight4length!$B$2:$B$79</c:f>
              <c:numCache>
                <c:formatCode>General</c:formatCode>
                <c:ptCount val="78"/>
                <c:pt idx="0">
                  <c:v>45</c:v>
                </c:pt>
                <c:pt idx="1">
                  <c:v>45.5</c:v>
                </c:pt>
                <c:pt idx="2">
                  <c:v>46.5</c:v>
                </c:pt>
                <c:pt idx="3">
                  <c:v>47.5</c:v>
                </c:pt>
                <c:pt idx="4">
                  <c:v>48.5</c:v>
                </c:pt>
                <c:pt idx="5">
                  <c:v>49.5</c:v>
                </c:pt>
                <c:pt idx="6">
                  <c:v>50.5</c:v>
                </c:pt>
                <c:pt idx="7">
                  <c:v>51.5</c:v>
                </c:pt>
                <c:pt idx="8">
                  <c:v>52.5</c:v>
                </c:pt>
                <c:pt idx="9">
                  <c:v>53.5</c:v>
                </c:pt>
                <c:pt idx="10">
                  <c:v>54.5</c:v>
                </c:pt>
                <c:pt idx="11">
                  <c:v>55.5</c:v>
                </c:pt>
                <c:pt idx="12">
                  <c:v>56.5</c:v>
                </c:pt>
                <c:pt idx="13">
                  <c:v>57.5</c:v>
                </c:pt>
                <c:pt idx="14">
                  <c:v>58.5</c:v>
                </c:pt>
                <c:pt idx="15">
                  <c:v>59.5</c:v>
                </c:pt>
                <c:pt idx="16">
                  <c:v>60.5</c:v>
                </c:pt>
                <c:pt idx="17">
                  <c:v>61.5</c:v>
                </c:pt>
                <c:pt idx="18">
                  <c:v>62.5</c:v>
                </c:pt>
                <c:pt idx="19">
                  <c:v>63.5</c:v>
                </c:pt>
                <c:pt idx="20">
                  <c:v>64.5</c:v>
                </c:pt>
                <c:pt idx="21">
                  <c:v>65.5</c:v>
                </c:pt>
                <c:pt idx="22">
                  <c:v>66.5</c:v>
                </c:pt>
                <c:pt idx="23">
                  <c:v>67.5</c:v>
                </c:pt>
                <c:pt idx="24">
                  <c:v>68.5</c:v>
                </c:pt>
                <c:pt idx="25">
                  <c:v>69.5</c:v>
                </c:pt>
                <c:pt idx="26">
                  <c:v>70.5</c:v>
                </c:pt>
                <c:pt idx="27">
                  <c:v>71.5</c:v>
                </c:pt>
                <c:pt idx="28">
                  <c:v>72.5</c:v>
                </c:pt>
                <c:pt idx="29">
                  <c:v>73.5</c:v>
                </c:pt>
                <c:pt idx="30">
                  <c:v>74.5</c:v>
                </c:pt>
                <c:pt idx="31">
                  <c:v>75.5</c:v>
                </c:pt>
                <c:pt idx="32">
                  <c:v>76.5</c:v>
                </c:pt>
                <c:pt idx="33">
                  <c:v>77.5</c:v>
                </c:pt>
                <c:pt idx="34">
                  <c:v>78.5</c:v>
                </c:pt>
                <c:pt idx="35">
                  <c:v>79.5</c:v>
                </c:pt>
                <c:pt idx="36">
                  <c:v>80.5</c:v>
                </c:pt>
                <c:pt idx="37">
                  <c:v>81.5</c:v>
                </c:pt>
                <c:pt idx="38">
                  <c:v>82.5</c:v>
                </c:pt>
                <c:pt idx="39">
                  <c:v>83.5</c:v>
                </c:pt>
                <c:pt idx="40">
                  <c:v>84.5</c:v>
                </c:pt>
                <c:pt idx="41">
                  <c:v>85.5</c:v>
                </c:pt>
                <c:pt idx="42">
                  <c:v>86.5</c:v>
                </c:pt>
                <c:pt idx="43">
                  <c:v>87.5</c:v>
                </c:pt>
                <c:pt idx="44">
                  <c:v>88.5</c:v>
                </c:pt>
                <c:pt idx="45">
                  <c:v>89.5</c:v>
                </c:pt>
                <c:pt idx="46">
                  <c:v>90.5</c:v>
                </c:pt>
                <c:pt idx="47">
                  <c:v>91.5</c:v>
                </c:pt>
                <c:pt idx="48">
                  <c:v>92.5</c:v>
                </c:pt>
                <c:pt idx="49">
                  <c:v>93.5</c:v>
                </c:pt>
                <c:pt idx="50">
                  <c:v>94.5</c:v>
                </c:pt>
                <c:pt idx="51">
                  <c:v>95.5</c:v>
                </c:pt>
                <c:pt idx="52">
                  <c:v>96.5</c:v>
                </c:pt>
                <c:pt idx="53">
                  <c:v>97.5</c:v>
                </c:pt>
                <c:pt idx="54">
                  <c:v>98.5</c:v>
                </c:pt>
                <c:pt idx="55">
                  <c:v>99.5</c:v>
                </c:pt>
                <c:pt idx="56">
                  <c:v>100.5</c:v>
                </c:pt>
                <c:pt idx="57">
                  <c:v>101.5</c:v>
                </c:pt>
                <c:pt idx="58">
                  <c:v>102.5</c:v>
                </c:pt>
                <c:pt idx="59">
                  <c:v>103.5</c:v>
                </c:pt>
                <c:pt idx="60">
                  <c:v>104.5</c:v>
                </c:pt>
                <c:pt idx="61">
                  <c:v>105.5</c:v>
                </c:pt>
                <c:pt idx="62">
                  <c:v>106.5</c:v>
                </c:pt>
                <c:pt idx="63">
                  <c:v>107.5</c:v>
                </c:pt>
                <c:pt idx="64">
                  <c:v>108.5</c:v>
                </c:pt>
                <c:pt idx="65">
                  <c:v>109.5</c:v>
                </c:pt>
                <c:pt idx="66">
                  <c:v>110.5</c:v>
                </c:pt>
                <c:pt idx="67">
                  <c:v>111.5</c:v>
                </c:pt>
                <c:pt idx="68">
                  <c:v>112.5</c:v>
                </c:pt>
                <c:pt idx="69">
                  <c:v>113.5</c:v>
                </c:pt>
                <c:pt idx="70">
                  <c:v>114.5</c:v>
                </c:pt>
                <c:pt idx="71">
                  <c:v>115.5</c:v>
                </c:pt>
                <c:pt idx="72">
                  <c:v>116.5</c:v>
                </c:pt>
                <c:pt idx="73">
                  <c:v>117.5</c:v>
                </c:pt>
                <c:pt idx="74">
                  <c:v>118.5</c:v>
                </c:pt>
                <c:pt idx="75">
                  <c:v>119.5</c:v>
                </c:pt>
                <c:pt idx="76">
                  <c:v>120.5</c:v>
                </c:pt>
                <c:pt idx="77">
                  <c:v>121.5</c:v>
                </c:pt>
              </c:numCache>
            </c:numRef>
          </c:xVal>
          <c:yVal>
            <c:numRef>
              <c:f>weight4length!$L$2:$L$79</c:f>
              <c:numCache>
                <c:formatCode>General</c:formatCode>
                <c:ptCount val="78"/>
                <c:pt idx="0">
                  <c:v>2.7108467049999998</c:v>
                </c:pt>
                <c:pt idx="1">
                  <c:v>2.8170449670000002</c:v>
                </c:pt>
                <c:pt idx="2">
                  <c:v>3.0382627869999999</c:v>
                </c:pt>
                <c:pt idx="3">
                  <c:v>3.2701474039999998</c:v>
                </c:pt>
                <c:pt idx="4">
                  <c:v>3.5114673619999999</c:v>
                </c:pt>
                <c:pt idx="5">
                  <c:v>3.761071952</c:v>
                </c:pt>
                <c:pt idx="6">
                  <c:v>4.01788174</c:v>
                </c:pt>
                <c:pt idx="7">
                  <c:v>4.2808845150000003</c:v>
                </c:pt>
                <c:pt idx="8">
                  <c:v>4.5491323220000002</c:v>
                </c:pt>
                <c:pt idx="9">
                  <c:v>4.8217416540000002</c:v>
                </c:pt>
                <c:pt idx="10">
                  <c:v>5.0978905220000001</c:v>
                </c:pt>
                <c:pt idx="11">
                  <c:v>5.3768178779999998</c:v>
                </c:pt>
                <c:pt idx="12">
                  <c:v>5.6578206599999996</c:v>
                </c:pt>
                <c:pt idx="13">
                  <c:v>5.9402514990000004</c:v>
                </c:pt>
                <c:pt idx="14">
                  <c:v>6.2235164200000002</c:v>
                </c:pt>
                <c:pt idx="15">
                  <c:v>6.5070728659999997</c:v>
                </c:pt>
                <c:pt idx="16">
                  <c:v>6.7904281629999996</c:v>
                </c:pt>
                <c:pt idx="17">
                  <c:v>7.0731382260000002</c:v>
                </c:pt>
                <c:pt idx="18">
                  <c:v>7.3548078720000003</c:v>
                </c:pt>
                <c:pt idx="19">
                  <c:v>7.6350883229999997</c:v>
                </c:pt>
                <c:pt idx="20">
                  <c:v>7.9136781999999997</c:v>
                </c:pt>
                <c:pt idx="21">
                  <c:v>8.1903241280000003</c:v>
                </c:pt>
                <c:pt idx="22">
                  <c:v>8.4648182399999996</c:v>
                </c:pt>
                <c:pt idx="23">
                  <c:v>8.7369988149999998</c:v>
                </c:pt>
                <c:pt idx="24">
                  <c:v>9.0067494309999994</c:v>
                </c:pt>
                <c:pt idx="25">
                  <c:v>9.2739969890000005</c:v>
                </c:pt>
                <c:pt idx="26">
                  <c:v>9.5387120299999992</c:v>
                </c:pt>
                <c:pt idx="27">
                  <c:v>9.8009061860000006</c:v>
                </c:pt>
                <c:pt idx="28">
                  <c:v>10.06063106</c:v>
                </c:pt>
                <c:pt idx="29">
                  <c:v>10.31797568</c:v>
                </c:pt>
                <c:pt idx="30">
                  <c:v>10.57306631</c:v>
                </c:pt>
                <c:pt idx="31">
                  <c:v>10.826063209999999</c:v>
                </c:pt>
                <c:pt idx="32">
                  <c:v>11.077159160000001</c:v>
                </c:pt>
                <c:pt idx="33">
                  <c:v>11.52507288</c:v>
                </c:pt>
                <c:pt idx="34">
                  <c:v>11.77212488</c:v>
                </c:pt>
                <c:pt idx="35">
                  <c:v>12.018271110000001</c:v>
                </c:pt>
                <c:pt idx="36">
                  <c:v>12.263833569999999</c:v>
                </c:pt>
                <c:pt idx="37">
                  <c:v>12.509155529999999</c:v>
                </c:pt>
                <c:pt idx="38">
                  <c:v>12.754599580000001</c:v>
                </c:pt>
                <c:pt idx="39">
                  <c:v>13.000545710000001</c:v>
                </c:pt>
                <c:pt idx="40">
                  <c:v>13.247389330000001</c:v>
                </c:pt>
                <c:pt idx="41">
                  <c:v>13.495539259999999</c:v>
                </c:pt>
                <c:pt idx="42">
                  <c:v>13.74541572</c:v>
                </c:pt>
                <c:pt idx="43">
                  <c:v>13.99744832</c:v>
                </c:pt>
                <c:pt idx="44">
                  <c:v>14.252073859999999</c:v>
                </c:pt>
                <c:pt idx="45">
                  <c:v>14.509734269999999</c:v>
                </c:pt>
                <c:pt idx="46">
                  <c:v>14.77087425</c:v>
                </c:pt>
                <c:pt idx="47">
                  <c:v>15.035939129999999</c:v>
                </c:pt>
                <c:pt idx="48">
                  <c:v>15.305372139999999</c:v>
                </c:pt>
                <c:pt idx="49">
                  <c:v>15.579612150000001</c:v>
                </c:pt>
                <c:pt idx="50">
                  <c:v>15.85909086</c:v>
                </c:pt>
                <c:pt idx="51">
                  <c:v>16.144230220000001</c:v>
                </c:pt>
                <c:pt idx="52">
                  <c:v>16.435438999999999</c:v>
                </c:pt>
                <c:pt idx="53">
                  <c:v>16.73311035</c:v>
                </c:pt>
                <c:pt idx="54">
                  <c:v>17.037618349999999</c:v>
                </c:pt>
                <c:pt idx="55">
                  <c:v>17.349315470000001</c:v>
                </c:pt>
                <c:pt idx="56">
                  <c:v>17.66852815</c:v>
                </c:pt>
                <c:pt idx="57">
                  <c:v>17.99555569</c:v>
                </c:pt>
                <c:pt idx="58">
                  <c:v>18.330667989999998</c:v>
                </c:pt>
                <c:pt idx="59">
                  <c:v>18.674101690000001</c:v>
                </c:pt>
                <c:pt idx="60">
                  <c:v>19.026063879999999</c:v>
                </c:pt>
                <c:pt idx="61">
                  <c:v>19.386729110000001</c:v>
                </c:pt>
                <c:pt idx="62">
                  <c:v>19.756247370000001</c:v>
                </c:pt>
                <c:pt idx="63">
                  <c:v>20.134744550000001</c:v>
                </c:pt>
                <c:pt idx="64">
                  <c:v>20.522336979999999</c:v>
                </c:pt>
                <c:pt idx="65">
                  <c:v>20.919132690000001</c:v>
                </c:pt>
                <c:pt idx="66">
                  <c:v>21.325252160000002</c:v>
                </c:pt>
                <c:pt idx="67">
                  <c:v>21.740828610000001</c:v>
                </c:pt>
                <c:pt idx="68">
                  <c:v>22.16602327</c:v>
                </c:pt>
                <c:pt idx="69">
                  <c:v>22.601028710000001</c:v>
                </c:pt>
                <c:pt idx="70">
                  <c:v>23.04605609</c:v>
                </c:pt>
                <c:pt idx="71">
                  <c:v>23.501344029999998</c:v>
                </c:pt>
                <c:pt idx="72">
                  <c:v>23.96713325</c:v>
                </c:pt>
                <c:pt idx="73">
                  <c:v>24.443659390000001</c:v>
                </c:pt>
                <c:pt idx="74">
                  <c:v>24.931131350000001</c:v>
                </c:pt>
                <c:pt idx="75">
                  <c:v>25.429729120000001</c:v>
                </c:pt>
                <c:pt idx="76">
                  <c:v>25.939574050000001</c:v>
                </c:pt>
                <c:pt idx="77">
                  <c:v>26.460738039999999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E32-4223-805F-F4AC4B725B67}"/>
            </c:ext>
          </c:extLst>
        </c:ser>
        <c:ser>
          <c:idx val="8"/>
          <c:order val="9"/>
          <c:tx>
            <c:v>P95 boys</c:v>
          </c:tx>
          <c:spPr>
            <a:ln w="6350" cap="rnd">
              <a:solidFill>
                <a:srgbClr val="00B0F0">
                  <a:alpha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weight4length!$B$2:$B$79</c:f>
              <c:numCache>
                <c:formatCode>General</c:formatCode>
                <c:ptCount val="78"/>
                <c:pt idx="0">
                  <c:v>45</c:v>
                </c:pt>
                <c:pt idx="1">
                  <c:v>45.5</c:v>
                </c:pt>
                <c:pt idx="2">
                  <c:v>46.5</c:v>
                </c:pt>
                <c:pt idx="3">
                  <c:v>47.5</c:v>
                </c:pt>
                <c:pt idx="4">
                  <c:v>48.5</c:v>
                </c:pt>
                <c:pt idx="5">
                  <c:v>49.5</c:v>
                </c:pt>
                <c:pt idx="6">
                  <c:v>50.5</c:v>
                </c:pt>
                <c:pt idx="7">
                  <c:v>51.5</c:v>
                </c:pt>
                <c:pt idx="8">
                  <c:v>52.5</c:v>
                </c:pt>
                <c:pt idx="9">
                  <c:v>53.5</c:v>
                </c:pt>
                <c:pt idx="10">
                  <c:v>54.5</c:v>
                </c:pt>
                <c:pt idx="11">
                  <c:v>55.5</c:v>
                </c:pt>
                <c:pt idx="12">
                  <c:v>56.5</c:v>
                </c:pt>
                <c:pt idx="13">
                  <c:v>57.5</c:v>
                </c:pt>
                <c:pt idx="14">
                  <c:v>58.5</c:v>
                </c:pt>
                <c:pt idx="15">
                  <c:v>59.5</c:v>
                </c:pt>
                <c:pt idx="16">
                  <c:v>60.5</c:v>
                </c:pt>
                <c:pt idx="17">
                  <c:v>61.5</c:v>
                </c:pt>
                <c:pt idx="18">
                  <c:v>62.5</c:v>
                </c:pt>
                <c:pt idx="19">
                  <c:v>63.5</c:v>
                </c:pt>
                <c:pt idx="20">
                  <c:v>64.5</c:v>
                </c:pt>
                <c:pt idx="21">
                  <c:v>65.5</c:v>
                </c:pt>
                <c:pt idx="22">
                  <c:v>66.5</c:v>
                </c:pt>
                <c:pt idx="23">
                  <c:v>67.5</c:v>
                </c:pt>
                <c:pt idx="24">
                  <c:v>68.5</c:v>
                </c:pt>
                <c:pt idx="25">
                  <c:v>69.5</c:v>
                </c:pt>
                <c:pt idx="26">
                  <c:v>70.5</c:v>
                </c:pt>
                <c:pt idx="27">
                  <c:v>71.5</c:v>
                </c:pt>
                <c:pt idx="28">
                  <c:v>72.5</c:v>
                </c:pt>
                <c:pt idx="29">
                  <c:v>73.5</c:v>
                </c:pt>
                <c:pt idx="30">
                  <c:v>74.5</c:v>
                </c:pt>
                <c:pt idx="31">
                  <c:v>75.5</c:v>
                </c:pt>
                <c:pt idx="32">
                  <c:v>76.5</c:v>
                </c:pt>
                <c:pt idx="33">
                  <c:v>77.5</c:v>
                </c:pt>
                <c:pt idx="34">
                  <c:v>78.5</c:v>
                </c:pt>
                <c:pt idx="35">
                  <c:v>79.5</c:v>
                </c:pt>
                <c:pt idx="36">
                  <c:v>80.5</c:v>
                </c:pt>
                <c:pt idx="37">
                  <c:v>81.5</c:v>
                </c:pt>
                <c:pt idx="38">
                  <c:v>82.5</c:v>
                </c:pt>
                <c:pt idx="39">
                  <c:v>83.5</c:v>
                </c:pt>
                <c:pt idx="40">
                  <c:v>84.5</c:v>
                </c:pt>
                <c:pt idx="41">
                  <c:v>85.5</c:v>
                </c:pt>
                <c:pt idx="42">
                  <c:v>86.5</c:v>
                </c:pt>
                <c:pt idx="43">
                  <c:v>87.5</c:v>
                </c:pt>
                <c:pt idx="44">
                  <c:v>88.5</c:v>
                </c:pt>
                <c:pt idx="45">
                  <c:v>89.5</c:v>
                </c:pt>
                <c:pt idx="46">
                  <c:v>90.5</c:v>
                </c:pt>
                <c:pt idx="47">
                  <c:v>91.5</c:v>
                </c:pt>
                <c:pt idx="48">
                  <c:v>92.5</c:v>
                </c:pt>
                <c:pt idx="49">
                  <c:v>93.5</c:v>
                </c:pt>
                <c:pt idx="50">
                  <c:v>94.5</c:v>
                </c:pt>
                <c:pt idx="51">
                  <c:v>95.5</c:v>
                </c:pt>
                <c:pt idx="52">
                  <c:v>96.5</c:v>
                </c:pt>
                <c:pt idx="53">
                  <c:v>97.5</c:v>
                </c:pt>
                <c:pt idx="54">
                  <c:v>98.5</c:v>
                </c:pt>
                <c:pt idx="55">
                  <c:v>99.5</c:v>
                </c:pt>
                <c:pt idx="56">
                  <c:v>100.5</c:v>
                </c:pt>
                <c:pt idx="57">
                  <c:v>101.5</c:v>
                </c:pt>
                <c:pt idx="58">
                  <c:v>102.5</c:v>
                </c:pt>
                <c:pt idx="59">
                  <c:v>103.5</c:v>
                </c:pt>
                <c:pt idx="60">
                  <c:v>104.5</c:v>
                </c:pt>
                <c:pt idx="61">
                  <c:v>105.5</c:v>
                </c:pt>
                <c:pt idx="62">
                  <c:v>106.5</c:v>
                </c:pt>
                <c:pt idx="63">
                  <c:v>107.5</c:v>
                </c:pt>
                <c:pt idx="64">
                  <c:v>108.5</c:v>
                </c:pt>
                <c:pt idx="65">
                  <c:v>109.5</c:v>
                </c:pt>
                <c:pt idx="66">
                  <c:v>110.5</c:v>
                </c:pt>
                <c:pt idx="67">
                  <c:v>111.5</c:v>
                </c:pt>
                <c:pt idx="68">
                  <c:v>112.5</c:v>
                </c:pt>
                <c:pt idx="69">
                  <c:v>113.5</c:v>
                </c:pt>
                <c:pt idx="70">
                  <c:v>114.5</c:v>
                </c:pt>
                <c:pt idx="71">
                  <c:v>115.5</c:v>
                </c:pt>
                <c:pt idx="72">
                  <c:v>116.5</c:v>
                </c:pt>
                <c:pt idx="73">
                  <c:v>117.5</c:v>
                </c:pt>
                <c:pt idx="74">
                  <c:v>118.5</c:v>
                </c:pt>
                <c:pt idx="75">
                  <c:v>119.5</c:v>
                </c:pt>
                <c:pt idx="76">
                  <c:v>120.5</c:v>
                </c:pt>
                <c:pt idx="77">
                  <c:v>121.5</c:v>
                </c:pt>
              </c:numCache>
            </c:numRef>
          </c:xVal>
          <c:yVal>
            <c:numRef>
              <c:f>weight4length!$M$2:$M$79</c:f>
              <c:numCache>
                <c:formatCode>General</c:formatCode>
                <c:ptCount val="78"/>
                <c:pt idx="0">
                  <c:v>2.8248613869999999</c:v>
                </c:pt>
                <c:pt idx="1">
                  <c:v>2.935328776</c:v>
                </c:pt>
                <c:pt idx="2">
                  <c:v>3.1656352270000001</c:v>
                </c:pt>
                <c:pt idx="3">
                  <c:v>3.4072007370000001</c:v>
                </c:pt>
                <c:pt idx="4">
                  <c:v>3.6586409299999998</c:v>
                </c:pt>
                <c:pt idx="5">
                  <c:v>3.9186751439999998</c:v>
                </c:pt>
                <c:pt idx="6">
                  <c:v>4.1861133800000001</c:v>
                </c:pt>
                <c:pt idx="7">
                  <c:v>4.4598455069999998</c:v>
                </c:pt>
                <c:pt idx="8">
                  <c:v>4.7388363609999997</c:v>
                </c:pt>
                <c:pt idx="9">
                  <c:v>5.0221199570000001</c:v>
                </c:pt>
                <c:pt idx="10">
                  <c:v>5.3087992660000003</c:v>
                </c:pt>
                <c:pt idx="11">
                  <c:v>5.598043337</c:v>
                </c:pt>
                <c:pt idx="12">
                  <c:v>5.8890870350000002</c:v>
                </c:pt>
                <c:pt idx="13">
                  <c:v>6.1812298940000003</c:v>
                </c:pt>
                <c:pt idx="14">
                  <c:v>6.4738350670000004</c:v>
                </c:pt>
                <c:pt idx="15">
                  <c:v>6.7663281670000002</c:v>
                </c:pt>
                <c:pt idx="16">
                  <c:v>7.0581960029999999</c:v>
                </c:pt>
                <c:pt idx="17">
                  <c:v>7.3489853619999996</c:v>
                </c:pt>
                <c:pt idx="18">
                  <c:v>7.6383007620000001</c:v>
                </c:pt>
                <c:pt idx="19">
                  <c:v>7.9258044229999998</c:v>
                </c:pt>
                <c:pt idx="20">
                  <c:v>8.2112136069999995</c:v>
                </c:pt>
                <c:pt idx="21">
                  <c:v>8.4942981329999991</c:v>
                </c:pt>
                <c:pt idx="22">
                  <c:v>8.774880112</c:v>
                </c:pt>
                <c:pt idx="23">
                  <c:v>9.0528310950000002</c:v>
                </c:pt>
                <c:pt idx="24">
                  <c:v>9.3280701239999999</c:v>
                </c:pt>
                <c:pt idx="25">
                  <c:v>9.6005625660000007</c:v>
                </c:pt>
                <c:pt idx="26">
                  <c:v>9.8703168029999997</c:v>
                </c:pt>
                <c:pt idx="27">
                  <c:v>10.13738322</c:v>
                </c:pt>
                <c:pt idx="28">
                  <c:v>10.401851840000001</c:v>
                </c:pt>
                <c:pt idx="29">
                  <c:v>10.66385133</c:v>
                </c:pt>
                <c:pt idx="30">
                  <c:v>10.923545470000001</c:v>
                </c:pt>
                <c:pt idx="31">
                  <c:v>11.18113275</c:v>
                </c:pt>
                <c:pt idx="32">
                  <c:v>11.436844239999999</c:v>
                </c:pt>
                <c:pt idx="33">
                  <c:v>11.8932524</c:v>
                </c:pt>
                <c:pt idx="34">
                  <c:v>12.14519668</c:v>
                </c:pt>
                <c:pt idx="35">
                  <c:v>12.39640999</c:v>
                </c:pt>
                <c:pt idx="36">
                  <c:v>12.647256199999999</c:v>
                </c:pt>
                <c:pt idx="37">
                  <c:v>12.898122219999999</c:v>
                </c:pt>
                <c:pt idx="38">
                  <c:v>13.14941636</c:v>
                </c:pt>
                <c:pt idx="39">
                  <c:v>13.401566839999999</c:v>
                </c:pt>
                <c:pt idx="40">
                  <c:v>13.655020199999999</c:v>
                </c:pt>
                <c:pt idx="41">
                  <c:v>13.91023979</c:v>
                </c:pt>
                <c:pt idx="42">
                  <c:v>14.167704199999999</c:v>
                </c:pt>
                <c:pt idx="43">
                  <c:v>14.42790576</c:v>
                </c:pt>
                <c:pt idx="44">
                  <c:v>14.691349000000001</c:v>
                </c:pt>
                <c:pt idx="45">
                  <c:v>14.958549079999999</c:v>
                </c:pt>
                <c:pt idx="46">
                  <c:v>15.23003025</c:v>
                </c:pt>
                <c:pt idx="47">
                  <c:v>15.506324080000001</c:v>
                </c:pt>
                <c:pt idx="48">
                  <c:v>15.787968210000001</c:v>
                </c:pt>
                <c:pt idx="49">
                  <c:v>16.075504160000001</c:v>
                </c:pt>
                <c:pt idx="50">
                  <c:v>16.369475820000002</c:v>
                </c:pt>
                <c:pt idx="51">
                  <c:v>16.670427199999999</c:v>
                </c:pt>
                <c:pt idx="52">
                  <c:v>16.97890086</c:v>
                </c:pt>
                <c:pt idx="53">
                  <c:v>17.29543503</c:v>
                </c:pt>
                <c:pt idx="54">
                  <c:v>17.620561290000001</c:v>
                </c:pt>
                <c:pt idx="55">
                  <c:v>17.95480122</c:v>
                </c:pt>
                <c:pt idx="56">
                  <c:v>18.29866436</c:v>
                </c:pt>
                <c:pt idx="57">
                  <c:v>18.652643019999999</c:v>
                </c:pt>
                <c:pt idx="58">
                  <c:v>19.01720839</c:v>
                </c:pt>
                <c:pt idx="59">
                  <c:v>19.39280771</c:v>
                </c:pt>
                <c:pt idx="60">
                  <c:v>19.779856670000001</c:v>
                </c:pt>
                <c:pt idx="61">
                  <c:v>20.178737399999999</c:v>
                </c:pt>
                <c:pt idx="62">
                  <c:v>20.589791160000001</c:v>
                </c:pt>
                <c:pt idx="63">
                  <c:v>21.013317260000001</c:v>
                </c:pt>
                <c:pt idx="64">
                  <c:v>21.44956767</c:v>
                </c:pt>
                <c:pt idx="65">
                  <c:v>21.898750020000001</c:v>
                </c:pt>
                <c:pt idx="66">
                  <c:v>22.361026219999999</c:v>
                </c:pt>
                <c:pt idx="67">
                  <c:v>22.836520270000001</c:v>
                </c:pt>
                <c:pt idx="68">
                  <c:v>23.32532325</c:v>
                </c:pt>
                <c:pt idx="69">
                  <c:v>23.827502549999998</c:v>
                </c:pt>
                <c:pt idx="70">
                  <c:v>24.343111310000001</c:v>
                </c:pt>
                <c:pt idx="71">
                  <c:v>24.872193750000001</c:v>
                </c:pt>
                <c:pt idx="72">
                  <c:v>25.41479043</c:v>
                </c:pt>
                <c:pt idx="73">
                  <c:v>25.970938539999999</c:v>
                </c:pt>
                <c:pt idx="74">
                  <c:v>26.54066898</c:v>
                </c:pt>
                <c:pt idx="75">
                  <c:v>27.12400191</c:v>
                </c:pt>
                <c:pt idx="76">
                  <c:v>27.72093757</c:v>
                </c:pt>
                <c:pt idx="77">
                  <c:v>28.33145034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E32-4223-805F-F4AC4B725B67}"/>
            </c:ext>
          </c:extLst>
        </c:ser>
        <c:ser>
          <c:idx val="9"/>
          <c:order val="10"/>
          <c:tx>
            <c:v>P97 boys</c:v>
          </c:tx>
          <c:spPr>
            <a:ln w="635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weight4length!$B$2:$B$79</c:f>
              <c:numCache>
                <c:formatCode>General</c:formatCode>
                <c:ptCount val="78"/>
                <c:pt idx="0">
                  <c:v>45</c:v>
                </c:pt>
                <c:pt idx="1">
                  <c:v>45.5</c:v>
                </c:pt>
                <c:pt idx="2">
                  <c:v>46.5</c:v>
                </c:pt>
                <c:pt idx="3">
                  <c:v>47.5</c:v>
                </c:pt>
                <c:pt idx="4">
                  <c:v>48.5</c:v>
                </c:pt>
                <c:pt idx="5">
                  <c:v>49.5</c:v>
                </c:pt>
                <c:pt idx="6">
                  <c:v>50.5</c:v>
                </c:pt>
                <c:pt idx="7">
                  <c:v>51.5</c:v>
                </c:pt>
                <c:pt idx="8">
                  <c:v>52.5</c:v>
                </c:pt>
                <c:pt idx="9">
                  <c:v>53.5</c:v>
                </c:pt>
                <c:pt idx="10">
                  <c:v>54.5</c:v>
                </c:pt>
                <c:pt idx="11">
                  <c:v>55.5</c:v>
                </c:pt>
                <c:pt idx="12">
                  <c:v>56.5</c:v>
                </c:pt>
                <c:pt idx="13">
                  <c:v>57.5</c:v>
                </c:pt>
                <c:pt idx="14">
                  <c:v>58.5</c:v>
                </c:pt>
                <c:pt idx="15">
                  <c:v>59.5</c:v>
                </c:pt>
                <c:pt idx="16">
                  <c:v>60.5</c:v>
                </c:pt>
                <c:pt idx="17">
                  <c:v>61.5</c:v>
                </c:pt>
                <c:pt idx="18">
                  <c:v>62.5</c:v>
                </c:pt>
                <c:pt idx="19">
                  <c:v>63.5</c:v>
                </c:pt>
                <c:pt idx="20">
                  <c:v>64.5</c:v>
                </c:pt>
                <c:pt idx="21">
                  <c:v>65.5</c:v>
                </c:pt>
                <c:pt idx="22">
                  <c:v>66.5</c:v>
                </c:pt>
                <c:pt idx="23">
                  <c:v>67.5</c:v>
                </c:pt>
                <c:pt idx="24">
                  <c:v>68.5</c:v>
                </c:pt>
                <c:pt idx="25">
                  <c:v>69.5</c:v>
                </c:pt>
                <c:pt idx="26">
                  <c:v>70.5</c:v>
                </c:pt>
                <c:pt idx="27">
                  <c:v>71.5</c:v>
                </c:pt>
                <c:pt idx="28">
                  <c:v>72.5</c:v>
                </c:pt>
                <c:pt idx="29">
                  <c:v>73.5</c:v>
                </c:pt>
                <c:pt idx="30">
                  <c:v>74.5</c:v>
                </c:pt>
                <c:pt idx="31">
                  <c:v>75.5</c:v>
                </c:pt>
                <c:pt idx="32">
                  <c:v>76.5</c:v>
                </c:pt>
                <c:pt idx="33">
                  <c:v>77.5</c:v>
                </c:pt>
                <c:pt idx="34">
                  <c:v>78.5</c:v>
                </c:pt>
                <c:pt idx="35">
                  <c:v>79.5</c:v>
                </c:pt>
                <c:pt idx="36">
                  <c:v>80.5</c:v>
                </c:pt>
                <c:pt idx="37">
                  <c:v>81.5</c:v>
                </c:pt>
                <c:pt idx="38">
                  <c:v>82.5</c:v>
                </c:pt>
                <c:pt idx="39">
                  <c:v>83.5</c:v>
                </c:pt>
                <c:pt idx="40">
                  <c:v>84.5</c:v>
                </c:pt>
                <c:pt idx="41">
                  <c:v>85.5</c:v>
                </c:pt>
                <c:pt idx="42">
                  <c:v>86.5</c:v>
                </c:pt>
                <c:pt idx="43">
                  <c:v>87.5</c:v>
                </c:pt>
                <c:pt idx="44">
                  <c:v>88.5</c:v>
                </c:pt>
                <c:pt idx="45">
                  <c:v>89.5</c:v>
                </c:pt>
                <c:pt idx="46">
                  <c:v>90.5</c:v>
                </c:pt>
                <c:pt idx="47">
                  <c:v>91.5</c:v>
                </c:pt>
                <c:pt idx="48">
                  <c:v>92.5</c:v>
                </c:pt>
                <c:pt idx="49">
                  <c:v>93.5</c:v>
                </c:pt>
                <c:pt idx="50">
                  <c:v>94.5</c:v>
                </c:pt>
                <c:pt idx="51">
                  <c:v>95.5</c:v>
                </c:pt>
                <c:pt idx="52">
                  <c:v>96.5</c:v>
                </c:pt>
                <c:pt idx="53">
                  <c:v>97.5</c:v>
                </c:pt>
                <c:pt idx="54">
                  <c:v>98.5</c:v>
                </c:pt>
                <c:pt idx="55">
                  <c:v>99.5</c:v>
                </c:pt>
                <c:pt idx="56">
                  <c:v>100.5</c:v>
                </c:pt>
                <c:pt idx="57">
                  <c:v>101.5</c:v>
                </c:pt>
                <c:pt idx="58">
                  <c:v>102.5</c:v>
                </c:pt>
                <c:pt idx="59">
                  <c:v>103.5</c:v>
                </c:pt>
                <c:pt idx="60">
                  <c:v>104.5</c:v>
                </c:pt>
                <c:pt idx="61">
                  <c:v>105.5</c:v>
                </c:pt>
                <c:pt idx="62">
                  <c:v>106.5</c:v>
                </c:pt>
                <c:pt idx="63">
                  <c:v>107.5</c:v>
                </c:pt>
                <c:pt idx="64">
                  <c:v>108.5</c:v>
                </c:pt>
                <c:pt idx="65">
                  <c:v>109.5</c:v>
                </c:pt>
                <c:pt idx="66">
                  <c:v>110.5</c:v>
                </c:pt>
                <c:pt idx="67">
                  <c:v>111.5</c:v>
                </c:pt>
                <c:pt idx="68">
                  <c:v>112.5</c:v>
                </c:pt>
                <c:pt idx="69">
                  <c:v>113.5</c:v>
                </c:pt>
                <c:pt idx="70">
                  <c:v>114.5</c:v>
                </c:pt>
                <c:pt idx="71">
                  <c:v>115.5</c:v>
                </c:pt>
                <c:pt idx="72">
                  <c:v>116.5</c:v>
                </c:pt>
                <c:pt idx="73">
                  <c:v>117.5</c:v>
                </c:pt>
                <c:pt idx="74">
                  <c:v>118.5</c:v>
                </c:pt>
                <c:pt idx="75">
                  <c:v>119.5</c:v>
                </c:pt>
                <c:pt idx="76">
                  <c:v>120.5</c:v>
                </c:pt>
                <c:pt idx="77">
                  <c:v>121.5</c:v>
                </c:pt>
              </c:numCache>
            </c:numRef>
          </c:xVal>
          <c:yVal>
            <c:numRef>
              <c:f>weight4length!$N$2:$N$79</c:f>
              <c:numCache>
                <c:formatCode>General</c:formatCode>
                <c:ptCount val="78"/>
                <c:pt idx="0">
                  <c:v>2.8978091799999999</c:v>
                </c:pt>
                <c:pt idx="1">
                  <c:v>3.0113383169999999</c:v>
                </c:pt>
                <c:pt idx="2">
                  <c:v>3.2482400029999998</c:v>
                </c:pt>
                <c:pt idx="3">
                  <c:v>3.4969351799999999</c:v>
                </c:pt>
                <c:pt idx="4">
                  <c:v>3.7559283830000001</c:v>
                </c:pt>
                <c:pt idx="5">
                  <c:v>4.0238350770000002</c:v>
                </c:pt>
                <c:pt idx="6">
                  <c:v>4.2993685380000004</c:v>
                </c:pt>
                <c:pt idx="7">
                  <c:v>4.581326217</c:v>
                </c:pt>
                <c:pt idx="8">
                  <c:v>4.8685855550000001</c:v>
                </c:pt>
                <c:pt idx="9">
                  <c:v>5.1600949280000004</c:v>
                </c:pt>
                <c:pt idx="10">
                  <c:v>5.4548773160000001</c:v>
                </c:pt>
                <c:pt idx="11">
                  <c:v>5.7520266490000003</c:v>
                </c:pt>
                <c:pt idx="12">
                  <c:v>6.0507110370000001</c:v>
                </c:pt>
                <c:pt idx="13">
                  <c:v>6.3501735180000001</c:v>
                </c:pt>
                <c:pt idx="14">
                  <c:v>6.6497327390000001</c:v>
                </c:pt>
                <c:pt idx="15">
                  <c:v>6.9487828199999999</c:v>
                </c:pt>
                <c:pt idx="16">
                  <c:v>7.2467923150000004</c:v>
                </c:pt>
                <c:pt idx="17">
                  <c:v>7.5433027680000002</c:v>
                </c:pt>
                <c:pt idx="18">
                  <c:v>7.8379235109999996</c:v>
                </c:pt>
                <c:pt idx="19">
                  <c:v>8.1303333989999995</c:v>
                </c:pt>
                <c:pt idx="20">
                  <c:v>8.4202740269999996</c:v>
                </c:pt>
                <c:pt idx="21">
                  <c:v>8.7075436980000003</c:v>
                </c:pt>
                <c:pt idx="22">
                  <c:v>8.9919988219999993</c:v>
                </c:pt>
                <c:pt idx="23">
                  <c:v>9.2735473600000002</c:v>
                </c:pt>
                <c:pt idx="24">
                  <c:v>9.552145587</c:v>
                </c:pt>
                <c:pt idx="25">
                  <c:v>9.8277975689999995</c:v>
                </c:pt>
                <c:pt idx="26">
                  <c:v>10.10054839</c:v>
                </c:pt>
                <c:pt idx="27">
                  <c:v>10.370484640000001</c:v>
                </c:pt>
                <c:pt idx="28">
                  <c:v>10.63773097</c:v>
                </c:pt>
                <c:pt idx="29">
                  <c:v>10.902450610000001</c:v>
                </c:pt>
                <c:pt idx="30">
                  <c:v>11.16483888</c:v>
                </c:pt>
                <c:pt idx="31">
                  <c:v>11.425125639999999</c:v>
                </c:pt>
                <c:pt idx="32">
                  <c:v>11.68357247</c:v>
                </c:pt>
                <c:pt idx="33">
                  <c:v>12.145090379999999</c:v>
                </c:pt>
                <c:pt idx="34">
                  <c:v>12.40002986</c:v>
                </c:pt>
                <c:pt idx="35">
                  <c:v>12.654388539999999</c:v>
                </c:pt>
                <c:pt idx="36">
                  <c:v>12.90856157</c:v>
                </c:pt>
                <c:pt idx="37">
                  <c:v>13.16296835</c:v>
                </c:pt>
                <c:pt idx="38">
                  <c:v>13.418051309999999</c:v>
                </c:pt>
                <c:pt idx="39">
                  <c:v>13.674274799999999</c:v>
                </c:pt>
                <c:pt idx="40">
                  <c:v>13.93212398</c:v>
                </c:pt>
                <c:pt idx="41">
                  <c:v>14.19210372</c:v>
                </c:pt>
                <c:pt idx="42">
                  <c:v>14.454737590000001</c:v>
                </c:pt>
                <c:pt idx="43">
                  <c:v>14.720566890000001</c:v>
                </c:pt>
                <c:pt idx="44">
                  <c:v>14.99014975</c:v>
                </c:pt>
                <c:pt idx="45">
                  <c:v>15.26406025</c:v>
                </c:pt>
                <c:pt idx="46">
                  <c:v>15.54288768</c:v>
                </c:pt>
                <c:pt idx="47">
                  <c:v>15.82723547</c:v>
                </c:pt>
                <c:pt idx="48">
                  <c:v>16.117721490000001</c:v>
                </c:pt>
                <c:pt idx="49">
                  <c:v>16.41497639</c:v>
                </c:pt>
                <c:pt idx="50">
                  <c:v>16.719643649999998</c:v>
                </c:pt>
                <c:pt idx="51">
                  <c:v>17.032378420000001</c:v>
                </c:pt>
                <c:pt idx="52">
                  <c:v>17.35384839</c:v>
                </c:pt>
                <c:pt idx="53">
                  <c:v>17.684731500000002</c:v>
                </c:pt>
                <c:pt idx="54">
                  <c:v>18.02571601</c:v>
                </c:pt>
                <c:pt idx="55">
                  <c:v>18.377497900000002</c:v>
                </c:pt>
                <c:pt idx="56">
                  <c:v>18.74078304</c:v>
                </c:pt>
                <c:pt idx="57">
                  <c:v>19.11628039</c:v>
                </c:pt>
                <c:pt idx="58">
                  <c:v>19.504699200000001</c:v>
                </c:pt>
                <c:pt idx="59">
                  <c:v>19.906750150000001</c:v>
                </c:pt>
                <c:pt idx="60">
                  <c:v>20.323129990000002</c:v>
                </c:pt>
                <c:pt idx="61">
                  <c:v>20.754523469999999</c:v>
                </c:pt>
                <c:pt idx="62">
                  <c:v>21.201583429999999</c:v>
                </c:pt>
                <c:pt idx="63">
                  <c:v>21.664929860000001</c:v>
                </c:pt>
                <c:pt idx="64">
                  <c:v>22.145123290000001</c:v>
                </c:pt>
                <c:pt idx="65">
                  <c:v>22.642667379999999</c:v>
                </c:pt>
                <c:pt idx="66">
                  <c:v>23.157976649999998</c:v>
                </c:pt>
                <c:pt idx="67">
                  <c:v>23.691383089999999</c:v>
                </c:pt>
                <c:pt idx="68">
                  <c:v>24.243115249999999</c:v>
                </c:pt>
                <c:pt idx="69">
                  <c:v>24.813296640000001</c:v>
                </c:pt>
                <c:pt idx="70">
                  <c:v>25.401965820000001</c:v>
                </c:pt>
                <c:pt idx="71">
                  <c:v>26.00905839</c:v>
                </c:pt>
                <c:pt idx="72">
                  <c:v>26.63443908</c:v>
                </c:pt>
                <c:pt idx="73">
                  <c:v>27.277902569999998</c:v>
                </c:pt>
                <c:pt idx="74">
                  <c:v>27.939194530000002</c:v>
                </c:pt>
                <c:pt idx="75">
                  <c:v>28.618004119999998</c:v>
                </c:pt>
                <c:pt idx="76">
                  <c:v>29.313996410000001</c:v>
                </c:pt>
                <c:pt idx="77">
                  <c:v>30.026790819999999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E32-4223-805F-F4AC4B725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691968"/>
        <c:axId val="1597695296"/>
      </c:scatterChart>
      <c:valAx>
        <c:axId val="1597691968"/>
        <c:scaling>
          <c:orientation val="minMax"/>
          <c:max val="130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cm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695296"/>
        <c:crosses val="autoZero"/>
        <c:crossBetween val="midCat"/>
        <c:majorUnit val="10"/>
        <c:minorUnit val="0.25"/>
      </c:valAx>
      <c:valAx>
        <c:axId val="1597695296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g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691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head(age)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measurements1!name</c:f>
              <c:strCache>
                <c:ptCount val="1"/>
                <c:pt idx="0">
                  <c:v>boy1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measurements1!$C$5:$C$7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measurements1!$M$5:$M$7</c:f>
              <c:numCache>
                <c:formatCode>0.0\ "cm"</c:formatCode>
                <c:ptCount val="3"/>
                <c:pt idx="0">
                  <c:v>34</c:v>
                </c:pt>
                <c:pt idx="1">
                  <c:v>46</c:v>
                </c:pt>
                <c:pt idx="2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FD-42E3-B28C-9D83EC3E779E}"/>
            </c:ext>
          </c:extLst>
        </c:ser>
        <c:ser>
          <c:idx val="10"/>
          <c:order val="1"/>
          <c:tx>
            <c:strRef>
              <c:f>measurements2!name</c:f>
              <c:strCache>
                <c:ptCount val="1"/>
                <c:pt idx="0">
                  <c:v>boy2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measurements2!$C$5:$C$7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measurements2!$M$5:$M$7</c:f>
              <c:numCache>
                <c:formatCode>0.0\ "cm"</c:formatCode>
                <c:ptCount val="3"/>
                <c:pt idx="0">
                  <c:v>35</c:v>
                </c:pt>
                <c:pt idx="1">
                  <c:v>47</c:v>
                </c:pt>
                <c:pt idx="2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FD-42E3-B28C-9D83EC3E779E}"/>
            </c:ext>
          </c:extLst>
        </c:ser>
        <c:ser>
          <c:idx val="1"/>
          <c:order val="2"/>
          <c:tx>
            <c:v>P3 boys</c:v>
          </c:tx>
          <c:spPr>
            <a:ln w="635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head4age!$B$2:$B$39</c:f>
              <c:numCache>
                <c:formatCode>0.00</c:formatCode>
                <c:ptCount val="38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2.0416666666666665</c:v>
                </c:pt>
                <c:pt idx="26">
                  <c:v>2.125</c:v>
                </c:pt>
                <c:pt idx="27">
                  <c:v>2.2083333333333335</c:v>
                </c:pt>
                <c:pt idx="28">
                  <c:v>2.2916666666666665</c:v>
                </c:pt>
                <c:pt idx="29">
                  <c:v>2.375</c:v>
                </c:pt>
                <c:pt idx="30">
                  <c:v>2.4583333333333335</c:v>
                </c:pt>
                <c:pt idx="31">
                  <c:v>2.5416666666666665</c:v>
                </c:pt>
                <c:pt idx="32">
                  <c:v>2.625</c:v>
                </c:pt>
                <c:pt idx="33">
                  <c:v>2.7083333333333335</c:v>
                </c:pt>
                <c:pt idx="34">
                  <c:v>2.7916666666666665</c:v>
                </c:pt>
                <c:pt idx="35">
                  <c:v>2.875</c:v>
                </c:pt>
                <c:pt idx="36">
                  <c:v>2.9583333333333335</c:v>
                </c:pt>
                <c:pt idx="37">
                  <c:v>3</c:v>
                </c:pt>
              </c:numCache>
            </c:numRef>
          </c:xVal>
          <c:yVal>
            <c:numRef>
              <c:f>head4age!$F$2:$F$39</c:f>
              <c:numCache>
                <c:formatCode>General</c:formatCode>
                <c:ptCount val="38"/>
                <c:pt idx="0">
                  <c:v>31.487623209999999</c:v>
                </c:pt>
                <c:pt idx="1">
                  <c:v>33.25005839</c:v>
                </c:pt>
                <c:pt idx="2">
                  <c:v>35.781262269999999</c:v>
                </c:pt>
                <c:pt idx="3">
                  <c:v>37.558797480000003</c:v>
                </c:pt>
                <c:pt idx="4">
                  <c:v>38.89944028</c:v>
                </c:pt>
                <c:pt idx="5">
                  <c:v>39.956733</c:v>
                </c:pt>
                <c:pt idx="6">
                  <c:v>40.816423800000003</c:v>
                </c:pt>
                <c:pt idx="7">
                  <c:v>41.531093970000001</c:v>
                </c:pt>
                <c:pt idx="8">
                  <c:v>42.13520784</c:v>
                </c:pt>
                <c:pt idx="9">
                  <c:v>42.652526719999997</c:v>
                </c:pt>
                <c:pt idx="10">
                  <c:v>43.100085399999998</c:v>
                </c:pt>
                <c:pt idx="11">
                  <c:v>43.49049033</c:v>
                </c:pt>
                <c:pt idx="12">
                  <c:v>43.833316719999999</c:v>
                </c:pt>
                <c:pt idx="13">
                  <c:v>44.135997799999998</c:v>
                </c:pt>
                <c:pt idx="14">
                  <c:v>44.404412010000001</c:v>
                </c:pt>
                <c:pt idx="15">
                  <c:v>44.643283099999998</c:v>
                </c:pt>
                <c:pt idx="16">
                  <c:v>44.856460069999997</c:v>
                </c:pt>
                <c:pt idx="17">
                  <c:v>45.047117700000001</c:v>
                </c:pt>
                <c:pt idx="18">
                  <c:v>45.217903069999998</c:v>
                </c:pt>
                <c:pt idx="19">
                  <c:v>45.371044650000002</c:v>
                </c:pt>
                <c:pt idx="20">
                  <c:v>45.508434770000001</c:v>
                </c:pt>
                <c:pt idx="21">
                  <c:v>45.631692889999997</c:v>
                </c:pt>
                <c:pt idx="22">
                  <c:v>45.742214769999997</c:v>
                </c:pt>
                <c:pt idx="23">
                  <c:v>45.841211119999997</c:v>
                </c:pt>
                <c:pt idx="24">
                  <c:v>45.929738569999998</c:v>
                </c:pt>
                <c:pt idx="25">
                  <c:v>46.008722859999999</c:v>
                </c:pt>
                <c:pt idx="26">
                  <c:v>46.078982330000002</c:v>
                </c:pt>
                <c:pt idx="27">
                  <c:v>46.141239740000003</c:v>
                </c:pt>
                <c:pt idx="28">
                  <c:v>46.196138849999997</c:v>
                </c:pt>
                <c:pt idx="29">
                  <c:v>46.244254349999999</c:v>
                </c:pt>
                <c:pt idx="30">
                  <c:v>46.286101289999998</c:v>
                </c:pt>
                <c:pt idx="31">
                  <c:v>46.32214286</c:v>
                </c:pt>
                <c:pt idx="32">
                  <c:v>46.352796959999999</c:v>
                </c:pt>
                <c:pt idx="33">
                  <c:v>46.378441760000001</c:v>
                </c:pt>
                <c:pt idx="34">
                  <c:v>46.399420429999999</c:v>
                </c:pt>
                <c:pt idx="35">
                  <c:v>46.416045240000003</c:v>
                </c:pt>
                <c:pt idx="36">
                  <c:v>46.428601049999997</c:v>
                </c:pt>
                <c:pt idx="37">
                  <c:v>46.433435340000003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FD-42E3-B28C-9D83EC3E779E}"/>
            </c:ext>
          </c:extLst>
        </c:ser>
        <c:ser>
          <c:idx val="2"/>
          <c:order val="3"/>
          <c:tx>
            <c:v>P5 boys</c:v>
          </c:tx>
          <c:spPr>
            <a:ln w="6350" cap="rnd">
              <a:solidFill>
                <a:srgbClr val="00B0F0">
                  <a:alpha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head4age!$B$2:$B$39</c:f>
              <c:numCache>
                <c:formatCode>0.00</c:formatCode>
                <c:ptCount val="38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2.0416666666666665</c:v>
                </c:pt>
                <c:pt idx="26">
                  <c:v>2.125</c:v>
                </c:pt>
                <c:pt idx="27">
                  <c:v>2.2083333333333335</c:v>
                </c:pt>
                <c:pt idx="28">
                  <c:v>2.2916666666666665</c:v>
                </c:pt>
                <c:pt idx="29">
                  <c:v>2.375</c:v>
                </c:pt>
                <c:pt idx="30">
                  <c:v>2.4583333333333335</c:v>
                </c:pt>
                <c:pt idx="31">
                  <c:v>2.5416666666666665</c:v>
                </c:pt>
                <c:pt idx="32">
                  <c:v>2.625</c:v>
                </c:pt>
                <c:pt idx="33">
                  <c:v>2.7083333333333335</c:v>
                </c:pt>
                <c:pt idx="34">
                  <c:v>2.7916666666666665</c:v>
                </c:pt>
                <c:pt idx="35">
                  <c:v>2.875</c:v>
                </c:pt>
                <c:pt idx="36">
                  <c:v>2.9583333333333335</c:v>
                </c:pt>
                <c:pt idx="37">
                  <c:v>3</c:v>
                </c:pt>
              </c:numCache>
            </c:numRef>
          </c:xVal>
          <c:yVal>
            <c:numRef>
              <c:f>head4age!$G$2:$G$39</c:f>
              <c:numCache>
                <c:formatCode>General</c:formatCode>
                <c:ptCount val="38"/>
                <c:pt idx="0">
                  <c:v>32.148811049999999</c:v>
                </c:pt>
                <c:pt idx="1">
                  <c:v>33.833915750000003</c:v>
                </c:pt>
                <c:pt idx="2">
                  <c:v>36.264276029999998</c:v>
                </c:pt>
                <c:pt idx="3">
                  <c:v>37.97958783</c:v>
                </c:pt>
                <c:pt idx="4">
                  <c:v>39.27893049</c:v>
                </c:pt>
                <c:pt idx="5">
                  <c:v>40.307655560000001</c:v>
                </c:pt>
                <c:pt idx="6">
                  <c:v>41.147142680000002</c:v>
                </c:pt>
                <c:pt idx="7">
                  <c:v>41.84741554</c:v>
                </c:pt>
                <c:pt idx="8">
                  <c:v>42.441340269999998</c:v>
                </c:pt>
                <c:pt idx="9">
                  <c:v>42.951623830000003</c:v>
                </c:pt>
                <c:pt idx="10">
                  <c:v>43.394578660000001</c:v>
                </c:pt>
                <c:pt idx="11">
                  <c:v>43.782298869999998</c:v>
                </c:pt>
                <c:pt idx="12">
                  <c:v>44.123985959999999</c:v>
                </c:pt>
                <c:pt idx="13">
                  <c:v>44.426793949999997</c:v>
                </c:pt>
                <c:pt idx="14">
                  <c:v>44.696388259999999</c:v>
                </c:pt>
                <c:pt idx="15">
                  <c:v>44.937327019999998</c:v>
                </c:pt>
                <c:pt idx="16">
                  <c:v>45.153328399999999</c:v>
                </c:pt>
                <c:pt idx="17">
                  <c:v>45.347462159999999</c:v>
                </c:pt>
                <c:pt idx="18">
                  <c:v>45.522290079999998</c:v>
                </c:pt>
                <c:pt idx="19">
                  <c:v>45.67997038</c:v>
                </c:pt>
                <c:pt idx="20">
                  <c:v>45.822336970000002</c:v>
                </c:pt>
                <c:pt idx="21">
                  <c:v>45.950960160000001</c:v>
                </c:pt>
                <c:pt idx="22">
                  <c:v>46.067194020000002</c:v>
                </c:pt>
                <c:pt idx="23">
                  <c:v>46.172213579999998</c:v>
                </c:pt>
                <c:pt idx="24">
                  <c:v>46.267044560000002</c:v>
                </c:pt>
                <c:pt idx="25">
                  <c:v>46.352586440000003</c:v>
                </c:pt>
                <c:pt idx="26">
                  <c:v>46.429633510000002</c:v>
                </c:pt>
                <c:pt idx="27">
                  <c:v>46.498888340000001</c:v>
                </c:pt>
                <c:pt idx="28">
                  <c:v>46.56097639</c:v>
                </c:pt>
                <c:pt idx="29">
                  <c:v>46.616456149999998</c:v>
                </c:pt>
                <c:pt idx="30">
                  <c:v>46.665828169999997</c:v>
                </c:pt>
                <c:pt idx="31">
                  <c:v>46.709542669999998</c:v>
                </c:pt>
                <c:pt idx="32">
                  <c:v>46.748005800000001</c:v>
                </c:pt>
                <c:pt idx="33">
                  <c:v>46.781585149999998</c:v>
                </c:pt>
                <c:pt idx="34">
                  <c:v>46.810614270000002</c:v>
                </c:pt>
                <c:pt idx="35">
                  <c:v>46.835396670000002</c:v>
                </c:pt>
                <c:pt idx="36">
                  <c:v>46.856209190000001</c:v>
                </c:pt>
                <c:pt idx="37">
                  <c:v>46.865206710000002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FD-42E3-B28C-9D83EC3E779E}"/>
            </c:ext>
          </c:extLst>
        </c:ser>
        <c:ser>
          <c:idx val="3"/>
          <c:order val="4"/>
          <c:tx>
            <c:v>P10 boys</c:v>
          </c:tx>
          <c:spPr>
            <a:ln w="6350" cap="rnd">
              <a:solidFill>
                <a:srgbClr val="00B0F0">
                  <a:alpha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head4age!$B$2:$B$39</c:f>
              <c:numCache>
                <c:formatCode>0.00</c:formatCode>
                <c:ptCount val="38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2.0416666666666665</c:v>
                </c:pt>
                <c:pt idx="26">
                  <c:v>2.125</c:v>
                </c:pt>
                <c:pt idx="27">
                  <c:v>2.2083333333333335</c:v>
                </c:pt>
                <c:pt idx="28">
                  <c:v>2.2916666666666665</c:v>
                </c:pt>
                <c:pt idx="29">
                  <c:v>2.375</c:v>
                </c:pt>
                <c:pt idx="30">
                  <c:v>2.4583333333333335</c:v>
                </c:pt>
                <c:pt idx="31">
                  <c:v>2.5416666666666665</c:v>
                </c:pt>
                <c:pt idx="32">
                  <c:v>2.625</c:v>
                </c:pt>
                <c:pt idx="33">
                  <c:v>2.7083333333333335</c:v>
                </c:pt>
                <c:pt idx="34">
                  <c:v>2.7916666666666665</c:v>
                </c:pt>
                <c:pt idx="35">
                  <c:v>2.875</c:v>
                </c:pt>
                <c:pt idx="36">
                  <c:v>2.9583333333333335</c:v>
                </c:pt>
                <c:pt idx="37">
                  <c:v>3</c:v>
                </c:pt>
              </c:numCache>
            </c:numRef>
          </c:xVal>
          <c:yVal>
            <c:numRef>
              <c:f>head4age!$H$2:$H$39</c:f>
              <c:numCache>
                <c:formatCode>General</c:formatCode>
                <c:ptCount val="38"/>
                <c:pt idx="0">
                  <c:v>33.083894919999999</c:v>
                </c:pt>
                <c:pt idx="1">
                  <c:v>34.672527170000002</c:v>
                </c:pt>
                <c:pt idx="2">
                  <c:v>36.973768450000001</c:v>
                </c:pt>
                <c:pt idx="3">
                  <c:v>38.607244289999997</c:v>
                </c:pt>
                <c:pt idx="4">
                  <c:v>39.851228050000003</c:v>
                </c:pt>
                <c:pt idx="5">
                  <c:v>40.841135800000004</c:v>
                </c:pt>
                <c:pt idx="6">
                  <c:v>41.652905629999999</c:v>
                </c:pt>
                <c:pt idx="7">
                  <c:v>42.33330145</c:v>
                </c:pt>
                <c:pt idx="8">
                  <c:v>42.913111280000003</c:v>
                </c:pt>
                <c:pt idx="9">
                  <c:v>43.413647040000001</c:v>
                </c:pt>
                <c:pt idx="10">
                  <c:v>43.850250549999998</c:v>
                </c:pt>
                <c:pt idx="11">
                  <c:v>44.23431798</c:v>
                </c:pt>
                <c:pt idx="12">
                  <c:v>44.574535570000002</c:v>
                </c:pt>
                <c:pt idx="13">
                  <c:v>44.877668120000003</c:v>
                </c:pt>
                <c:pt idx="14">
                  <c:v>45.149081160000001</c:v>
                </c:pt>
                <c:pt idx="15">
                  <c:v>45.393097689999998</c:v>
                </c:pt>
                <c:pt idx="16">
                  <c:v>45.613248550000002</c:v>
                </c:pt>
                <c:pt idx="17">
                  <c:v>45.812452270000001</c:v>
                </c:pt>
                <c:pt idx="18">
                  <c:v>45.993146850000002</c:v>
                </c:pt>
                <c:pt idx="19">
                  <c:v>46.1573882</c:v>
                </c:pt>
                <c:pt idx="20">
                  <c:v>46.306924629999997</c:v>
                </c:pt>
                <c:pt idx="21">
                  <c:v>46.4432543</c:v>
                </c:pt>
                <c:pt idx="22">
                  <c:v>46.56766983</c:v>
                </c:pt>
                <c:pt idx="23">
                  <c:v>46.681293570000001</c:v>
                </c:pt>
                <c:pt idx="24">
                  <c:v>46.78510558</c:v>
                </c:pt>
                <c:pt idx="25">
                  <c:v>46.879966410000002</c:v>
                </c:pt>
                <c:pt idx="26">
                  <c:v>46.966634880000001</c:v>
                </c:pt>
                <c:pt idx="27">
                  <c:v>47.045783700000001</c:v>
                </c:pt>
                <c:pt idx="28">
                  <c:v>47.118011330000002</c:v>
                </c:pt>
                <c:pt idx="29">
                  <c:v>47.18385241</c:v>
                </c:pt>
                <c:pt idx="30">
                  <c:v>47.243786249999999</c:v>
                </c:pt>
                <c:pt idx="31">
                  <c:v>47.29824404</c:v>
                </c:pt>
                <c:pt idx="32">
                  <c:v>47.347614890000003</c:v>
                </c:pt>
                <c:pt idx="33">
                  <c:v>47.392250990000001</c:v>
                </c:pt>
                <c:pt idx="34">
                  <c:v>47.43247203</c:v>
                </c:pt>
                <c:pt idx="35">
                  <c:v>47.468568939999997</c:v>
                </c:pt>
                <c:pt idx="36">
                  <c:v>47.50080715</c:v>
                </c:pt>
                <c:pt idx="37">
                  <c:v>47.515555919999997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3FD-42E3-B28C-9D83EC3E779E}"/>
            </c:ext>
          </c:extLst>
        </c:ser>
        <c:ser>
          <c:idx val="4"/>
          <c:order val="5"/>
          <c:tx>
            <c:v>P25 boys</c:v>
          </c:tx>
          <c:spPr>
            <a:ln w="6350" cap="rnd">
              <a:solidFill>
                <a:srgbClr val="00B0F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head4age!$B$2:$B$39</c:f>
              <c:numCache>
                <c:formatCode>0.00</c:formatCode>
                <c:ptCount val="38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2.0416666666666665</c:v>
                </c:pt>
                <c:pt idx="26">
                  <c:v>2.125</c:v>
                </c:pt>
                <c:pt idx="27">
                  <c:v>2.2083333333333335</c:v>
                </c:pt>
                <c:pt idx="28">
                  <c:v>2.2916666666666665</c:v>
                </c:pt>
                <c:pt idx="29">
                  <c:v>2.375</c:v>
                </c:pt>
                <c:pt idx="30">
                  <c:v>2.4583333333333335</c:v>
                </c:pt>
                <c:pt idx="31">
                  <c:v>2.5416666666666665</c:v>
                </c:pt>
                <c:pt idx="32">
                  <c:v>2.625</c:v>
                </c:pt>
                <c:pt idx="33">
                  <c:v>2.7083333333333335</c:v>
                </c:pt>
                <c:pt idx="34">
                  <c:v>2.7916666666666665</c:v>
                </c:pt>
                <c:pt idx="35">
                  <c:v>2.875</c:v>
                </c:pt>
                <c:pt idx="36">
                  <c:v>2.9583333333333335</c:v>
                </c:pt>
                <c:pt idx="37">
                  <c:v>3</c:v>
                </c:pt>
              </c:numCache>
            </c:numRef>
          </c:xVal>
          <c:yVal>
            <c:numRef>
              <c:f>head4age!$I$2:$I$39</c:f>
              <c:numCache>
                <c:formatCode>General</c:formatCode>
                <c:ptCount val="38"/>
                <c:pt idx="0">
                  <c:v>34.469518030000003</c:v>
                </c:pt>
                <c:pt idx="1">
                  <c:v>35.939867710000001</c:v>
                </c:pt>
                <c:pt idx="2">
                  <c:v>38.078776070000004</c:v>
                </c:pt>
                <c:pt idx="3">
                  <c:v>39.60636994</c:v>
                </c:pt>
                <c:pt idx="4">
                  <c:v>40.77712846</c:v>
                </c:pt>
                <c:pt idx="5">
                  <c:v>41.714833669999997</c:v>
                </c:pt>
                <c:pt idx="6">
                  <c:v>42.488888719999999</c:v>
                </c:pt>
                <c:pt idx="7">
                  <c:v>43.14204136</c:v>
                </c:pt>
                <c:pt idx="8">
                  <c:v>43.702454279999998</c:v>
                </c:pt>
                <c:pt idx="9">
                  <c:v>44.18963565</c:v>
                </c:pt>
                <c:pt idx="10">
                  <c:v>44.617644310000003</c:v>
                </c:pt>
                <c:pt idx="11">
                  <c:v>44.996935190000002</c:v>
                </c:pt>
                <c:pt idx="12">
                  <c:v>45.335486789999997</c:v>
                </c:pt>
                <c:pt idx="13">
                  <c:v>45.639520400000002</c:v>
                </c:pt>
                <c:pt idx="14">
                  <c:v>45.913976519999999</c:v>
                </c:pt>
                <c:pt idx="15">
                  <c:v>46.162840439999997</c:v>
                </c:pt>
                <c:pt idx="16">
                  <c:v>46.389370929999998</c:v>
                </c:pt>
                <c:pt idx="17">
                  <c:v>46.596264599999998</c:v>
                </c:pt>
                <c:pt idx="18">
                  <c:v>46.78577645</c:v>
                </c:pt>
                <c:pt idx="19">
                  <c:v>46.959809960000001</c:v>
                </c:pt>
                <c:pt idx="20">
                  <c:v>47.119985399999997</c:v>
                </c:pt>
                <c:pt idx="21">
                  <c:v>47.267692500000003</c:v>
                </c:pt>
                <c:pt idx="22">
                  <c:v>47.404131399999997</c:v>
                </c:pt>
                <c:pt idx="23">
                  <c:v>47.530345089999997</c:v>
                </c:pt>
                <c:pt idx="24">
                  <c:v>47.647244919999999</c:v>
                </c:pt>
                <c:pt idx="25">
                  <c:v>47.755632669999997</c:v>
                </c:pt>
                <c:pt idx="26">
                  <c:v>47.856214360000003</c:v>
                </c:pt>
                <c:pt idx="27">
                  <c:v>47.9496179</c:v>
                </c:pt>
                <c:pt idx="28">
                  <c:v>48.036401720000001</c:v>
                </c:pt>
                <c:pt idx="29">
                  <c:v>48.117065259999997</c:v>
                </c:pt>
                <c:pt idx="30">
                  <c:v>48.19205668</c:v>
                </c:pt>
                <c:pt idx="31">
                  <c:v>48.261779519999997</c:v>
                </c:pt>
                <c:pt idx="32">
                  <c:v>48.326598279999999</c:v>
                </c:pt>
                <c:pt idx="33">
                  <c:v>48.386843220000003</c:v>
                </c:pt>
                <c:pt idx="34">
                  <c:v>48.442814390000002</c:v>
                </c:pt>
                <c:pt idx="35">
                  <c:v>48.494785129999997</c:v>
                </c:pt>
                <c:pt idx="36">
                  <c:v>48.543005090000001</c:v>
                </c:pt>
                <c:pt idx="37">
                  <c:v>48.565780709999999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3FD-42E3-B28C-9D83EC3E779E}"/>
            </c:ext>
          </c:extLst>
        </c:ser>
        <c:ser>
          <c:idx val="5"/>
          <c:order val="6"/>
          <c:tx>
            <c:v>P50 boys</c:v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head4age!$B$2:$B$39</c:f>
              <c:numCache>
                <c:formatCode>0.00</c:formatCode>
                <c:ptCount val="38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2.0416666666666665</c:v>
                </c:pt>
                <c:pt idx="26">
                  <c:v>2.125</c:v>
                </c:pt>
                <c:pt idx="27">
                  <c:v>2.2083333333333335</c:v>
                </c:pt>
                <c:pt idx="28">
                  <c:v>2.2916666666666665</c:v>
                </c:pt>
                <c:pt idx="29">
                  <c:v>2.375</c:v>
                </c:pt>
                <c:pt idx="30">
                  <c:v>2.4583333333333335</c:v>
                </c:pt>
                <c:pt idx="31">
                  <c:v>2.5416666666666665</c:v>
                </c:pt>
                <c:pt idx="32">
                  <c:v>2.625</c:v>
                </c:pt>
                <c:pt idx="33">
                  <c:v>2.7083333333333335</c:v>
                </c:pt>
                <c:pt idx="34">
                  <c:v>2.7916666666666665</c:v>
                </c:pt>
                <c:pt idx="35">
                  <c:v>2.875</c:v>
                </c:pt>
                <c:pt idx="36">
                  <c:v>2.9583333333333335</c:v>
                </c:pt>
                <c:pt idx="37">
                  <c:v>3</c:v>
                </c:pt>
              </c:numCache>
            </c:numRef>
          </c:xVal>
          <c:yVal>
            <c:numRef>
              <c:f>head4age!$J$2:$J$39</c:f>
              <c:numCache>
                <c:formatCode>General</c:formatCode>
                <c:ptCount val="38"/>
                <c:pt idx="0">
                  <c:v>35.81366835</c:v>
                </c:pt>
                <c:pt idx="1">
                  <c:v>37.193610540000002</c:v>
                </c:pt>
                <c:pt idx="2">
                  <c:v>39.20742929</c:v>
                </c:pt>
                <c:pt idx="3">
                  <c:v>40.652331949999997</c:v>
                </c:pt>
                <c:pt idx="4">
                  <c:v>41.765169589999999</c:v>
                </c:pt>
                <c:pt idx="5">
                  <c:v>42.661161479999997</c:v>
                </c:pt>
                <c:pt idx="6">
                  <c:v>43.404887309999999</c:v>
                </c:pt>
                <c:pt idx="7">
                  <c:v>44.036099229999998</c:v>
                </c:pt>
                <c:pt idx="8">
                  <c:v>44.580969119999999</c:v>
                </c:pt>
                <c:pt idx="9">
                  <c:v>45.057612149999997</c:v>
                </c:pt>
                <c:pt idx="10">
                  <c:v>45.479075600000002</c:v>
                </c:pt>
                <c:pt idx="11">
                  <c:v>45.85505706</c:v>
                </c:pt>
                <c:pt idx="12">
                  <c:v>46.192954270000001</c:v>
                </c:pt>
                <c:pt idx="13">
                  <c:v>46.498534380000002</c:v>
                </c:pt>
                <c:pt idx="14">
                  <c:v>46.776376839999998</c:v>
                </c:pt>
                <c:pt idx="15">
                  <c:v>47.030175989999996</c:v>
                </c:pt>
                <c:pt idx="16">
                  <c:v>47.2629533</c:v>
                </c:pt>
                <c:pt idx="17">
                  <c:v>47.477209889999997</c:v>
                </c:pt>
                <c:pt idx="18">
                  <c:v>47.67503833</c:v>
                </c:pt>
                <c:pt idx="19">
                  <c:v>47.858206060000001</c:v>
                </c:pt>
                <c:pt idx="20">
                  <c:v>48.028218670000001</c:v>
                </c:pt>
                <c:pt idx="21">
                  <c:v>48.186368639999998</c:v>
                </c:pt>
                <c:pt idx="22">
                  <c:v>48.333773200000003</c:v>
                </c:pt>
                <c:pt idx="23">
                  <c:v>48.471404319999998</c:v>
                </c:pt>
                <c:pt idx="24">
                  <c:v>48.600112230000001</c:v>
                </c:pt>
                <c:pt idx="25">
                  <c:v>48.720646209999998</c:v>
                </c:pt>
                <c:pt idx="26">
                  <c:v>48.833666289999996</c:v>
                </c:pt>
                <c:pt idx="27">
                  <c:v>48.939760890000002</c:v>
                </c:pt>
                <c:pt idx="28">
                  <c:v>49.039453829999999</c:v>
                </c:pt>
                <c:pt idx="29">
                  <c:v>49.13321432</c:v>
                </c:pt>
                <c:pt idx="30">
                  <c:v>49.221464089999998</c:v>
                </c:pt>
                <c:pt idx="31">
                  <c:v>49.304583479999998</c:v>
                </c:pt>
                <c:pt idx="32">
                  <c:v>49.38291658</c:v>
                </c:pt>
                <c:pt idx="33">
                  <c:v>49.456775690000001</c:v>
                </c:pt>
                <c:pt idx="34">
                  <c:v>49.526445000000002</c:v>
                </c:pt>
                <c:pt idx="35">
                  <c:v>49.592183849999998</c:v>
                </c:pt>
                <c:pt idx="36">
                  <c:v>49.654229520000001</c:v>
                </c:pt>
                <c:pt idx="37">
                  <c:v>49.683936109999998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3FD-42E3-B28C-9D83EC3E779E}"/>
            </c:ext>
          </c:extLst>
        </c:ser>
        <c:ser>
          <c:idx val="6"/>
          <c:order val="7"/>
          <c:tx>
            <c:v>P75 boys</c:v>
          </c:tx>
          <c:spPr>
            <a:ln w="6350" cap="rnd">
              <a:solidFill>
                <a:srgbClr val="00B0F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head4age!$B$2:$B$39</c:f>
              <c:numCache>
                <c:formatCode>0.00</c:formatCode>
                <c:ptCount val="38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2.0416666666666665</c:v>
                </c:pt>
                <c:pt idx="26">
                  <c:v>2.125</c:v>
                </c:pt>
                <c:pt idx="27">
                  <c:v>2.2083333333333335</c:v>
                </c:pt>
                <c:pt idx="28">
                  <c:v>2.2916666666666665</c:v>
                </c:pt>
                <c:pt idx="29">
                  <c:v>2.375</c:v>
                </c:pt>
                <c:pt idx="30">
                  <c:v>2.4583333333333335</c:v>
                </c:pt>
                <c:pt idx="31">
                  <c:v>2.5416666666666665</c:v>
                </c:pt>
                <c:pt idx="32">
                  <c:v>2.625</c:v>
                </c:pt>
                <c:pt idx="33">
                  <c:v>2.7083333333333335</c:v>
                </c:pt>
                <c:pt idx="34">
                  <c:v>2.7916666666666665</c:v>
                </c:pt>
                <c:pt idx="35">
                  <c:v>2.875</c:v>
                </c:pt>
                <c:pt idx="36">
                  <c:v>2.9583333333333335</c:v>
                </c:pt>
                <c:pt idx="37">
                  <c:v>3</c:v>
                </c:pt>
              </c:numCache>
            </c:numRef>
          </c:xVal>
          <c:yVal>
            <c:numRef>
              <c:f>head4age!$K$2:$K$39</c:f>
              <c:numCache>
                <c:formatCode>General</c:formatCode>
                <c:ptCount val="38"/>
                <c:pt idx="0">
                  <c:v>37.004261960000001</c:v>
                </c:pt>
                <c:pt idx="1">
                  <c:v>38.321254799999998</c:v>
                </c:pt>
                <c:pt idx="2">
                  <c:v>40.249867500000001</c:v>
                </c:pt>
                <c:pt idx="3">
                  <c:v>41.639679440000002</c:v>
                </c:pt>
                <c:pt idx="4">
                  <c:v>42.714549519999998</c:v>
                </c:pt>
                <c:pt idx="5">
                  <c:v>43.583582669999998</c:v>
                </c:pt>
                <c:pt idx="6">
                  <c:v>44.308010000000003</c:v>
                </c:pt>
                <c:pt idx="7">
                  <c:v>44.925548880000001</c:v>
                </c:pt>
                <c:pt idx="8">
                  <c:v>45.46103549</c:v>
                </c:pt>
                <c:pt idx="9">
                  <c:v>45.931658550000002</c:v>
                </c:pt>
                <c:pt idx="10">
                  <c:v>46.349792690000001</c:v>
                </c:pt>
                <c:pt idx="11">
                  <c:v>46.724630769999997</c:v>
                </c:pt>
                <c:pt idx="12">
                  <c:v>47.063181610000001</c:v>
                </c:pt>
                <c:pt idx="13">
                  <c:v>47.370906390000002</c:v>
                </c:pt>
                <c:pt idx="14">
                  <c:v>47.652139890000001</c:v>
                </c:pt>
                <c:pt idx="15">
                  <c:v>47.910378199999997</c:v>
                </c:pt>
                <c:pt idx="16">
                  <c:v>48.148480419999999</c:v>
                </c:pt>
                <c:pt idx="17">
                  <c:v>48.36881356</c:v>
                </c:pt>
                <c:pt idx="18">
                  <c:v>48.573358540000001</c:v>
                </c:pt>
                <c:pt idx="19">
                  <c:v>48.763789330000002</c:v>
                </c:pt>
                <c:pt idx="20">
                  <c:v>48.941532840000001</c:v>
                </c:pt>
                <c:pt idx="21">
                  <c:v>49.107814949999998</c:v>
                </c:pt>
                <c:pt idx="22">
                  <c:v>49.263696410000001</c:v>
                </c:pt>
                <c:pt idx="23">
                  <c:v>49.410100980000003</c:v>
                </c:pt>
                <c:pt idx="24">
                  <c:v>49.54783776</c:v>
                </c:pt>
                <c:pt idx="25">
                  <c:v>49.67762038</c:v>
                </c:pt>
                <c:pt idx="26">
                  <c:v>49.800078849999998</c:v>
                </c:pt>
                <c:pt idx="27">
                  <c:v>49.915775080000003</c:v>
                </c:pt>
                <c:pt idx="28">
                  <c:v>50.025210229999999</c:v>
                </c:pt>
                <c:pt idx="29">
                  <c:v>50.128833849999999</c:v>
                </c:pt>
                <c:pt idx="30">
                  <c:v>50.227050519999999</c:v>
                </c:pt>
                <c:pt idx="31">
                  <c:v>50.32022568</c:v>
                </c:pt>
                <c:pt idx="32">
                  <c:v>50.408690399999998</c:v>
                </c:pt>
                <c:pt idx="33">
                  <c:v>50.492745589999998</c:v>
                </c:pt>
                <c:pt idx="34">
                  <c:v>50.572665450000002</c:v>
                </c:pt>
                <c:pt idx="35">
                  <c:v>50.648700570000003</c:v>
                </c:pt>
                <c:pt idx="36">
                  <c:v>50.721080469999997</c:v>
                </c:pt>
                <c:pt idx="37">
                  <c:v>50.755966270000002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3FD-42E3-B28C-9D83EC3E779E}"/>
            </c:ext>
          </c:extLst>
        </c:ser>
        <c:ser>
          <c:idx val="7"/>
          <c:order val="8"/>
          <c:tx>
            <c:v>P90 boys</c:v>
          </c:tx>
          <c:spPr>
            <a:ln w="6350" cap="rnd">
              <a:solidFill>
                <a:srgbClr val="00B0F0">
                  <a:alpha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head4age!$B$2:$B$39</c:f>
              <c:numCache>
                <c:formatCode>0.00</c:formatCode>
                <c:ptCount val="38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2.0416666666666665</c:v>
                </c:pt>
                <c:pt idx="26">
                  <c:v>2.125</c:v>
                </c:pt>
                <c:pt idx="27">
                  <c:v>2.2083333333333335</c:v>
                </c:pt>
                <c:pt idx="28">
                  <c:v>2.2916666666666665</c:v>
                </c:pt>
                <c:pt idx="29">
                  <c:v>2.375</c:v>
                </c:pt>
                <c:pt idx="30">
                  <c:v>2.4583333333333335</c:v>
                </c:pt>
                <c:pt idx="31">
                  <c:v>2.5416666666666665</c:v>
                </c:pt>
                <c:pt idx="32">
                  <c:v>2.625</c:v>
                </c:pt>
                <c:pt idx="33">
                  <c:v>2.7083333333333335</c:v>
                </c:pt>
                <c:pt idx="34">
                  <c:v>2.7916666666666665</c:v>
                </c:pt>
                <c:pt idx="35">
                  <c:v>2.875</c:v>
                </c:pt>
                <c:pt idx="36">
                  <c:v>2.9583333333333335</c:v>
                </c:pt>
                <c:pt idx="37">
                  <c:v>3</c:v>
                </c:pt>
              </c:numCache>
            </c:numRef>
          </c:xVal>
          <c:yVal>
            <c:numRef>
              <c:f>head4age!$L$2:$L$39</c:f>
              <c:numCache>
                <c:formatCode>General</c:formatCode>
                <c:ptCount val="38"/>
                <c:pt idx="0">
                  <c:v>37.973794210000001</c:v>
                </c:pt>
                <c:pt idx="1">
                  <c:v>39.249885020000001</c:v>
                </c:pt>
                <c:pt idx="2">
                  <c:v>41.126050489999997</c:v>
                </c:pt>
                <c:pt idx="3">
                  <c:v>42.484355039999997</c:v>
                </c:pt>
                <c:pt idx="4">
                  <c:v>43.539016199999999</c:v>
                </c:pt>
                <c:pt idx="5">
                  <c:v>44.394715349999998</c:v>
                </c:pt>
                <c:pt idx="6">
                  <c:v>45.110343350000001</c:v>
                </c:pt>
                <c:pt idx="7">
                  <c:v>45.722254579999998</c:v>
                </c:pt>
                <c:pt idx="8">
                  <c:v>46.254428869999998</c:v>
                </c:pt>
                <c:pt idx="9">
                  <c:v>46.723490759999997</c:v>
                </c:pt>
                <c:pt idx="10">
                  <c:v>47.141423369999998</c:v>
                </c:pt>
                <c:pt idx="11">
                  <c:v>47.517138799999998</c:v>
                </c:pt>
                <c:pt idx="12">
                  <c:v>47.857438330000001</c:v>
                </c:pt>
                <c:pt idx="13">
                  <c:v>48.167625899999997</c:v>
                </c:pt>
                <c:pt idx="14">
                  <c:v>48.451914700000003</c:v>
                </c:pt>
                <c:pt idx="15">
                  <c:v>48.713705220000001</c:v>
                </c:pt>
                <c:pt idx="16">
                  <c:v>48.955780330000003</c:v>
                </c:pt>
                <c:pt idx="17">
                  <c:v>49.180445470000002</c:v>
                </c:pt>
                <c:pt idx="18">
                  <c:v>49.389631379999997</c:v>
                </c:pt>
                <c:pt idx="19">
                  <c:v>49.584970689999999</c:v>
                </c:pt>
                <c:pt idx="20">
                  <c:v>49.767856000000002</c:v>
                </c:pt>
                <c:pt idx="21">
                  <c:v>49.939484479999997</c:v>
                </c:pt>
                <c:pt idx="22">
                  <c:v>50.100892680000001</c:v>
                </c:pt>
                <c:pt idx="23">
                  <c:v>50.252983829999998</c:v>
                </c:pt>
                <c:pt idx="24">
                  <c:v>50.396549649999997</c:v>
                </c:pt>
                <c:pt idx="25">
                  <c:v>50.532288049999998</c:v>
                </c:pt>
                <c:pt idx="26">
                  <c:v>50.6608169</c:v>
                </c:pt>
                <c:pt idx="27">
                  <c:v>50.78268619</c:v>
                </c:pt>
                <c:pt idx="28">
                  <c:v>50.898387270000001</c:v>
                </c:pt>
                <c:pt idx="29">
                  <c:v>51.008360920000001</c:v>
                </c:pt>
                <c:pt idx="30">
                  <c:v>51.113003990000003</c:v>
                </c:pt>
                <c:pt idx="31">
                  <c:v>51.212674999999997</c:v>
                </c:pt>
                <c:pt idx="32">
                  <c:v>51.307698879999997</c:v>
                </c:pt>
                <c:pt idx="33">
                  <c:v>51.398370960000001</c:v>
                </c:pt>
                <c:pt idx="34">
                  <c:v>51.484960479999998</c:v>
                </c:pt>
                <c:pt idx="35">
                  <c:v>51.567713470000001</c:v>
                </c:pt>
                <c:pt idx="36">
                  <c:v>51.646855360000004</c:v>
                </c:pt>
                <c:pt idx="37">
                  <c:v>51.685137490000002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3FD-42E3-B28C-9D83EC3E779E}"/>
            </c:ext>
          </c:extLst>
        </c:ser>
        <c:ser>
          <c:idx val="8"/>
          <c:order val="9"/>
          <c:tx>
            <c:v>P95 boys</c:v>
          </c:tx>
          <c:spPr>
            <a:ln w="6350" cap="rnd">
              <a:solidFill>
                <a:srgbClr val="00B0F0">
                  <a:alpha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head4age!$B$2:$B$39</c:f>
              <c:numCache>
                <c:formatCode>0.00</c:formatCode>
                <c:ptCount val="38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2.0416666666666665</c:v>
                </c:pt>
                <c:pt idx="26">
                  <c:v>2.125</c:v>
                </c:pt>
                <c:pt idx="27">
                  <c:v>2.2083333333333335</c:v>
                </c:pt>
                <c:pt idx="28">
                  <c:v>2.2916666666666665</c:v>
                </c:pt>
                <c:pt idx="29">
                  <c:v>2.375</c:v>
                </c:pt>
                <c:pt idx="30">
                  <c:v>2.4583333333333335</c:v>
                </c:pt>
                <c:pt idx="31">
                  <c:v>2.5416666666666665</c:v>
                </c:pt>
                <c:pt idx="32">
                  <c:v>2.625</c:v>
                </c:pt>
                <c:pt idx="33">
                  <c:v>2.7083333333333335</c:v>
                </c:pt>
                <c:pt idx="34">
                  <c:v>2.7916666666666665</c:v>
                </c:pt>
                <c:pt idx="35">
                  <c:v>2.875</c:v>
                </c:pt>
                <c:pt idx="36">
                  <c:v>2.9583333333333335</c:v>
                </c:pt>
                <c:pt idx="37">
                  <c:v>3</c:v>
                </c:pt>
              </c:numCache>
            </c:numRef>
          </c:xVal>
          <c:yVal>
            <c:numRef>
              <c:f>head4age!$M$2:$M$39</c:f>
              <c:numCache>
                <c:formatCode>General</c:formatCode>
                <c:ptCount val="38"/>
                <c:pt idx="0">
                  <c:v>38.515740000000001</c:v>
                </c:pt>
                <c:pt idx="1">
                  <c:v>39.772615649999999</c:v>
                </c:pt>
                <c:pt idx="2">
                  <c:v>41.625814149999997</c:v>
                </c:pt>
                <c:pt idx="3">
                  <c:v>42.97189144</c:v>
                </c:pt>
                <c:pt idx="4">
                  <c:v>44.019844540000001</c:v>
                </c:pt>
                <c:pt idx="5">
                  <c:v>44.871972839999998</c:v>
                </c:pt>
                <c:pt idx="6">
                  <c:v>45.585926239999999</c:v>
                </c:pt>
                <c:pt idx="7">
                  <c:v>46.197358080000001</c:v>
                </c:pt>
                <c:pt idx="8">
                  <c:v>46.729827200000003</c:v>
                </c:pt>
                <c:pt idx="9">
                  <c:v>47.199700040000003</c:v>
                </c:pt>
                <c:pt idx="10">
                  <c:v>47.618795579999997</c:v>
                </c:pt>
                <c:pt idx="11">
                  <c:v>47.995920750000003</c:v>
                </c:pt>
                <c:pt idx="12">
                  <c:v>48.337808850000002</c:v>
                </c:pt>
                <c:pt idx="13">
                  <c:v>48.649719760000004</c:v>
                </c:pt>
                <c:pt idx="14">
                  <c:v>48.935838230000002</c:v>
                </c:pt>
                <c:pt idx="15">
                  <c:v>49.199546410000004</c:v>
                </c:pt>
                <c:pt idx="16">
                  <c:v>49.443615530000002</c:v>
                </c:pt>
                <c:pt idx="17">
                  <c:v>49.670343680000002</c:v>
                </c:pt>
                <c:pt idx="18">
                  <c:v>49.881656970000002</c:v>
                </c:pt>
                <c:pt idx="19">
                  <c:v>50.07918514</c:v>
                </c:pt>
                <c:pt idx="20">
                  <c:v>50.26431891</c:v>
                </c:pt>
                <c:pt idx="21">
                  <c:v>50.438254190000002</c:v>
                </c:pt>
                <c:pt idx="22">
                  <c:v>50.602026479999999</c:v>
                </c:pt>
                <c:pt idx="23">
                  <c:v>50.756538130000003</c:v>
                </c:pt>
                <c:pt idx="24">
                  <c:v>50.902580110000002</c:v>
                </c:pt>
                <c:pt idx="25">
                  <c:v>51.040848709999999</c:v>
                </c:pt>
                <c:pt idx="26">
                  <c:v>51.17196156</c:v>
                </c:pt>
                <c:pt idx="27">
                  <c:v>51.296466909999999</c:v>
                </c:pt>
                <c:pt idx="28">
                  <c:v>51.414854910000003</c:v>
                </c:pt>
                <c:pt idx="29">
                  <c:v>51.527564910000002</c:v>
                </c:pt>
                <c:pt idx="30">
                  <c:v>51.634992259999997</c:v>
                </c:pt>
                <c:pt idx="31">
                  <c:v>51.737493890000003</c:v>
                </c:pt>
                <c:pt idx="32">
                  <c:v>51.835393109999998</c:v>
                </c:pt>
                <c:pt idx="33">
                  <c:v>51.928983580000001</c:v>
                </c:pt>
                <c:pt idx="34">
                  <c:v>52.018532839999999</c:v>
                </c:pt>
                <c:pt idx="35">
                  <c:v>52.104285230000002</c:v>
                </c:pt>
                <c:pt idx="36">
                  <c:v>52.186464479999998</c:v>
                </c:pt>
                <c:pt idx="37">
                  <c:v>52.226279009999999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3FD-42E3-B28C-9D83EC3E779E}"/>
            </c:ext>
          </c:extLst>
        </c:ser>
        <c:ser>
          <c:idx val="9"/>
          <c:order val="10"/>
          <c:tx>
            <c:v>P97 boys</c:v>
          </c:tx>
          <c:spPr>
            <a:ln w="635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head4age!$B$2:$B$39</c:f>
              <c:numCache>
                <c:formatCode>0.00</c:formatCode>
                <c:ptCount val="38"/>
                <c:pt idx="0">
                  <c:v>0</c:v>
                </c:pt>
                <c:pt idx="1">
                  <c:v>4.1666666666666664E-2</c:v>
                </c:pt>
                <c:pt idx="2">
                  <c:v>0.125</c:v>
                </c:pt>
                <c:pt idx="3">
                  <c:v>0.20833333333333334</c:v>
                </c:pt>
                <c:pt idx="4">
                  <c:v>0.29166666666666669</c:v>
                </c:pt>
                <c:pt idx="5">
                  <c:v>0.375</c:v>
                </c:pt>
                <c:pt idx="6">
                  <c:v>0.45833333333333331</c:v>
                </c:pt>
                <c:pt idx="7">
                  <c:v>0.54166666666666663</c:v>
                </c:pt>
                <c:pt idx="8">
                  <c:v>0.625</c:v>
                </c:pt>
                <c:pt idx="9">
                  <c:v>0.70833333333333337</c:v>
                </c:pt>
                <c:pt idx="10">
                  <c:v>0.79166666666666663</c:v>
                </c:pt>
                <c:pt idx="11">
                  <c:v>0.875</c:v>
                </c:pt>
                <c:pt idx="12">
                  <c:v>0.95833333333333337</c:v>
                </c:pt>
                <c:pt idx="13">
                  <c:v>1.0416666666666667</c:v>
                </c:pt>
                <c:pt idx="14">
                  <c:v>1.125</c:v>
                </c:pt>
                <c:pt idx="15">
                  <c:v>1.2083333333333333</c:v>
                </c:pt>
                <c:pt idx="16">
                  <c:v>1.2916666666666667</c:v>
                </c:pt>
                <c:pt idx="17">
                  <c:v>1.375</c:v>
                </c:pt>
                <c:pt idx="18">
                  <c:v>1.4583333333333333</c:v>
                </c:pt>
                <c:pt idx="19">
                  <c:v>1.5416666666666667</c:v>
                </c:pt>
                <c:pt idx="20">
                  <c:v>1.625</c:v>
                </c:pt>
                <c:pt idx="21">
                  <c:v>1.7083333333333333</c:v>
                </c:pt>
                <c:pt idx="22">
                  <c:v>1.7916666666666667</c:v>
                </c:pt>
                <c:pt idx="23">
                  <c:v>1.875</c:v>
                </c:pt>
                <c:pt idx="24">
                  <c:v>1.9583333333333333</c:v>
                </c:pt>
                <c:pt idx="25">
                  <c:v>2.0416666666666665</c:v>
                </c:pt>
                <c:pt idx="26">
                  <c:v>2.125</c:v>
                </c:pt>
                <c:pt idx="27">
                  <c:v>2.2083333333333335</c:v>
                </c:pt>
                <c:pt idx="28">
                  <c:v>2.2916666666666665</c:v>
                </c:pt>
                <c:pt idx="29">
                  <c:v>2.375</c:v>
                </c:pt>
                <c:pt idx="30">
                  <c:v>2.4583333333333335</c:v>
                </c:pt>
                <c:pt idx="31">
                  <c:v>2.5416666666666665</c:v>
                </c:pt>
                <c:pt idx="32">
                  <c:v>2.625</c:v>
                </c:pt>
                <c:pt idx="33">
                  <c:v>2.7083333333333335</c:v>
                </c:pt>
                <c:pt idx="34">
                  <c:v>2.7916666666666665</c:v>
                </c:pt>
                <c:pt idx="35">
                  <c:v>2.875</c:v>
                </c:pt>
                <c:pt idx="36">
                  <c:v>2.9583333333333335</c:v>
                </c:pt>
                <c:pt idx="37">
                  <c:v>3</c:v>
                </c:pt>
              </c:numCache>
            </c:numRef>
          </c:xVal>
          <c:yVal>
            <c:numRef>
              <c:f>head4age!$N$2:$N$39</c:f>
              <c:numCache>
                <c:formatCode>General</c:formatCode>
                <c:ptCount val="38"/>
                <c:pt idx="0">
                  <c:v>38.854172169999998</c:v>
                </c:pt>
                <c:pt idx="1">
                  <c:v>40.100284449999997</c:v>
                </c:pt>
                <c:pt idx="2">
                  <c:v>41.941378729999997</c:v>
                </c:pt>
                <c:pt idx="3">
                  <c:v>43.281807749999999</c:v>
                </c:pt>
                <c:pt idx="4">
                  <c:v>44.327332300000002</c:v>
                </c:pt>
                <c:pt idx="5">
                  <c:v>45.178769459999998</c:v>
                </c:pt>
                <c:pt idx="6">
                  <c:v>45.89299742</c:v>
                </c:pt>
                <c:pt idx="7">
                  <c:v>46.50523827</c:v>
                </c:pt>
                <c:pt idx="8">
                  <c:v>47.038798249999999</c:v>
                </c:pt>
                <c:pt idx="9">
                  <c:v>47.509896949999998</c:v>
                </c:pt>
                <c:pt idx="10">
                  <c:v>47.930267460000003</c:v>
                </c:pt>
                <c:pt idx="11">
                  <c:v>48.308669090000002</c:v>
                </c:pt>
                <c:pt idx="12">
                  <c:v>48.651811070000001</c:v>
                </c:pt>
                <c:pt idx="13">
                  <c:v>48.964943669999997</c:v>
                </c:pt>
                <c:pt idx="14">
                  <c:v>49.252250760000003</c:v>
                </c:pt>
                <c:pt idx="15">
                  <c:v>49.51711865</c:v>
                </c:pt>
                <c:pt idx="16">
                  <c:v>49.76232529</c:v>
                </c:pt>
                <c:pt idx="17">
                  <c:v>49.990176609999999</c:v>
                </c:pt>
                <c:pt idx="18">
                  <c:v>50.202606750000001</c:v>
                </c:pt>
                <c:pt idx="19">
                  <c:v>50.401253019999999</c:v>
                </c:pt>
                <c:pt idx="20">
                  <c:v>50.587513039999997</c:v>
                </c:pt>
                <c:pt idx="21">
                  <c:v>50.762588710000003</c:v>
                </c:pt>
                <c:pt idx="22">
                  <c:v>50.927520680000001</c:v>
                </c:pt>
                <c:pt idx="23">
                  <c:v>51.083215500000001</c:v>
                </c:pt>
                <c:pt idx="24">
                  <c:v>51.230467670000003</c:v>
                </c:pt>
                <c:pt idx="25">
                  <c:v>51.369975680000003</c:v>
                </c:pt>
                <c:pt idx="26">
                  <c:v>51.502359769999998</c:v>
                </c:pt>
                <c:pt idx="27">
                  <c:v>51.628169229999997</c:v>
                </c:pt>
                <c:pt idx="28">
                  <c:v>51.747895190000001</c:v>
                </c:pt>
                <c:pt idx="29">
                  <c:v>51.861977500000002</c:v>
                </c:pt>
                <c:pt idx="30">
                  <c:v>51.970811640000001</c:v>
                </c:pt>
                <c:pt idx="31">
                  <c:v>52.074754400000003</c:v>
                </c:pt>
                <c:pt idx="32">
                  <c:v>52.174128680000003</c:v>
                </c:pt>
                <c:pt idx="33">
                  <c:v>52.269227579999999</c:v>
                </c:pt>
                <c:pt idx="34">
                  <c:v>52.360317889999997</c:v>
                </c:pt>
                <c:pt idx="35">
                  <c:v>52.447643110000001</c:v>
                </c:pt>
                <c:pt idx="36">
                  <c:v>52.531426029999999</c:v>
                </c:pt>
                <c:pt idx="37">
                  <c:v>52.57205364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3FD-42E3-B28C-9D83EC3E7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691968"/>
        <c:axId val="1597695296"/>
      </c:scatterChart>
      <c:valAx>
        <c:axId val="159769196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yr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695296"/>
        <c:crosses val="autoZero"/>
        <c:crossBetween val="midCat"/>
        <c:majorUnit val="1"/>
        <c:minorUnit val="0.25"/>
      </c:valAx>
      <c:valAx>
        <c:axId val="1597695296"/>
        <c:scaling>
          <c:orientation val="minMax"/>
          <c:max val="55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cm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691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BMI(age)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measurements1!$B$1</c:f>
              <c:strCache>
                <c:ptCount val="1"/>
                <c:pt idx="0">
                  <c:v>boy1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measurements1!$C$5:$C$7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measurements1!$K$5:$K$7</c:f>
              <c:numCache>
                <c:formatCode>0.0</c:formatCode>
                <c:ptCount val="3"/>
                <c:pt idx="0">
                  <c:v>14</c:v>
                </c:pt>
                <c:pt idx="1">
                  <c:v>17.777777777777779</c:v>
                </c:pt>
                <c:pt idx="2">
                  <c:v>16.141528925619834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A3-475E-8102-308D7776DD13}"/>
            </c:ext>
          </c:extLst>
        </c:ser>
        <c:ser>
          <c:idx val="10"/>
          <c:order val="1"/>
          <c:tx>
            <c:strRef>
              <c:f>measurements2!$B$1</c:f>
              <c:strCache>
                <c:ptCount val="1"/>
                <c:pt idx="0">
                  <c:v>boy2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measurements2!$C$5:$C$7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measurements2!$K$5:$K$7</c:f>
              <c:numCache>
                <c:formatCode>0.0</c:formatCode>
                <c:ptCount val="3"/>
                <c:pt idx="0">
                  <c:v>15.190972222222223</c:v>
                </c:pt>
                <c:pt idx="1">
                  <c:v>19.703509101144682</c:v>
                </c:pt>
                <c:pt idx="2">
                  <c:v>16.049382716049383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A3-475E-8102-308D7776DD13}"/>
            </c:ext>
          </c:extLst>
        </c:ser>
        <c:ser>
          <c:idx val="1"/>
          <c:order val="2"/>
          <c:tx>
            <c:v>P3 boys</c:v>
          </c:tx>
          <c:spPr>
            <a:ln w="635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bmi4age!$B$2:$B$220</c:f>
              <c:numCache>
                <c:formatCode>0.00</c:formatCode>
                <c:ptCount val="219"/>
                <c:pt idx="0">
                  <c:v>2</c:v>
                </c:pt>
                <c:pt idx="1">
                  <c:v>2.0416666666666665</c:v>
                </c:pt>
                <c:pt idx="2">
                  <c:v>2.125</c:v>
                </c:pt>
                <c:pt idx="3">
                  <c:v>2.2083333333333335</c:v>
                </c:pt>
                <c:pt idx="4">
                  <c:v>2.2916666666666665</c:v>
                </c:pt>
                <c:pt idx="5">
                  <c:v>2.375</c:v>
                </c:pt>
                <c:pt idx="6">
                  <c:v>2.4583333333333335</c:v>
                </c:pt>
                <c:pt idx="7">
                  <c:v>2.5416666666666665</c:v>
                </c:pt>
                <c:pt idx="8">
                  <c:v>2.625</c:v>
                </c:pt>
                <c:pt idx="9">
                  <c:v>2.7083333333333335</c:v>
                </c:pt>
                <c:pt idx="10">
                  <c:v>2.7916666666666665</c:v>
                </c:pt>
                <c:pt idx="11">
                  <c:v>2.875</c:v>
                </c:pt>
                <c:pt idx="12">
                  <c:v>2.9583333333333335</c:v>
                </c:pt>
                <c:pt idx="13">
                  <c:v>3.0416666666666665</c:v>
                </c:pt>
                <c:pt idx="14">
                  <c:v>3.125</c:v>
                </c:pt>
                <c:pt idx="15">
                  <c:v>3.2083333333333335</c:v>
                </c:pt>
                <c:pt idx="16">
                  <c:v>3.2916666666666665</c:v>
                </c:pt>
                <c:pt idx="17">
                  <c:v>3.375</c:v>
                </c:pt>
                <c:pt idx="18">
                  <c:v>3.4583333333333335</c:v>
                </c:pt>
                <c:pt idx="19">
                  <c:v>3.5416666666666665</c:v>
                </c:pt>
                <c:pt idx="20">
                  <c:v>3.625</c:v>
                </c:pt>
                <c:pt idx="21">
                  <c:v>3.7083333333333335</c:v>
                </c:pt>
                <c:pt idx="22">
                  <c:v>3.7916666666666665</c:v>
                </c:pt>
                <c:pt idx="23">
                  <c:v>3.875</c:v>
                </c:pt>
                <c:pt idx="24">
                  <c:v>3.9583333333333335</c:v>
                </c:pt>
                <c:pt idx="25">
                  <c:v>4.041666666666667</c:v>
                </c:pt>
                <c:pt idx="26">
                  <c:v>4.125</c:v>
                </c:pt>
                <c:pt idx="27">
                  <c:v>4.208333333333333</c:v>
                </c:pt>
                <c:pt idx="28">
                  <c:v>4.291666666666667</c:v>
                </c:pt>
                <c:pt idx="29">
                  <c:v>4.375</c:v>
                </c:pt>
                <c:pt idx="30">
                  <c:v>4.458333333333333</c:v>
                </c:pt>
                <c:pt idx="31">
                  <c:v>4.541666666666667</c:v>
                </c:pt>
                <c:pt idx="32">
                  <c:v>4.625</c:v>
                </c:pt>
                <c:pt idx="33">
                  <c:v>4.708333333333333</c:v>
                </c:pt>
                <c:pt idx="34">
                  <c:v>4.791666666666667</c:v>
                </c:pt>
                <c:pt idx="35">
                  <c:v>4.875</c:v>
                </c:pt>
                <c:pt idx="36">
                  <c:v>4.958333333333333</c:v>
                </c:pt>
                <c:pt idx="37">
                  <c:v>5.041666666666667</c:v>
                </c:pt>
                <c:pt idx="38">
                  <c:v>5.125</c:v>
                </c:pt>
                <c:pt idx="39">
                  <c:v>5.208333333333333</c:v>
                </c:pt>
                <c:pt idx="40">
                  <c:v>5.291666666666667</c:v>
                </c:pt>
                <c:pt idx="41">
                  <c:v>5.375</c:v>
                </c:pt>
                <c:pt idx="42">
                  <c:v>5.458333333333333</c:v>
                </c:pt>
                <c:pt idx="43">
                  <c:v>5.541666666666667</c:v>
                </c:pt>
                <c:pt idx="44">
                  <c:v>5.625</c:v>
                </c:pt>
                <c:pt idx="45">
                  <c:v>5.708333333333333</c:v>
                </c:pt>
                <c:pt idx="46">
                  <c:v>5.791666666666667</c:v>
                </c:pt>
                <c:pt idx="47">
                  <c:v>5.875</c:v>
                </c:pt>
                <c:pt idx="48">
                  <c:v>5.958333333333333</c:v>
                </c:pt>
                <c:pt idx="49">
                  <c:v>6.041666666666667</c:v>
                </c:pt>
                <c:pt idx="50">
                  <c:v>6.125</c:v>
                </c:pt>
                <c:pt idx="51">
                  <c:v>6.208333333333333</c:v>
                </c:pt>
                <c:pt idx="52">
                  <c:v>6.291666666666667</c:v>
                </c:pt>
                <c:pt idx="53">
                  <c:v>6.375</c:v>
                </c:pt>
                <c:pt idx="54">
                  <c:v>6.458333333333333</c:v>
                </c:pt>
                <c:pt idx="55">
                  <c:v>6.541666666666667</c:v>
                </c:pt>
                <c:pt idx="56">
                  <c:v>6.625</c:v>
                </c:pt>
                <c:pt idx="57">
                  <c:v>6.708333333333333</c:v>
                </c:pt>
                <c:pt idx="58">
                  <c:v>6.791666666666667</c:v>
                </c:pt>
                <c:pt idx="59">
                  <c:v>6.875</c:v>
                </c:pt>
                <c:pt idx="60">
                  <c:v>6.958333333333333</c:v>
                </c:pt>
                <c:pt idx="61">
                  <c:v>7.041666666666667</c:v>
                </c:pt>
                <c:pt idx="62">
                  <c:v>7.125</c:v>
                </c:pt>
                <c:pt idx="63">
                  <c:v>7.208333333333333</c:v>
                </c:pt>
                <c:pt idx="64">
                  <c:v>7.291666666666667</c:v>
                </c:pt>
                <c:pt idx="65">
                  <c:v>7.375</c:v>
                </c:pt>
                <c:pt idx="66">
                  <c:v>7.458333333333333</c:v>
                </c:pt>
                <c:pt idx="67">
                  <c:v>7.541666666666667</c:v>
                </c:pt>
                <c:pt idx="68">
                  <c:v>7.625</c:v>
                </c:pt>
                <c:pt idx="69">
                  <c:v>7.708333333333333</c:v>
                </c:pt>
                <c:pt idx="70">
                  <c:v>7.791666666666667</c:v>
                </c:pt>
                <c:pt idx="71">
                  <c:v>7.875</c:v>
                </c:pt>
                <c:pt idx="72">
                  <c:v>7.958333333333333</c:v>
                </c:pt>
                <c:pt idx="73">
                  <c:v>8.0416666666666661</c:v>
                </c:pt>
                <c:pt idx="74">
                  <c:v>8.125</c:v>
                </c:pt>
                <c:pt idx="75">
                  <c:v>8.2083333333333339</c:v>
                </c:pt>
                <c:pt idx="76">
                  <c:v>8.2916666666666661</c:v>
                </c:pt>
                <c:pt idx="77">
                  <c:v>8.375</c:v>
                </c:pt>
                <c:pt idx="78">
                  <c:v>8.4583333333333339</c:v>
                </c:pt>
                <c:pt idx="79">
                  <c:v>8.5416666666666661</c:v>
                </c:pt>
                <c:pt idx="80">
                  <c:v>8.625</c:v>
                </c:pt>
                <c:pt idx="81">
                  <c:v>8.7083333333333339</c:v>
                </c:pt>
                <c:pt idx="82">
                  <c:v>8.7916666666666661</c:v>
                </c:pt>
                <c:pt idx="83">
                  <c:v>8.875</c:v>
                </c:pt>
                <c:pt idx="84">
                  <c:v>8.9583333333333339</c:v>
                </c:pt>
                <c:pt idx="85">
                  <c:v>9.0416666666666661</c:v>
                </c:pt>
                <c:pt idx="86">
                  <c:v>9.125</c:v>
                </c:pt>
                <c:pt idx="87">
                  <c:v>9.2083333333333339</c:v>
                </c:pt>
                <c:pt idx="88">
                  <c:v>9.2916666666666661</c:v>
                </c:pt>
                <c:pt idx="89">
                  <c:v>9.375</c:v>
                </c:pt>
                <c:pt idx="90">
                  <c:v>9.4583333333333339</c:v>
                </c:pt>
                <c:pt idx="91">
                  <c:v>9.5416666666666661</c:v>
                </c:pt>
                <c:pt idx="92">
                  <c:v>9.625</c:v>
                </c:pt>
                <c:pt idx="93">
                  <c:v>9.7083333333333339</c:v>
                </c:pt>
                <c:pt idx="94">
                  <c:v>9.7916666666666661</c:v>
                </c:pt>
                <c:pt idx="95">
                  <c:v>9.875</c:v>
                </c:pt>
                <c:pt idx="96">
                  <c:v>9.9583333333333339</c:v>
                </c:pt>
                <c:pt idx="97">
                  <c:v>10.041666666666666</c:v>
                </c:pt>
                <c:pt idx="98">
                  <c:v>10.125</c:v>
                </c:pt>
                <c:pt idx="99">
                  <c:v>10.208333333333334</c:v>
                </c:pt>
                <c:pt idx="100">
                  <c:v>10.291666666666666</c:v>
                </c:pt>
                <c:pt idx="101">
                  <c:v>10.375</c:v>
                </c:pt>
                <c:pt idx="102">
                  <c:v>10.458333333333334</c:v>
                </c:pt>
                <c:pt idx="103">
                  <c:v>10.541666666666666</c:v>
                </c:pt>
                <c:pt idx="104">
                  <c:v>10.625</c:v>
                </c:pt>
                <c:pt idx="105">
                  <c:v>10.708333333333334</c:v>
                </c:pt>
                <c:pt idx="106">
                  <c:v>10.791666666666666</c:v>
                </c:pt>
                <c:pt idx="107">
                  <c:v>10.875</c:v>
                </c:pt>
                <c:pt idx="108">
                  <c:v>10.958333333333334</c:v>
                </c:pt>
                <c:pt idx="109">
                  <c:v>11.041666666666666</c:v>
                </c:pt>
                <c:pt idx="110">
                  <c:v>11.125</c:v>
                </c:pt>
                <c:pt idx="111">
                  <c:v>11.208333333333334</c:v>
                </c:pt>
                <c:pt idx="112">
                  <c:v>11.291666666666666</c:v>
                </c:pt>
                <c:pt idx="113">
                  <c:v>11.375</c:v>
                </c:pt>
                <c:pt idx="114">
                  <c:v>11.458333333333334</c:v>
                </c:pt>
                <c:pt idx="115">
                  <c:v>11.541666666666666</c:v>
                </c:pt>
                <c:pt idx="116">
                  <c:v>11.625</c:v>
                </c:pt>
                <c:pt idx="117">
                  <c:v>11.708333333333334</c:v>
                </c:pt>
                <c:pt idx="118">
                  <c:v>11.791666666666666</c:v>
                </c:pt>
                <c:pt idx="119">
                  <c:v>11.875</c:v>
                </c:pt>
                <c:pt idx="120">
                  <c:v>11.958333333333334</c:v>
                </c:pt>
                <c:pt idx="121">
                  <c:v>12.041666666666666</c:v>
                </c:pt>
                <c:pt idx="122">
                  <c:v>12.125</c:v>
                </c:pt>
                <c:pt idx="123">
                  <c:v>12.208333333333334</c:v>
                </c:pt>
                <c:pt idx="124">
                  <c:v>12.291666666666666</c:v>
                </c:pt>
                <c:pt idx="125">
                  <c:v>12.375</c:v>
                </c:pt>
                <c:pt idx="126">
                  <c:v>12.458333333333334</c:v>
                </c:pt>
                <c:pt idx="127">
                  <c:v>12.541666666666666</c:v>
                </c:pt>
                <c:pt idx="128">
                  <c:v>12.625</c:v>
                </c:pt>
                <c:pt idx="129">
                  <c:v>12.708333333333334</c:v>
                </c:pt>
                <c:pt idx="130">
                  <c:v>12.791666666666666</c:v>
                </c:pt>
                <c:pt idx="131">
                  <c:v>12.875</c:v>
                </c:pt>
                <c:pt idx="132">
                  <c:v>12.958333333333334</c:v>
                </c:pt>
                <c:pt idx="133">
                  <c:v>13.041666666666666</c:v>
                </c:pt>
                <c:pt idx="134">
                  <c:v>13.125</c:v>
                </c:pt>
                <c:pt idx="135">
                  <c:v>13.208333333333334</c:v>
                </c:pt>
                <c:pt idx="136">
                  <c:v>13.291666666666666</c:v>
                </c:pt>
                <c:pt idx="137">
                  <c:v>13.375</c:v>
                </c:pt>
                <c:pt idx="138">
                  <c:v>13.458333333333334</c:v>
                </c:pt>
                <c:pt idx="139">
                  <c:v>13.541666666666666</c:v>
                </c:pt>
                <c:pt idx="140">
                  <c:v>13.625</c:v>
                </c:pt>
                <c:pt idx="141">
                  <c:v>13.708333333333334</c:v>
                </c:pt>
                <c:pt idx="142">
                  <c:v>13.791666666666666</c:v>
                </c:pt>
                <c:pt idx="143">
                  <c:v>13.875</c:v>
                </c:pt>
                <c:pt idx="144">
                  <c:v>13.958333333333334</c:v>
                </c:pt>
                <c:pt idx="145">
                  <c:v>14.041666666666666</c:v>
                </c:pt>
                <c:pt idx="146">
                  <c:v>14.125</c:v>
                </c:pt>
                <c:pt idx="147">
                  <c:v>14.208333333333334</c:v>
                </c:pt>
                <c:pt idx="148">
                  <c:v>14.291666666666666</c:v>
                </c:pt>
                <c:pt idx="149">
                  <c:v>14.375</c:v>
                </c:pt>
                <c:pt idx="150">
                  <c:v>14.458333333333334</c:v>
                </c:pt>
                <c:pt idx="151">
                  <c:v>14.541666666666666</c:v>
                </c:pt>
                <c:pt idx="152">
                  <c:v>14.625</c:v>
                </c:pt>
                <c:pt idx="153">
                  <c:v>14.708333333333334</c:v>
                </c:pt>
                <c:pt idx="154">
                  <c:v>14.791666666666666</c:v>
                </c:pt>
                <c:pt idx="155">
                  <c:v>14.875</c:v>
                </c:pt>
                <c:pt idx="156">
                  <c:v>14.958333333333334</c:v>
                </c:pt>
                <c:pt idx="157">
                  <c:v>15.041666666666666</c:v>
                </c:pt>
                <c:pt idx="158">
                  <c:v>15.125</c:v>
                </c:pt>
                <c:pt idx="159">
                  <c:v>15.208333333333334</c:v>
                </c:pt>
                <c:pt idx="160">
                  <c:v>15.291666666666666</c:v>
                </c:pt>
                <c:pt idx="161">
                  <c:v>15.375</c:v>
                </c:pt>
                <c:pt idx="162">
                  <c:v>15.458333333333334</c:v>
                </c:pt>
                <c:pt idx="163">
                  <c:v>15.541666666666666</c:v>
                </c:pt>
                <c:pt idx="164">
                  <c:v>15.625</c:v>
                </c:pt>
                <c:pt idx="165">
                  <c:v>15.708333333333334</c:v>
                </c:pt>
                <c:pt idx="166">
                  <c:v>15.791666666666666</c:v>
                </c:pt>
                <c:pt idx="167">
                  <c:v>15.875</c:v>
                </c:pt>
                <c:pt idx="168">
                  <c:v>15.958333333333334</c:v>
                </c:pt>
                <c:pt idx="169">
                  <c:v>16.041666666666668</c:v>
                </c:pt>
                <c:pt idx="170">
                  <c:v>16.125</c:v>
                </c:pt>
                <c:pt idx="171">
                  <c:v>16.208333333333332</c:v>
                </c:pt>
                <c:pt idx="172">
                  <c:v>16.291666666666668</c:v>
                </c:pt>
                <c:pt idx="173">
                  <c:v>16.375</c:v>
                </c:pt>
                <c:pt idx="174">
                  <c:v>16.458333333333332</c:v>
                </c:pt>
                <c:pt idx="175">
                  <c:v>16.541666666666668</c:v>
                </c:pt>
                <c:pt idx="176">
                  <c:v>16.625</c:v>
                </c:pt>
                <c:pt idx="177">
                  <c:v>16.708333333333332</c:v>
                </c:pt>
                <c:pt idx="178">
                  <c:v>16.791666666666668</c:v>
                </c:pt>
                <c:pt idx="179">
                  <c:v>16.875</c:v>
                </c:pt>
                <c:pt idx="180">
                  <c:v>16.958333333333332</c:v>
                </c:pt>
                <c:pt idx="181">
                  <c:v>17.041666666666668</c:v>
                </c:pt>
                <c:pt idx="182">
                  <c:v>17.125</c:v>
                </c:pt>
                <c:pt idx="183">
                  <c:v>17.208333333333332</c:v>
                </c:pt>
                <c:pt idx="184">
                  <c:v>17.291666666666668</c:v>
                </c:pt>
                <c:pt idx="185">
                  <c:v>17.375</c:v>
                </c:pt>
                <c:pt idx="186">
                  <c:v>17.458333333333332</c:v>
                </c:pt>
                <c:pt idx="187">
                  <c:v>17.541666666666668</c:v>
                </c:pt>
                <c:pt idx="188">
                  <c:v>17.625</c:v>
                </c:pt>
                <c:pt idx="189">
                  <c:v>17.708333333333332</c:v>
                </c:pt>
                <c:pt idx="190">
                  <c:v>17.791666666666668</c:v>
                </c:pt>
                <c:pt idx="191">
                  <c:v>17.875</c:v>
                </c:pt>
                <c:pt idx="192">
                  <c:v>17.958333333333332</c:v>
                </c:pt>
                <c:pt idx="193">
                  <c:v>18.041666666666668</c:v>
                </c:pt>
                <c:pt idx="194">
                  <c:v>18.125</c:v>
                </c:pt>
                <c:pt idx="195">
                  <c:v>18.208333333333332</c:v>
                </c:pt>
                <c:pt idx="196">
                  <c:v>18.291666666666668</c:v>
                </c:pt>
                <c:pt idx="197">
                  <c:v>18.375</c:v>
                </c:pt>
                <c:pt idx="198">
                  <c:v>18.458333333333332</c:v>
                </c:pt>
                <c:pt idx="199">
                  <c:v>18.541666666666668</c:v>
                </c:pt>
                <c:pt idx="200">
                  <c:v>18.625</c:v>
                </c:pt>
                <c:pt idx="201">
                  <c:v>18.708333333333332</c:v>
                </c:pt>
                <c:pt idx="202">
                  <c:v>18.791666666666668</c:v>
                </c:pt>
                <c:pt idx="203">
                  <c:v>18.875</c:v>
                </c:pt>
                <c:pt idx="204">
                  <c:v>18.958333333333332</c:v>
                </c:pt>
                <c:pt idx="205">
                  <c:v>19.041666666666668</c:v>
                </c:pt>
                <c:pt idx="206">
                  <c:v>19.125</c:v>
                </c:pt>
                <c:pt idx="207">
                  <c:v>19.208333333333332</c:v>
                </c:pt>
                <c:pt idx="208">
                  <c:v>19.291666666666668</c:v>
                </c:pt>
                <c:pt idx="209">
                  <c:v>19.375</c:v>
                </c:pt>
                <c:pt idx="210">
                  <c:v>19.458333333333332</c:v>
                </c:pt>
                <c:pt idx="211">
                  <c:v>19.541666666666668</c:v>
                </c:pt>
                <c:pt idx="212">
                  <c:v>19.625</c:v>
                </c:pt>
                <c:pt idx="213">
                  <c:v>19.708333333333332</c:v>
                </c:pt>
                <c:pt idx="214">
                  <c:v>19.791666666666668</c:v>
                </c:pt>
                <c:pt idx="215">
                  <c:v>19.875</c:v>
                </c:pt>
                <c:pt idx="216">
                  <c:v>19.958333333333332</c:v>
                </c:pt>
                <c:pt idx="217">
                  <c:v>20</c:v>
                </c:pt>
                <c:pt idx="218">
                  <c:v>20.041666666666668</c:v>
                </c:pt>
              </c:numCache>
            </c:numRef>
          </c:xVal>
          <c:yVal>
            <c:numRef>
              <c:f>bmi4age!$F$2:$F$220</c:f>
              <c:numCache>
                <c:formatCode>General</c:formatCode>
                <c:ptCount val="219"/>
                <c:pt idx="0">
                  <c:v>14.520953328999999</c:v>
                </c:pt>
                <c:pt idx="1">
                  <c:v>14.503476668999999</c:v>
                </c:pt>
                <c:pt idx="2">
                  <c:v>14.46882381</c:v>
                </c:pt>
                <c:pt idx="3">
                  <c:v>14.434597370000001</c:v>
                </c:pt>
                <c:pt idx="4">
                  <c:v>14.400828277</c:v>
                </c:pt>
                <c:pt idx="5">
                  <c:v>14.367547175</c:v>
                </c:pt>
                <c:pt idx="6">
                  <c:v>14.334784135</c:v>
                </c:pt>
                <c:pt idx="7">
                  <c:v>14.302568372</c:v>
                </c:pt>
                <c:pt idx="8">
                  <c:v>14.270928334000001</c:v>
                </c:pt>
                <c:pt idx="9">
                  <c:v>14.239889707</c:v>
                </c:pt>
                <c:pt idx="10">
                  <c:v>14.209478198999999</c:v>
                </c:pt>
                <c:pt idx="11">
                  <c:v>14.179716981</c:v>
                </c:pt>
                <c:pt idx="12">
                  <c:v>14.150627151</c:v>
                </c:pt>
                <c:pt idx="13">
                  <c:v>14.122227569</c:v>
                </c:pt>
                <c:pt idx="14">
                  <c:v>14.094534131</c:v>
                </c:pt>
                <c:pt idx="15">
                  <c:v>14.067563285</c:v>
                </c:pt>
                <c:pt idx="16">
                  <c:v>14.041322876000001</c:v>
                </c:pt>
                <c:pt idx="17">
                  <c:v>14.015824303</c:v>
                </c:pt>
                <c:pt idx="18">
                  <c:v>13.991073321</c:v>
                </c:pt>
                <c:pt idx="19">
                  <c:v>13.967074386</c:v>
                </c:pt>
                <c:pt idx="20">
                  <c:v>13.943826979000001</c:v>
                </c:pt>
                <c:pt idx="21">
                  <c:v>13.921331901</c:v>
                </c:pt>
                <c:pt idx="22">
                  <c:v>13.899586602999999</c:v>
                </c:pt>
                <c:pt idx="23">
                  <c:v>13.878583524</c:v>
                </c:pt>
                <c:pt idx="24">
                  <c:v>13.858315817999999</c:v>
                </c:pt>
                <c:pt idx="25">
                  <c:v>13.838774042000001</c:v>
                </c:pt>
                <c:pt idx="26">
                  <c:v>13.819947108999999</c:v>
                </c:pt>
                <c:pt idx="27">
                  <c:v>13.801822530000001</c:v>
                </c:pt>
                <c:pt idx="28">
                  <c:v>13.784386668</c:v>
                </c:pt>
                <c:pt idx="29">
                  <c:v>13.767626047</c:v>
                </c:pt>
                <c:pt idx="30">
                  <c:v>13.751522482</c:v>
                </c:pt>
                <c:pt idx="31">
                  <c:v>13.736063680000001</c:v>
                </c:pt>
                <c:pt idx="32">
                  <c:v>13.721233222</c:v>
                </c:pt>
                <c:pt idx="33">
                  <c:v>13.707015988</c:v>
                </c:pt>
                <c:pt idx="34">
                  <c:v>13.693397391</c:v>
                </c:pt>
                <c:pt idx="35">
                  <c:v>13.680362417</c:v>
                </c:pt>
                <c:pt idx="36">
                  <c:v>13.667899624</c:v>
                </c:pt>
                <c:pt idx="37">
                  <c:v>13.655996831</c:v>
                </c:pt>
                <c:pt idx="38">
                  <c:v>13.644643533</c:v>
                </c:pt>
                <c:pt idx="39">
                  <c:v>13.633830562</c:v>
                </c:pt>
                <c:pt idx="40">
                  <c:v>13.623549065000001</c:v>
                </c:pt>
                <c:pt idx="41">
                  <c:v>13.613794519000001</c:v>
                </c:pt>
                <c:pt idx="42">
                  <c:v>13.604561063</c:v>
                </c:pt>
                <c:pt idx="43">
                  <c:v>13.595844997</c:v>
                </c:pt>
                <c:pt idx="44">
                  <c:v>13.587643873999999</c:v>
                </c:pt>
                <c:pt idx="45">
                  <c:v>13.579956424000001</c:v>
                </c:pt>
                <c:pt idx="46">
                  <c:v>13.572782447</c:v>
                </c:pt>
                <c:pt idx="47">
                  <c:v>13.566122717000001</c:v>
                </c:pt>
                <c:pt idx="48">
                  <c:v>13.559978867</c:v>
                </c:pt>
                <c:pt idx="49">
                  <c:v>13.554353286</c:v>
                </c:pt>
                <c:pt idx="50">
                  <c:v>13.549249014000001</c:v>
                </c:pt>
                <c:pt idx="51">
                  <c:v>13.544669635</c:v>
                </c:pt>
                <c:pt idx="52">
                  <c:v>13.540618386</c:v>
                </c:pt>
                <c:pt idx="53">
                  <c:v>13.537100972999999</c:v>
                </c:pt>
                <c:pt idx="54">
                  <c:v>13.534121468</c:v>
                </c:pt>
                <c:pt idx="55">
                  <c:v>13.531684723</c:v>
                </c:pt>
                <c:pt idx="56">
                  <c:v>13.529795725</c:v>
                </c:pt>
                <c:pt idx="57">
                  <c:v>13.528459943</c:v>
                </c:pt>
                <c:pt idx="58">
                  <c:v>13.527681304</c:v>
                </c:pt>
                <c:pt idx="59">
                  <c:v>13.527465647</c:v>
                </c:pt>
                <c:pt idx="60">
                  <c:v>13.527817944000001</c:v>
                </c:pt>
                <c:pt idx="61">
                  <c:v>13.528743049999999</c:v>
                </c:pt>
                <c:pt idx="62">
                  <c:v>13.530245676</c:v>
                </c:pt>
                <c:pt idx="63">
                  <c:v>13.532330364</c:v>
                </c:pt>
                <c:pt idx="64">
                  <c:v>13.535001468000001</c:v>
                </c:pt>
                <c:pt idx="65">
                  <c:v>13.538263144</c:v>
                </c:pt>
                <c:pt idx="66">
                  <c:v>13.542119379000001</c:v>
                </c:pt>
                <c:pt idx="67">
                  <c:v>13.546573748</c:v>
                </c:pt>
                <c:pt idx="68">
                  <c:v>13.551629882</c:v>
                </c:pt>
                <c:pt idx="69">
                  <c:v>13.557290983</c:v>
                </c:pt>
                <c:pt idx="70">
                  <c:v>13.563560058</c:v>
                </c:pt>
                <c:pt idx="71">
                  <c:v>13.570439865000001</c:v>
                </c:pt>
                <c:pt idx="72">
                  <c:v>13.577932908999999</c:v>
                </c:pt>
                <c:pt idx="73">
                  <c:v>13.586041435</c:v>
                </c:pt>
                <c:pt idx="74">
                  <c:v>13.594767424</c:v>
                </c:pt>
                <c:pt idx="75">
                  <c:v>13.604112455999999</c:v>
                </c:pt>
                <c:pt idx="76">
                  <c:v>13.614078441</c:v>
                </c:pt>
                <c:pt idx="77">
                  <c:v>13.624666113</c:v>
                </c:pt>
                <c:pt idx="78">
                  <c:v>13.635876526000001</c:v>
                </c:pt>
                <c:pt idx="79">
                  <c:v>13.64771054</c:v>
                </c:pt>
                <c:pt idx="80">
                  <c:v>13.660168532</c:v>
                </c:pt>
                <c:pt idx="81">
                  <c:v>13.673250382000001</c:v>
                </c:pt>
                <c:pt idx="82">
                  <c:v>13.686956839</c:v>
                </c:pt>
                <c:pt idx="83">
                  <c:v>13.701287124</c:v>
                </c:pt>
                <c:pt idx="84">
                  <c:v>13.716241033999999</c:v>
                </c:pt>
                <c:pt idx="85">
                  <c:v>13.731816758000001</c:v>
                </c:pt>
                <c:pt idx="86">
                  <c:v>13.748014703000001</c:v>
                </c:pt>
                <c:pt idx="87">
                  <c:v>13.764833246</c:v>
                </c:pt>
                <c:pt idx="88">
                  <c:v>13.782270842000001</c:v>
                </c:pt>
                <c:pt idx="89">
                  <c:v>13.800325929</c:v>
                </c:pt>
                <c:pt idx="90">
                  <c:v>13.818996662</c:v>
                </c:pt>
                <c:pt idx="91">
                  <c:v>13.838280984000001</c:v>
                </c:pt>
                <c:pt idx="92">
                  <c:v>13.858176630000001</c:v>
                </c:pt>
                <c:pt idx="93">
                  <c:v>13.878681126</c:v>
                </c:pt>
                <c:pt idx="94">
                  <c:v>13.899791796000001</c:v>
                </c:pt>
                <c:pt idx="95">
                  <c:v>13.921505762000001</c:v>
                </c:pt>
                <c:pt idx="96">
                  <c:v>13.94381995</c:v>
                </c:pt>
                <c:pt idx="97">
                  <c:v>13.966731092</c:v>
                </c:pt>
                <c:pt idx="98">
                  <c:v>13.990235805999999</c:v>
                </c:pt>
                <c:pt idx="99">
                  <c:v>14.014330207</c:v>
                </c:pt>
                <c:pt idx="100">
                  <c:v>14.039010696</c:v>
                </c:pt>
                <c:pt idx="101">
                  <c:v>14.064273173</c:v>
                </c:pt>
                <c:pt idx="102">
                  <c:v>14.090113437999999</c:v>
                </c:pt>
                <c:pt idx="103">
                  <c:v>14.116527107</c:v>
                </c:pt>
                <c:pt idx="104">
                  <c:v>14.143509616999999</c:v>
                </c:pt>
                <c:pt idx="105">
                  <c:v>14.171056231</c:v>
                </c:pt>
                <c:pt idx="106">
                  <c:v>14.199162032</c:v>
                </c:pt>
                <c:pt idx="107">
                  <c:v>14.227821930999999</c:v>
                </c:pt>
                <c:pt idx="108">
                  <c:v>14.257030662</c:v>
                </c:pt>
                <c:pt idx="109">
                  <c:v>14.286782789</c:v>
                </c:pt>
                <c:pt idx="110">
                  <c:v>14.317072704999999</c:v>
                </c:pt>
                <c:pt idx="111">
                  <c:v>14.347894631000001</c:v>
                </c:pt>
                <c:pt idx="112">
                  <c:v>14.379242621</c:v>
                </c:pt>
                <c:pt idx="113">
                  <c:v>14.411109333000001</c:v>
                </c:pt>
                <c:pt idx="114">
                  <c:v>14.443490382</c:v>
                </c:pt>
                <c:pt idx="115">
                  <c:v>14.476378606000001</c:v>
                </c:pt>
                <c:pt idx="116">
                  <c:v>14.509767412</c:v>
                </c:pt>
                <c:pt idx="117">
                  <c:v>14.543650049</c:v>
                </c:pt>
                <c:pt idx="118">
                  <c:v>14.57801961</c:v>
                </c:pt>
                <c:pt idx="119">
                  <c:v>14.612869033000001</c:v>
                </c:pt>
                <c:pt idx="120">
                  <c:v>14.648191101</c:v>
                </c:pt>
                <c:pt idx="121">
                  <c:v>14.683978443000001</c:v>
                </c:pt>
                <c:pt idx="122">
                  <c:v>14.720223539999999</c:v>
                </c:pt>
                <c:pt idx="123">
                  <c:v>14.75691872</c:v>
                </c:pt>
                <c:pt idx="124">
                  <c:v>14.794056164000001</c:v>
                </c:pt>
                <c:pt idx="125">
                  <c:v>14.831627905</c:v>
                </c:pt>
                <c:pt idx="126">
                  <c:v>14.869625831</c:v>
                </c:pt>
                <c:pt idx="127">
                  <c:v>14.908041684000001</c:v>
                </c:pt>
                <c:pt idx="128">
                  <c:v>14.946867064999999</c:v>
                </c:pt>
                <c:pt idx="129">
                  <c:v>14.986093432000001</c:v>
                </c:pt>
                <c:pt idx="130">
                  <c:v>15.025712104</c:v>
                </c:pt>
                <c:pt idx="131">
                  <c:v>15.065714261</c:v>
                </c:pt>
                <c:pt idx="132">
                  <c:v>15.106090947</c:v>
                </c:pt>
                <c:pt idx="133">
                  <c:v>15.146833067999999</c:v>
                </c:pt>
                <c:pt idx="134">
                  <c:v>15.1879314</c:v>
                </c:pt>
                <c:pt idx="135">
                  <c:v>15.229376584000001</c:v>
                </c:pt>
                <c:pt idx="136">
                  <c:v>15.271159133999999</c:v>
                </c:pt>
                <c:pt idx="137">
                  <c:v>15.313269432</c:v>
                </c:pt>
                <c:pt idx="138">
                  <c:v>15.355697735</c:v>
                </c:pt>
                <c:pt idx="139">
                  <c:v>15.398434176</c:v>
                </c:pt>
                <c:pt idx="140">
                  <c:v>15.441468765</c:v>
                </c:pt>
                <c:pt idx="141">
                  <c:v>15.484791389</c:v>
                </c:pt>
                <c:pt idx="142">
                  <c:v>15.52839182</c:v>
                </c:pt>
                <c:pt idx="143">
                  <c:v>15.572259709000001</c:v>
                </c:pt>
                <c:pt idx="144">
                  <c:v>15.616384596</c:v>
                </c:pt>
                <c:pt idx="145">
                  <c:v>15.660755908000001</c:v>
                </c:pt>
                <c:pt idx="146">
                  <c:v>15.70536296</c:v>
                </c:pt>
                <c:pt idx="147">
                  <c:v>15.750194963</c:v>
                </c:pt>
                <c:pt idx="148">
                  <c:v>15.795241019000001</c:v>
                </c:pt>
                <c:pt idx="149">
                  <c:v>15.840490130999999</c:v>
                </c:pt>
                <c:pt idx="150">
                  <c:v>15.885931199</c:v>
                </c:pt>
                <c:pt idx="151">
                  <c:v>15.931553027</c:v>
                </c:pt>
                <c:pt idx="152">
                  <c:v>15.977344323000001</c:v>
                </c:pt>
                <c:pt idx="153">
                  <c:v>16.023293705</c:v>
                </c:pt>
                <c:pt idx="154">
                  <c:v>16.069389697999998</c:v>
                </c:pt>
                <c:pt idx="155">
                  <c:v>16.115620744000001</c:v>
                </c:pt>
                <c:pt idx="156">
                  <c:v>16.161975197</c:v>
                </c:pt>
                <c:pt idx="157">
                  <c:v>16.208441335</c:v>
                </c:pt>
                <c:pt idx="158">
                  <c:v>16.255007353</c:v>
                </c:pt>
                <c:pt idx="159">
                  <c:v>16.301661372000002</c:v>
                </c:pt>
                <c:pt idx="160">
                  <c:v>16.348391441</c:v>
                </c:pt>
                <c:pt idx="161">
                  <c:v>16.395185538</c:v>
                </c:pt>
                <c:pt idx="162">
                  <c:v>16.442031574000001</c:v>
                </c:pt>
                <c:pt idx="163">
                  <c:v>16.488917395000001</c:v>
                </c:pt>
                <c:pt idx="164">
                  <c:v>16.535830786999998</c:v>
                </c:pt>
                <c:pt idx="165">
                  <c:v>16.582759471999999</c:v>
                </c:pt>
                <c:pt idx="166">
                  <c:v>16.62969112</c:v>
                </c:pt>
                <c:pt idx="167">
                  <c:v>16.676613339999999</c:v>
                </c:pt>
                <c:pt idx="168">
                  <c:v>16.723513693000001</c:v>
                </c:pt>
                <c:pt idx="169">
                  <c:v>16.770379685999998</c:v>
                </c:pt>
                <c:pt idx="170">
                  <c:v>16.817198778000002</c:v>
                </c:pt>
                <c:pt idx="171">
                  <c:v>16.863958376999999</c:v>
                </c:pt>
                <c:pt idx="172">
                  <c:v>16.910646681999999</c:v>
                </c:pt>
                <c:pt idx="173">
                  <c:v>16.957249256000001</c:v>
                </c:pt>
                <c:pt idx="174">
                  <c:v>17.003754296</c:v>
                </c:pt>
                <c:pt idx="175">
                  <c:v>17.050149022999999</c:v>
                </c:pt>
                <c:pt idx="176">
                  <c:v>17.096420616</c:v>
                </c:pt>
                <c:pt idx="177">
                  <c:v>17.142556204000002</c:v>
                </c:pt>
                <c:pt idx="178">
                  <c:v>17.188542868999999</c:v>
                </c:pt>
                <c:pt idx="179">
                  <c:v>17.234367641999999</c:v>
                </c:pt>
                <c:pt idx="180">
                  <c:v>17.280017501</c:v>
                </c:pt>
                <c:pt idx="181">
                  <c:v>17.325479371</c:v>
                </c:pt>
                <c:pt idx="182">
                  <c:v>17.370740117</c:v>
                </c:pt>
                <c:pt idx="183">
                  <c:v>17.415786537999999</c:v>
                </c:pt>
                <c:pt idx="184">
                  <c:v>17.46060537</c:v>
                </c:pt>
                <c:pt idx="185">
                  <c:v>17.505183272</c:v>
                </c:pt>
                <c:pt idx="186">
                  <c:v>17.549506825000002</c:v>
                </c:pt>
                <c:pt idx="187">
                  <c:v>17.593562521999999</c:v>
                </c:pt>
                <c:pt idx="188">
                  <c:v>17.637336764</c:v>
                </c:pt>
                <c:pt idx="189">
                  <c:v>17.680815846000002</c:v>
                </c:pt>
                <c:pt idx="190">
                  <c:v>17.723985953</c:v>
                </c:pt>
                <c:pt idx="191">
                  <c:v>17.766833147</c:v>
                </c:pt>
                <c:pt idx="192">
                  <c:v>17.809343234</c:v>
                </c:pt>
                <c:pt idx="193">
                  <c:v>17.851502186000001</c:v>
                </c:pt>
                <c:pt idx="194">
                  <c:v>17.893294718</c:v>
                </c:pt>
                <c:pt idx="195">
                  <c:v>17.934708987</c:v>
                </c:pt>
                <c:pt idx="196">
                  <c:v>17.975728091000001</c:v>
                </c:pt>
                <c:pt idx="197">
                  <c:v>18.016336079999999</c:v>
                </c:pt>
                <c:pt idx="198">
                  <c:v>18.056519892000001</c:v>
                </c:pt>
                <c:pt idx="199">
                  <c:v>18.096263440000001</c:v>
                </c:pt>
                <c:pt idx="200">
                  <c:v>18.135551116999999</c:v>
                </c:pt>
                <c:pt idx="201">
                  <c:v>18.174367057000001</c:v>
                </c:pt>
                <c:pt idx="202">
                  <c:v>18.212695115999999</c:v>
                </c:pt>
                <c:pt idx="203">
                  <c:v>18.250518862</c:v>
                </c:pt>
                <c:pt idx="204">
                  <c:v>18.287822536</c:v>
                </c:pt>
                <c:pt idx="205">
                  <c:v>18.3245866</c:v>
                </c:pt>
                <c:pt idx="206">
                  <c:v>18.360795645</c:v>
                </c:pt>
                <c:pt idx="207">
                  <c:v>18.396431372999999</c:v>
                </c:pt>
                <c:pt idx="208">
                  <c:v>18.431475638999999</c:v>
                </c:pt>
                <c:pt idx="209">
                  <c:v>18.465909907</c:v>
                </c:pt>
                <c:pt idx="210">
                  <c:v>18.499715238</c:v>
                </c:pt>
                <c:pt idx="211">
                  <c:v>18.532872276999999</c:v>
                </c:pt>
                <c:pt idx="212">
                  <c:v>18.565361241000002</c:v>
                </c:pt>
                <c:pt idx="213">
                  <c:v>18.597160159000001</c:v>
                </c:pt>
                <c:pt idx="214">
                  <c:v>18.628251422000002</c:v>
                </c:pt>
                <c:pt idx="215">
                  <c:v>18.658612451</c:v>
                </c:pt>
                <c:pt idx="216">
                  <c:v>18.688221612</c:v>
                </c:pt>
                <c:pt idx="217">
                  <c:v>18.702737405000001</c:v>
                </c:pt>
                <c:pt idx="218">
                  <c:v>18.717056794000001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A3-475E-8102-308D7776DD13}"/>
            </c:ext>
          </c:extLst>
        </c:ser>
        <c:ser>
          <c:idx val="2"/>
          <c:order val="3"/>
          <c:tx>
            <c:v>P5 boys</c:v>
          </c:tx>
          <c:spPr>
            <a:ln w="6350" cap="rnd">
              <a:solidFill>
                <a:srgbClr val="00B0F0">
                  <a:alpha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bmi4age!$B$2:$B$220</c:f>
              <c:numCache>
                <c:formatCode>0.00</c:formatCode>
                <c:ptCount val="219"/>
                <c:pt idx="0">
                  <c:v>2</c:v>
                </c:pt>
                <c:pt idx="1">
                  <c:v>2.0416666666666665</c:v>
                </c:pt>
                <c:pt idx="2">
                  <c:v>2.125</c:v>
                </c:pt>
                <c:pt idx="3">
                  <c:v>2.2083333333333335</c:v>
                </c:pt>
                <c:pt idx="4">
                  <c:v>2.2916666666666665</c:v>
                </c:pt>
                <c:pt idx="5">
                  <c:v>2.375</c:v>
                </c:pt>
                <c:pt idx="6">
                  <c:v>2.4583333333333335</c:v>
                </c:pt>
                <c:pt idx="7">
                  <c:v>2.5416666666666665</c:v>
                </c:pt>
                <c:pt idx="8">
                  <c:v>2.625</c:v>
                </c:pt>
                <c:pt idx="9">
                  <c:v>2.7083333333333335</c:v>
                </c:pt>
                <c:pt idx="10">
                  <c:v>2.7916666666666665</c:v>
                </c:pt>
                <c:pt idx="11">
                  <c:v>2.875</c:v>
                </c:pt>
                <c:pt idx="12">
                  <c:v>2.9583333333333335</c:v>
                </c:pt>
                <c:pt idx="13">
                  <c:v>3.0416666666666665</c:v>
                </c:pt>
                <c:pt idx="14">
                  <c:v>3.125</c:v>
                </c:pt>
                <c:pt idx="15">
                  <c:v>3.2083333333333335</c:v>
                </c:pt>
                <c:pt idx="16">
                  <c:v>3.2916666666666665</c:v>
                </c:pt>
                <c:pt idx="17">
                  <c:v>3.375</c:v>
                </c:pt>
                <c:pt idx="18">
                  <c:v>3.4583333333333335</c:v>
                </c:pt>
                <c:pt idx="19">
                  <c:v>3.5416666666666665</c:v>
                </c:pt>
                <c:pt idx="20">
                  <c:v>3.625</c:v>
                </c:pt>
                <c:pt idx="21">
                  <c:v>3.7083333333333335</c:v>
                </c:pt>
                <c:pt idx="22">
                  <c:v>3.7916666666666665</c:v>
                </c:pt>
                <c:pt idx="23">
                  <c:v>3.875</c:v>
                </c:pt>
                <c:pt idx="24">
                  <c:v>3.9583333333333335</c:v>
                </c:pt>
                <c:pt idx="25">
                  <c:v>4.041666666666667</c:v>
                </c:pt>
                <c:pt idx="26">
                  <c:v>4.125</c:v>
                </c:pt>
                <c:pt idx="27">
                  <c:v>4.208333333333333</c:v>
                </c:pt>
                <c:pt idx="28">
                  <c:v>4.291666666666667</c:v>
                </c:pt>
                <c:pt idx="29">
                  <c:v>4.375</c:v>
                </c:pt>
                <c:pt idx="30">
                  <c:v>4.458333333333333</c:v>
                </c:pt>
                <c:pt idx="31">
                  <c:v>4.541666666666667</c:v>
                </c:pt>
                <c:pt idx="32">
                  <c:v>4.625</c:v>
                </c:pt>
                <c:pt idx="33">
                  <c:v>4.708333333333333</c:v>
                </c:pt>
                <c:pt idx="34">
                  <c:v>4.791666666666667</c:v>
                </c:pt>
                <c:pt idx="35">
                  <c:v>4.875</c:v>
                </c:pt>
                <c:pt idx="36">
                  <c:v>4.958333333333333</c:v>
                </c:pt>
                <c:pt idx="37">
                  <c:v>5.041666666666667</c:v>
                </c:pt>
                <c:pt idx="38">
                  <c:v>5.125</c:v>
                </c:pt>
                <c:pt idx="39">
                  <c:v>5.208333333333333</c:v>
                </c:pt>
                <c:pt idx="40">
                  <c:v>5.291666666666667</c:v>
                </c:pt>
                <c:pt idx="41">
                  <c:v>5.375</c:v>
                </c:pt>
                <c:pt idx="42">
                  <c:v>5.458333333333333</c:v>
                </c:pt>
                <c:pt idx="43">
                  <c:v>5.541666666666667</c:v>
                </c:pt>
                <c:pt idx="44">
                  <c:v>5.625</c:v>
                </c:pt>
                <c:pt idx="45">
                  <c:v>5.708333333333333</c:v>
                </c:pt>
                <c:pt idx="46">
                  <c:v>5.791666666666667</c:v>
                </c:pt>
                <c:pt idx="47">
                  <c:v>5.875</c:v>
                </c:pt>
                <c:pt idx="48">
                  <c:v>5.958333333333333</c:v>
                </c:pt>
                <c:pt idx="49">
                  <c:v>6.041666666666667</c:v>
                </c:pt>
                <c:pt idx="50">
                  <c:v>6.125</c:v>
                </c:pt>
                <c:pt idx="51">
                  <c:v>6.208333333333333</c:v>
                </c:pt>
                <c:pt idx="52">
                  <c:v>6.291666666666667</c:v>
                </c:pt>
                <c:pt idx="53">
                  <c:v>6.375</c:v>
                </c:pt>
                <c:pt idx="54">
                  <c:v>6.458333333333333</c:v>
                </c:pt>
                <c:pt idx="55">
                  <c:v>6.541666666666667</c:v>
                </c:pt>
                <c:pt idx="56">
                  <c:v>6.625</c:v>
                </c:pt>
                <c:pt idx="57">
                  <c:v>6.708333333333333</c:v>
                </c:pt>
                <c:pt idx="58">
                  <c:v>6.791666666666667</c:v>
                </c:pt>
                <c:pt idx="59">
                  <c:v>6.875</c:v>
                </c:pt>
                <c:pt idx="60">
                  <c:v>6.958333333333333</c:v>
                </c:pt>
                <c:pt idx="61">
                  <c:v>7.041666666666667</c:v>
                </c:pt>
                <c:pt idx="62">
                  <c:v>7.125</c:v>
                </c:pt>
                <c:pt idx="63">
                  <c:v>7.208333333333333</c:v>
                </c:pt>
                <c:pt idx="64">
                  <c:v>7.291666666666667</c:v>
                </c:pt>
                <c:pt idx="65">
                  <c:v>7.375</c:v>
                </c:pt>
                <c:pt idx="66">
                  <c:v>7.458333333333333</c:v>
                </c:pt>
                <c:pt idx="67">
                  <c:v>7.541666666666667</c:v>
                </c:pt>
                <c:pt idx="68">
                  <c:v>7.625</c:v>
                </c:pt>
                <c:pt idx="69">
                  <c:v>7.708333333333333</c:v>
                </c:pt>
                <c:pt idx="70">
                  <c:v>7.791666666666667</c:v>
                </c:pt>
                <c:pt idx="71">
                  <c:v>7.875</c:v>
                </c:pt>
                <c:pt idx="72">
                  <c:v>7.958333333333333</c:v>
                </c:pt>
                <c:pt idx="73">
                  <c:v>8.0416666666666661</c:v>
                </c:pt>
                <c:pt idx="74">
                  <c:v>8.125</c:v>
                </c:pt>
                <c:pt idx="75">
                  <c:v>8.2083333333333339</c:v>
                </c:pt>
                <c:pt idx="76">
                  <c:v>8.2916666666666661</c:v>
                </c:pt>
                <c:pt idx="77">
                  <c:v>8.375</c:v>
                </c:pt>
                <c:pt idx="78">
                  <c:v>8.4583333333333339</c:v>
                </c:pt>
                <c:pt idx="79">
                  <c:v>8.5416666666666661</c:v>
                </c:pt>
                <c:pt idx="80">
                  <c:v>8.625</c:v>
                </c:pt>
                <c:pt idx="81">
                  <c:v>8.7083333333333339</c:v>
                </c:pt>
                <c:pt idx="82">
                  <c:v>8.7916666666666661</c:v>
                </c:pt>
                <c:pt idx="83">
                  <c:v>8.875</c:v>
                </c:pt>
                <c:pt idx="84">
                  <c:v>8.9583333333333339</c:v>
                </c:pt>
                <c:pt idx="85">
                  <c:v>9.0416666666666661</c:v>
                </c:pt>
                <c:pt idx="86">
                  <c:v>9.125</c:v>
                </c:pt>
                <c:pt idx="87">
                  <c:v>9.2083333333333339</c:v>
                </c:pt>
                <c:pt idx="88">
                  <c:v>9.2916666666666661</c:v>
                </c:pt>
                <c:pt idx="89">
                  <c:v>9.375</c:v>
                </c:pt>
                <c:pt idx="90">
                  <c:v>9.4583333333333339</c:v>
                </c:pt>
                <c:pt idx="91">
                  <c:v>9.5416666666666661</c:v>
                </c:pt>
                <c:pt idx="92">
                  <c:v>9.625</c:v>
                </c:pt>
                <c:pt idx="93">
                  <c:v>9.7083333333333339</c:v>
                </c:pt>
                <c:pt idx="94">
                  <c:v>9.7916666666666661</c:v>
                </c:pt>
                <c:pt idx="95">
                  <c:v>9.875</c:v>
                </c:pt>
                <c:pt idx="96">
                  <c:v>9.9583333333333339</c:v>
                </c:pt>
                <c:pt idx="97">
                  <c:v>10.041666666666666</c:v>
                </c:pt>
                <c:pt idx="98">
                  <c:v>10.125</c:v>
                </c:pt>
                <c:pt idx="99">
                  <c:v>10.208333333333334</c:v>
                </c:pt>
                <c:pt idx="100">
                  <c:v>10.291666666666666</c:v>
                </c:pt>
                <c:pt idx="101">
                  <c:v>10.375</c:v>
                </c:pt>
                <c:pt idx="102">
                  <c:v>10.458333333333334</c:v>
                </c:pt>
                <c:pt idx="103">
                  <c:v>10.541666666666666</c:v>
                </c:pt>
                <c:pt idx="104">
                  <c:v>10.625</c:v>
                </c:pt>
                <c:pt idx="105">
                  <c:v>10.708333333333334</c:v>
                </c:pt>
                <c:pt idx="106">
                  <c:v>10.791666666666666</c:v>
                </c:pt>
                <c:pt idx="107">
                  <c:v>10.875</c:v>
                </c:pt>
                <c:pt idx="108">
                  <c:v>10.958333333333334</c:v>
                </c:pt>
                <c:pt idx="109">
                  <c:v>11.041666666666666</c:v>
                </c:pt>
                <c:pt idx="110">
                  <c:v>11.125</c:v>
                </c:pt>
                <c:pt idx="111">
                  <c:v>11.208333333333334</c:v>
                </c:pt>
                <c:pt idx="112">
                  <c:v>11.291666666666666</c:v>
                </c:pt>
                <c:pt idx="113">
                  <c:v>11.375</c:v>
                </c:pt>
                <c:pt idx="114">
                  <c:v>11.458333333333334</c:v>
                </c:pt>
                <c:pt idx="115">
                  <c:v>11.541666666666666</c:v>
                </c:pt>
                <c:pt idx="116">
                  <c:v>11.625</c:v>
                </c:pt>
                <c:pt idx="117">
                  <c:v>11.708333333333334</c:v>
                </c:pt>
                <c:pt idx="118">
                  <c:v>11.791666666666666</c:v>
                </c:pt>
                <c:pt idx="119">
                  <c:v>11.875</c:v>
                </c:pt>
                <c:pt idx="120">
                  <c:v>11.958333333333334</c:v>
                </c:pt>
                <c:pt idx="121">
                  <c:v>12.041666666666666</c:v>
                </c:pt>
                <c:pt idx="122">
                  <c:v>12.125</c:v>
                </c:pt>
                <c:pt idx="123">
                  <c:v>12.208333333333334</c:v>
                </c:pt>
                <c:pt idx="124">
                  <c:v>12.291666666666666</c:v>
                </c:pt>
                <c:pt idx="125">
                  <c:v>12.375</c:v>
                </c:pt>
                <c:pt idx="126">
                  <c:v>12.458333333333334</c:v>
                </c:pt>
                <c:pt idx="127">
                  <c:v>12.541666666666666</c:v>
                </c:pt>
                <c:pt idx="128">
                  <c:v>12.625</c:v>
                </c:pt>
                <c:pt idx="129">
                  <c:v>12.708333333333334</c:v>
                </c:pt>
                <c:pt idx="130">
                  <c:v>12.791666666666666</c:v>
                </c:pt>
                <c:pt idx="131">
                  <c:v>12.875</c:v>
                </c:pt>
                <c:pt idx="132">
                  <c:v>12.958333333333334</c:v>
                </c:pt>
                <c:pt idx="133">
                  <c:v>13.041666666666666</c:v>
                </c:pt>
                <c:pt idx="134">
                  <c:v>13.125</c:v>
                </c:pt>
                <c:pt idx="135">
                  <c:v>13.208333333333334</c:v>
                </c:pt>
                <c:pt idx="136">
                  <c:v>13.291666666666666</c:v>
                </c:pt>
                <c:pt idx="137">
                  <c:v>13.375</c:v>
                </c:pt>
                <c:pt idx="138">
                  <c:v>13.458333333333334</c:v>
                </c:pt>
                <c:pt idx="139">
                  <c:v>13.541666666666666</c:v>
                </c:pt>
                <c:pt idx="140">
                  <c:v>13.625</c:v>
                </c:pt>
                <c:pt idx="141">
                  <c:v>13.708333333333334</c:v>
                </c:pt>
                <c:pt idx="142">
                  <c:v>13.791666666666666</c:v>
                </c:pt>
                <c:pt idx="143">
                  <c:v>13.875</c:v>
                </c:pt>
                <c:pt idx="144">
                  <c:v>13.958333333333334</c:v>
                </c:pt>
                <c:pt idx="145">
                  <c:v>14.041666666666666</c:v>
                </c:pt>
                <c:pt idx="146">
                  <c:v>14.125</c:v>
                </c:pt>
                <c:pt idx="147">
                  <c:v>14.208333333333334</c:v>
                </c:pt>
                <c:pt idx="148">
                  <c:v>14.291666666666666</c:v>
                </c:pt>
                <c:pt idx="149">
                  <c:v>14.375</c:v>
                </c:pt>
                <c:pt idx="150">
                  <c:v>14.458333333333334</c:v>
                </c:pt>
                <c:pt idx="151">
                  <c:v>14.541666666666666</c:v>
                </c:pt>
                <c:pt idx="152">
                  <c:v>14.625</c:v>
                </c:pt>
                <c:pt idx="153">
                  <c:v>14.708333333333334</c:v>
                </c:pt>
                <c:pt idx="154">
                  <c:v>14.791666666666666</c:v>
                </c:pt>
                <c:pt idx="155">
                  <c:v>14.875</c:v>
                </c:pt>
                <c:pt idx="156">
                  <c:v>14.958333333333334</c:v>
                </c:pt>
                <c:pt idx="157">
                  <c:v>15.041666666666666</c:v>
                </c:pt>
                <c:pt idx="158">
                  <c:v>15.125</c:v>
                </c:pt>
                <c:pt idx="159">
                  <c:v>15.208333333333334</c:v>
                </c:pt>
                <c:pt idx="160">
                  <c:v>15.291666666666666</c:v>
                </c:pt>
                <c:pt idx="161">
                  <c:v>15.375</c:v>
                </c:pt>
                <c:pt idx="162">
                  <c:v>15.458333333333334</c:v>
                </c:pt>
                <c:pt idx="163">
                  <c:v>15.541666666666666</c:v>
                </c:pt>
                <c:pt idx="164">
                  <c:v>15.625</c:v>
                </c:pt>
                <c:pt idx="165">
                  <c:v>15.708333333333334</c:v>
                </c:pt>
                <c:pt idx="166">
                  <c:v>15.791666666666666</c:v>
                </c:pt>
                <c:pt idx="167">
                  <c:v>15.875</c:v>
                </c:pt>
                <c:pt idx="168">
                  <c:v>15.958333333333334</c:v>
                </c:pt>
                <c:pt idx="169">
                  <c:v>16.041666666666668</c:v>
                </c:pt>
                <c:pt idx="170">
                  <c:v>16.125</c:v>
                </c:pt>
                <c:pt idx="171">
                  <c:v>16.208333333333332</c:v>
                </c:pt>
                <c:pt idx="172">
                  <c:v>16.291666666666668</c:v>
                </c:pt>
                <c:pt idx="173">
                  <c:v>16.375</c:v>
                </c:pt>
                <c:pt idx="174">
                  <c:v>16.458333333333332</c:v>
                </c:pt>
                <c:pt idx="175">
                  <c:v>16.541666666666668</c:v>
                </c:pt>
                <c:pt idx="176">
                  <c:v>16.625</c:v>
                </c:pt>
                <c:pt idx="177">
                  <c:v>16.708333333333332</c:v>
                </c:pt>
                <c:pt idx="178">
                  <c:v>16.791666666666668</c:v>
                </c:pt>
                <c:pt idx="179">
                  <c:v>16.875</c:v>
                </c:pt>
                <c:pt idx="180">
                  <c:v>16.958333333333332</c:v>
                </c:pt>
                <c:pt idx="181">
                  <c:v>17.041666666666668</c:v>
                </c:pt>
                <c:pt idx="182">
                  <c:v>17.125</c:v>
                </c:pt>
                <c:pt idx="183">
                  <c:v>17.208333333333332</c:v>
                </c:pt>
                <c:pt idx="184">
                  <c:v>17.291666666666668</c:v>
                </c:pt>
                <c:pt idx="185">
                  <c:v>17.375</c:v>
                </c:pt>
                <c:pt idx="186">
                  <c:v>17.458333333333332</c:v>
                </c:pt>
                <c:pt idx="187">
                  <c:v>17.541666666666668</c:v>
                </c:pt>
                <c:pt idx="188">
                  <c:v>17.625</c:v>
                </c:pt>
                <c:pt idx="189">
                  <c:v>17.708333333333332</c:v>
                </c:pt>
                <c:pt idx="190">
                  <c:v>17.791666666666668</c:v>
                </c:pt>
                <c:pt idx="191">
                  <c:v>17.875</c:v>
                </c:pt>
                <c:pt idx="192">
                  <c:v>17.958333333333332</c:v>
                </c:pt>
                <c:pt idx="193">
                  <c:v>18.041666666666668</c:v>
                </c:pt>
                <c:pt idx="194">
                  <c:v>18.125</c:v>
                </c:pt>
                <c:pt idx="195">
                  <c:v>18.208333333333332</c:v>
                </c:pt>
                <c:pt idx="196">
                  <c:v>18.291666666666668</c:v>
                </c:pt>
                <c:pt idx="197">
                  <c:v>18.375</c:v>
                </c:pt>
                <c:pt idx="198">
                  <c:v>18.458333333333332</c:v>
                </c:pt>
                <c:pt idx="199">
                  <c:v>18.541666666666668</c:v>
                </c:pt>
                <c:pt idx="200">
                  <c:v>18.625</c:v>
                </c:pt>
                <c:pt idx="201">
                  <c:v>18.708333333333332</c:v>
                </c:pt>
                <c:pt idx="202">
                  <c:v>18.791666666666668</c:v>
                </c:pt>
                <c:pt idx="203">
                  <c:v>18.875</c:v>
                </c:pt>
                <c:pt idx="204">
                  <c:v>18.958333333333332</c:v>
                </c:pt>
                <c:pt idx="205">
                  <c:v>19.041666666666668</c:v>
                </c:pt>
                <c:pt idx="206">
                  <c:v>19.125</c:v>
                </c:pt>
                <c:pt idx="207">
                  <c:v>19.208333333333332</c:v>
                </c:pt>
                <c:pt idx="208">
                  <c:v>19.291666666666668</c:v>
                </c:pt>
                <c:pt idx="209">
                  <c:v>19.375</c:v>
                </c:pt>
                <c:pt idx="210">
                  <c:v>19.458333333333332</c:v>
                </c:pt>
                <c:pt idx="211">
                  <c:v>19.541666666666668</c:v>
                </c:pt>
                <c:pt idx="212">
                  <c:v>19.625</c:v>
                </c:pt>
                <c:pt idx="213">
                  <c:v>19.708333333333332</c:v>
                </c:pt>
                <c:pt idx="214">
                  <c:v>19.791666666666668</c:v>
                </c:pt>
                <c:pt idx="215">
                  <c:v>19.875</c:v>
                </c:pt>
                <c:pt idx="216">
                  <c:v>19.958333333333332</c:v>
                </c:pt>
                <c:pt idx="217">
                  <c:v>20</c:v>
                </c:pt>
                <c:pt idx="218">
                  <c:v>20.041666666666668</c:v>
                </c:pt>
              </c:numCache>
            </c:numRef>
          </c:xVal>
          <c:yVal>
            <c:numRef>
              <c:f>bmi4age!$G$2:$G$220</c:f>
              <c:numCache>
                <c:formatCode>General</c:formatCode>
                <c:ptCount val="219"/>
                <c:pt idx="0">
                  <c:v>14.737319471999999</c:v>
                </c:pt>
                <c:pt idx="1">
                  <c:v>14.719292573000001</c:v>
                </c:pt>
                <c:pt idx="2">
                  <c:v>14.683608414</c:v>
                </c:pt>
                <c:pt idx="3">
                  <c:v>14.648433294</c:v>
                </c:pt>
                <c:pt idx="4">
                  <c:v>14.613786255000001</c:v>
                </c:pt>
                <c:pt idx="5">
                  <c:v>14.579685777</c:v>
                </c:pt>
                <c:pt idx="6">
                  <c:v>14.546149660999999</c:v>
                </c:pt>
                <c:pt idx="7">
                  <c:v>14.513194923</c:v>
                </c:pt>
                <c:pt idx="8">
                  <c:v>14.480837948</c:v>
                </c:pt>
                <c:pt idx="9">
                  <c:v>14.449093293000001</c:v>
                </c:pt>
                <c:pt idx="10">
                  <c:v>14.417975613999999</c:v>
                </c:pt>
                <c:pt idx="11">
                  <c:v>14.387498108999999</c:v>
                </c:pt>
                <c:pt idx="12">
                  <c:v>14.357672932</c:v>
                </c:pt>
                <c:pt idx="13">
                  <c:v>14.328511189</c:v>
                </c:pt>
                <c:pt idx="14">
                  <c:v>14.300022559</c:v>
                </c:pt>
                <c:pt idx="15">
                  <c:v>14.27221761</c:v>
                </c:pt>
                <c:pt idx="16">
                  <c:v>14.245102016000001</c:v>
                </c:pt>
                <c:pt idx="17">
                  <c:v>14.218684325</c:v>
                </c:pt>
                <c:pt idx="18">
                  <c:v>14.192970111999999</c:v>
                </c:pt>
                <c:pt idx="19">
                  <c:v>14.167964724000001</c:v>
                </c:pt>
                <c:pt idx="20">
                  <c:v>14.143670894</c:v>
                </c:pt>
                <c:pt idx="21">
                  <c:v>14.120092688</c:v>
                </c:pt>
                <c:pt idx="22">
                  <c:v>14.097232459000001</c:v>
                </c:pt>
                <c:pt idx="23">
                  <c:v>14.075089663</c:v>
                </c:pt>
                <c:pt idx="24">
                  <c:v>14.053664432</c:v>
                </c:pt>
                <c:pt idx="25">
                  <c:v>14.032955327</c:v>
                </c:pt>
                <c:pt idx="26">
                  <c:v>14.012959843999999</c:v>
                </c:pt>
                <c:pt idx="27">
                  <c:v>13.993674447</c:v>
                </c:pt>
                <c:pt idx="28">
                  <c:v>13.975094635</c:v>
                </c:pt>
                <c:pt idx="29">
                  <c:v>13.957215715</c:v>
                </c:pt>
                <c:pt idx="30">
                  <c:v>13.940029469000001</c:v>
                </c:pt>
                <c:pt idx="31">
                  <c:v>13.923531161</c:v>
                </c:pt>
                <c:pt idx="32">
                  <c:v>13.907712809</c:v>
                </c:pt>
                <c:pt idx="33">
                  <c:v>13.892566777000001</c:v>
                </c:pt>
                <c:pt idx="34">
                  <c:v>13.878085253</c:v>
                </c:pt>
                <c:pt idx="35">
                  <c:v>13.864259589</c:v>
                </c:pt>
                <c:pt idx="36">
                  <c:v>13.851083083000001</c:v>
                </c:pt>
                <c:pt idx="37">
                  <c:v>13.838548037000001</c:v>
                </c:pt>
                <c:pt idx="38">
                  <c:v>13.82664746</c:v>
                </c:pt>
                <c:pt idx="39">
                  <c:v>13.815374888999999</c:v>
                </c:pt>
                <c:pt idx="40">
                  <c:v>13.804723699</c:v>
                </c:pt>
                <c:pt idx="41">
                  <c:v>13.794690036</c:v>
                </c:pt>
                <c:pt idx="42">
                  <c:v>13.785268816</c:v>
                </c:pt>
                <c:pt idx="43">
                  <c:v>13.776456272000001</c:v>
                </c:pt>
                <c:pt idx="44">
                  <c:v>13.76824936</c:v>
                </c:pt>
                <c:pt idx="45">
                  <c:v>13.760645736000001</c:v>
                </c:pt>
                <c:pt idx="46">
                  <c:v>13.75364373</c:v>
                </c:pt>
                <c:pt idx="47">
                  <c:v>13.747242303</c:v>
                </c:pt>
                <c:pt idx="48">
                  <c:v>13.741440992999999</c:v>
                </c:pt>
                <c:pt idx="49">
                  <c:v>13.736239868</c:v>
                </c:pt>
                <c:pt idx="50">
                  <c:v>13.731639461</c:v>
                </c:pt>
                <c:pt idx="51">
                  <c:v>13.727640719</c:v>
                </c:pt>
                <c:pt idx="52">
                  <c:v>13.724244334</c:v>
                </c:pt>
                <c:pt idx="53">
                  <c:v>13.721452886</c:v>
                </c:pt>
                <c:pt idx="54">
                  <c:v>13.719267752</c:v>
                </c:pt>
                <c:pt idx="55">
                  <c:v>13.717690937</c:v>
                </c:pt>
                <c:pt idx="56">
                  <c:v>13.716724581999999</c:v>
                </c:pt>
                <c:pt idx="57">
                  <c:v>13.716371243999999</c:v>
                </c:pt>
                <c:pt idx="58">
                  <c:v>13.716632334</c:v>
                </c:pt>
                <c:pt idx="59">
                  <c:v>13.717510775999999</c:v>
                </c:pt>
                <c:pt idx="60">
                  <c:v>13.719008868</c:v>
                </c:pt>
                <c:pt idx="61">
                  <c:v>13.72112886</c:v>
                </c:pt>
                <c:pt idx="62">
                  <c:v>13.723872927</c:v>
                </c:pt>
                <c:pt idx="63">
                  <c:v>13.727243152</c:v>
                </c:pt>
                <c:pt idx="64">
                  <c:v>13.731241504</c:v>
                </c:pt>
                <c:pt idx="65">
                  <c:v>13.73586983</c:v>
                </c:pt>
                <c:pt idx="66">
                  <c:v>13.741129902999999</c:v>
                </c:pt>
                <c:pt idx="67">
                  <c:v>13.747023091999999</c:v>
                </c:pt>
                <c:pt idx="68">
                  <c:v>13.753550999</c:v>
                </c:pt>
                <c:pt idx="69">
                  <c:v>13.760714803999999</c:v>
                </c:pt>
                <c:pt idx="70">
                  <c:v>13.768515580000001</c:v>
                </c:pt>
                <c:pt idx="71">
                  <c:v>13.776954225000001</c:v>
                </c:pt>
                <c:pt idx="72">
                  <c:v>13.786031452</c:v>
                </c:pt>
                <c:pt idx="73">
                  <c:v>13.795747785</c:v>
                </c:pt>
                <c:pt idx="74">
                  <c:v>13.806103553</c:v>
                </c:pt>
                <c:pt idx="75">
                  <c:v>13.817098777</c:v>
                </c:pt>
                <c:pt idx="76">
                  <c:v>13.828733753</c:v>
                </c:pt>
                <c:pt idx="77">
                  <c:v>13.841007841</c:v>
                </c:pt>
                <c:pt idx="78">
                  <c:v>13.853920676</c:v>
                </c:pt>
                <c:pt idx="79">
                  <c:v>13.867471738000001</c:v>
                </c:pt>
                <c:pt idx="80">
                  <c:v>13.881660126</c:v>
                </c:pt>
                <c:pt idx="81">
                  <c:v>13.896484538999999</c:v>
                </c:pt>
                <c:pt idx="82">
                  <c:v>13.911944391</c:v>
                </c:pt>
                <c:pt idx="83">
                  <c:v>13.928037854999999</c:v>
                </c:pt>
                <c:pt idx="84">
                  <c:v>13.944763576</c:v>
                </c:pt>
                <c:pt idx="85">
                  <c:v>13.962118903</c:v>
                </c:pt>
                <c:pt idx="86">
                  <c:v>13.980102970000001</c:v>
                </c:pt>
                <c:pt idx="87">
                  <c:v>13.998713275</c:v>
                </c:pt>
                <c:pt idx="88">
                  <c:v>14.017947378000001</c:v>
                </c:pt>
                <c:pt idx="89">
                  <c:v>14.037802815999999</c:v>
                </c:pt>
                <c:pt idx="90">
                  <c:v>14.058276900999999</c:v>
                </c:pt>
                <c:pt idx="91">
                  <c:v>14.079366766</c:v>
                </c:pt>
                <c:pt idx="92">
                  <c:v>14.101069370999999</c:v>
                </c:pt>
                <c:pt idx="93">
                  <c:v>14.123381501000001</c:v>
                </c:pt>
                <c:pt idx="94">
                  <c:v>14.146299772000001</c:v>
                </c:pt>
                <c:pt idx="95">
                  <c:v>14.169820633</c:v>
                </c:pt>
                <c:pt idx="96">
                  <c:v>14.193940365</c:v>
                </c:pt>
                <c:pt idx="97">
                  <c:v>14.218655083</c:v>
                </c:pt>
                <c:pt idx="98">
                  <c:v>14.243960805</c:v>
                </c:pt>
                <c:pt idx="99">
                  <c:v>14.269853131</c:v>
                </c:pt>
                <c:pt idx="100">
                  <c:v>14.296327886</c:v>
                </c:pt>
                <c:pt idx="101">
                  <c:v>14.323380480999999</c:v>
                </c:pt>
                <c:pt idx="102">
                  <c:v>14.351006234</c:v>
                </c:pt>
                <c:pt idx="103">
                  <c:v>14.379200308</c:v>
                </c:pt>
                <c:pt idx="104">
                  <c:v>14.407957708</c:v>
                </c:pt>
                <c:pt idx="105">
                  <c:v>14.43727329</c:v>
                </c:pt>
                <c:pt idx="106">
                  <c:v>14.467141754</c:v>
                </c:pt>
                <c:pt idx="107">
                  <c:v>14.497557648000001</c:v>
                </c:pt>
                <c:pt idx="108">
                  <c:v>14.528515370999999</c:v>
                </c:pt>
                <c:pt idx="109">
                  <c:v>14.560009167</c:v>
                </c:pt>
                <c:pt idx="110">
                  <c:v>14.592033133999999</c:v>
                </c:pt>
                <c:pt idx="111">
                  <c:v>14.62458122</c:v>
                </c:pt>
                <c:pt idx="112">
                  <c:v>14.657647224</c:v>
                </c:pt>
                <c:pt idx="113">
                  <c:v>14.691223806</c:v>
                </c:pt>
                <c:pt idx="114">
                  <c:v>14.725306007</c:v>
                </c:pt>
                <c:pt idx="115">
                  <c:v>14.759886606</c:v>
                </c:pt>
                <c:pt idx="116">
                  <c:v>14.794958832000001</c:v>
                </c:pt>
                <c:pt idx="117">
                  <c:v>14.830515777</c:v>
                </c:pt>
                <c:pt idx="118">
                  <c:v>14.86655039</c:v>
                </c:pt>
                <c:pt idx="119">
                  <c:v>14.903055484999999</c:v>
                </c:pt>
                <c:pt idx="120">
                  <c:v>14.940023736000001</c:v>
                </c:pt>
                <c:pt idx="121">
                  <c:v>14.977447682999999</c:v>
                </c:pt>
                <c:pt idx="122">
                  <c:v>15.01531973</c:v>
                </c:pt>
                <c:pt idx="123">
                  <c:v>15.053632148</c:v>
                </c:pt>
                <c:pt idx="124">
                  <c:v>15.092377074</c:v>
                </c:pt>
                <c:pt idx="125">
                  <c:v>15.131546514</c:v>
                </c:pt>
                <c:pt idx="126">
                  <c:v>15.171132342</c:v>
                </c:pt>
                <c:pt idx="127">
                  <c:v>15.211126303</c:v>
                </c:pt>
                <c:pt idx="128">
                  <c:v>15.251520013</c:v>
                </c:pt>
                <c:pt idx="129">
                  <c:v>15.292304960999999</c:v>
                </c:pt>
                <c:pt idx="130">
                  <c:v>15.333472509</c:v>
                </c:pt>
                <c:pt idx="131">
                  <c:v>15.375013894</c:v>
                </c:pt>
                <c:pt idx="132">
                  <c:v>15.416920229</c:v>
                </c:pt>
                <c:pt idx="133">
                  <c:v>15.459182503999999</c:v>
                </c:pt>
                <c:pt idx="134">
                  <c:v>15.501791587</c:v>
                </c:pt>
                <c:pt idx="135">
                  <c:v>15.544738227</c:v>
                </c:pt>
                <c:pt idx="136">
                  <c:v>15.588013052000001</c:v>
                </c:pt>
                <c:pt idx="137">
                  <c:v>15.631606574999999</c:v>
                </c:pt>
                <c:pt idx="138">
                  <c:v>15.67550919</c:v>
                </c:pt>
                <c:pt idx="139">
                  <c:v>15.719711177000001</c:v>
                </c:pt>
                <c:pt idx="140">
                  <c:v>15.764202704000001</c:v>
                </c:pt>
                <c:pt idx="141">
                  <c:v>15.808973823000001</c:v>
                </c:pt>
                <c:pt idx="142">
                  <c:v>15.854014479</c:v>
                </c:pt>
                <c:pt idx="143">
                  <c:v>15.899314507</c:v>
                </c:pt>
                <c:pt idx="144">
                  <c:v>15.944863634000001</c:v>
                </c:pt>
                <c:pt idx="145">
                  <c:v>15.990651482000001</c:v>
                </c:pt>
                <c:pt idx="146">
                  <c:v>16.036667566999999</c:v>
                </c:pt>
                <c:pt idx="147">
                  <c:v>16.082901303</c:v>
                </c:pt>
                <c:pt idx="148">
                  <c:v>16.129342004000002</c:v>
                </c:pt>
                <c:pt idx="149">
                  <c:v>16.175978883999999</c:v>
                </c:pt>
                <c:pt idx="150">
                  <c:v>16.222801058999998</c:v>
                </c:pt>
                <c:pt idx="151">
                  <c:v>16.26979755</c:v>
                </c:pt>
                <c:pt idx="152">
                  <c:v>16.316957284000001</c:v>
                </c:pt>
                <c:pt idx="153">
                  <c:v>16.364269095000001</c:v>
                </c:pt>
                <c:pt idx="154">
                  <c:v>16.411721727</c:v>
                </c:pt>
                <c:pt idx="155">
                  <c:v>16.459303836</c:v>
                </c:pt>
                <c:pt idx="156">
                  <c:v>16.507003989000001</c:v>
                </c:pt>
                <c:pt idx="157">
                  <c:v>16.554810669999998</c:v>
                </c:pt>
                <c:pt idx="158">
                  <c:v>16.602712279999999</c:v>
                </c:pt>
                <c:pt idx="159">
                  <c:v>16.650697137000002</c:v>
                </c:pt>
                <c:pt idx="160">
                  <c:v>16.698753478</c:v>
                </c:pt>
                <c:pt idx="161">
                  <c:v>16.746869466</c:v>
                </c:pt>
                <c:pt idx="162">
                  <c:v>16.795033183000001</c:v>
                </c:pt>
                <c:pt idx="163">
                  <c:v>16.843232639</c:v>
                </c:pt>
                <c:pt idx="164">
                  <c:v>16.891455767</c:v>
                </c:pt>
                <c:pt idx="165">
                  <c:v>16.939690431999999</c:v>
                </c:pt>
                <c:pt idx="166">
                  <c:v>16.987924424999999</c:v>
                </c:pt>
                <c:pt idx="167">
                  <c:v>17.036145468000001</c:v>
                </c:pt>
                <c:pt idx="168">
                  <c:v>17.084341214999998</c:v>
                </c:pt>
                <c:pt idx="169">
                  <c:v>17.132499250999999</c:v>
                </c:pt>
                <c:pt idx="170">
                  <c:v>17.180607092999999</c:v>
                </c:pt>
                <c:pt idx="171">
                  <c:v>17.228652192999999</c:v>
                </c:pt>
                <c:pt idx="172">
                  <c:v>17.276622588999999</c:v>
                </c:pt>
                <c:pt idx="173">
                  <c:v>17.324504230999999</c:v>
                </c:pt>
                <c:pt idx="174">
                  <c:v>17.372285092999999</c:v>
                </c:pt>
                <c:pt idx="175">
                  <c:v>17.41995236</c:v>
                </c:pt>
                <c:pt idx="176">
                  <c:v>17.467493149999999</c:v>
                </c:pt>
                <c:pt idx="177">
                  <c:v>17.514894512000001</c:v>
                </c:pt>
                <c:pt idx="178">
                  <c:v>17.562143422999998</c:v>
                </c:pt>
                <c:pt idx="179">
                  <c:v>17.609226793000001</c:v>
                </c:pt>
                <c:pt idx="180">
                  <c:v>17.656131455000001</c:v>
                </c:pt>
                <c:pt idx="181">
                  <c:v>17.702844167999999</c:v>
                </c:pt>
                <c:pt idx="182">
                  <c:v>17.749351612000002</c:v>
                </c:pt>
                <c:pt idx="183">
                  <c:v>17.795640387999999</c:v>
                </c:pt>
                <c:pt idx="184">
                  <c:v>17.841697008000001</c:v>
                </c:pt>
                <c:pt idx="185">
                  <c:v>17.887507899999999</c:v>
                </c:pt>
                <c:pt idx="186">
                  <c:v>17.933059395000001</c:v>
                </c:pt>
                <c:pt idx="187">
                  <c:v>17.978337728</c:v>
                </c:pt>
                <c:pt idx="188">
                  <c:v>18.023329031999999</c:v>
                </c:pt>
                <c:pt idx="189">
                  <c:v>18.068019328999998</c:v>
                </c:pt>
                <c:pt idx="190">
                  <c:v>18.112394527999999</c:v>
                </c:pt>
                <c:pt idx="191">
                  <c:v>18.156440414999999</c:v>
                </c:pt>
                <c:pt idx="192">
                  <c:v>18.200142555999999</c:v>
                </c:pt>
                <c:pt idx="193">
                  <c:v>18.243486616999999</c:v>
                </c:pt>
                <c:pt idx="194">
                  <c:v>18.286457267999999</c:v>
                </c:pt>
                <c:pt idx="195">
                  <c:v>18.329041829000001</c:v>
                </c:pt>
                <c:pt idx="196">
                  <c:v>18.371223685</c:v>
                </c:pt>
                <c:pt idx="197">
                  <c:v>18.412986957000001</c:v>
                </c:pt>
                <c:pt idx="198">
                  <c:v>18.454317937999999</c:v>
                </c:pt>
                <c:pt idx="199">
                  <c:v>18.495200616000002</c:v>
                </c:pt>
                <c:pt idx="200">
                  <c:v>18.535619322999999</c:v>
                </c:pt>
                <c:pt idx="201">
                  <c:v>18.575558185999999</c:v>
                </c:pt>
                <c:pt idx="202">
                  <c:v>18.615001112000002</c:v>
                </c:pt>
                <c:pt idx="203">
                  <c:v>18.653931783000001</c:v>
                </c:pt>
                <c:pt idx="204">
                  <c:v>18.692334366000001</c:v>
                </c:pt>
                <c:pt idx="205">
                  <c:v>18.730190244999999</c:v>
                </c:pt>
                <c:pt idx="206">
                  <c:v>18.767483802000001</c:v>
                </c:pt>
                <c:pt idx="207">
                  <c:v>18.804197322</c:v>
                </c:pt>
                <c:pt idx="208">
                  <c:v>18.840313183999999</c:v>
                </c:pt>
                <c:pt idx="209">
                  <c:v>18.875813476000001</c:v>
                </c:pt>
                <c:pt idx="210">
                  <c:v>18.910679987000002</c:v>
                </c:pt>
                <c:pt idx="211">
                  <c:v>18.944894195</c:v>
                </c:pt>
                <c:pt idx="212">
                  <c:v>18.978437264</c:v>
                </c:pt>
                <c:pt idx="213">
                  <c:v>19.011288695000001</c:v>
                </c:pt>
                <c:pt idx="214">
                  <c:v>19.043431335000001</c:v>
                </c:pt>
                <c:pt idx="215">
                  <c:v>19.074844245000001</c:v>
                </c:pt>
                <c:pt idx="216">
                  <c:v>19.105507218</c:v>
                </c:pt>
                <c:pt idx="217">
                  <c:v>19.120551107000001</c:v>
                </c:pt>
                <c:pt idx="218">
                  <c:v>19.13539969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A3-475E-8102-308D7776DD13}"/>
            </c:ext>
          </c:extLst>
        </c:ser>
        <c:ser>
          <c:idx val="3"/>
          <c:order val="4"/>
          <c:tx>
            <c:v>P10 boys</c:v>
          </c:tx>
          <c:spPr>
            <a:ln w="6350" cap="rnd">
              <a:solidFill>
                <a:srgbClr val="00B0F0">
                  <a:alpha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bmi4age!$B$2:$B$220</c:f>
              <c:numCache>
                <c:formatCode>0.00</c:formatCode>
                <c:ptCount val="219"/>
                <c:pt idx="0">
                  <c:v>2</c:v>
                </c:pt>
                <c:pt idx="1">
                  <c:v>2.0416666666666665</c:v>
                </c:pt>
                <c:pt idx="2">
                  <c:v>2.125</c:v>
                </c:pt>
                <c:pt idx="3">
                  <c:v>2.2083333333333335</c:v>
                </c:pt>
                <c:pt idx="4">
                  <c:v>2.2916666666666665</c:v>
                </c:pt>
                <c:pt idx="5">
                  <c:v>2.375</c:v>
                </c:pt>
                <c:pt idx="6">
                  <c:v>2.4583333333333335</c:v>
                </c:pt>
                <c:pt idx="7">
                  <c:v>2.5416666666666665</c:v>
                </c:pt>
                <c:pt idx="8">
                  <c:v>2.625</c:v>
                </c:pt>
                <c:pt idx="9">
                  <c:v>2.7083333333333335</c:v>
                </c:pt>
                <c:pt idx="10">
                  <c:v>2.7916666666666665</c:v>
                </c:pt>
                <c:pt idx="11">
                  <c:v>2.875</c:v>
                </c:pt>
                <c:pt idx="12">
                  <c:v>2.9583333333333335</c:v>
                </c:pt>
                <c:pt idx="13">
                  <c:v>3.0416666666666665</c:v>
                </c:pt>
                <c:pt idx="14">
                  <c:v>3.125</c:v>
                </c:pt>
                <c:pt idx="15">
                  <c:v>3.2083333333333335</c:v>
                </c:pt>
                <c:pt idx="16">
                  <c:v>3.2916666666666665</c:v>
                </c:pt>
                <c:pt idx="17">
                  <c:v>3.375</c:v>
                </c:pt>
                <c:pt idx="18">
                  <c:v>3.4583333333333335</c:v>
                </c:pt>
                <c:pt idx="19">
                  <c:v>3.5416666666666665</c:v>
                </c:pt>
                <c:pt idx="20">
                  <c:v>3.625</c:v>
                </c:pt>
                <c:pt idx="21">
                  <c:v>3.7083333333333335</c:v>
                </c:pt>
                <c:pt idx="22">
                  <c:v>3.7916666666666665</c:v>
                </c:pt>
                <c:pt idx="23">
                  <c:v>3.875</c:v>
                </c:pt>
                <c:pt idx="24">
                  <c:v>3.9583333333333335</c:v>
                </c:pt>
                <c:pt idx="25">
                  <c:v>4.041666666666667</c:v>
                </c:pt>
                <c:pt idx="26">
                  <c:v>4.125</c:v>
                </c:pt>
                <c:pt idx="27">
                  <c:v>4.208333333333333</c:v>
                </c:pt>
                <c:pt idx="28">
                  <c:v>4.291666666666667</c:v>
                </c:pt>
                <c:pt idx="29">
                  <c:v>4.375</c:v>
                </c:pt>
                <c:pt idx="30">
                  <c:v>4.458333333333333</c:v>
                </c:pt>
                <c:pt idx="31">
                  <c:v>4.541666666666667</c:v>
                </c:pt>
                <c:pt idx="32">
                  <c:v>4.625</c:v>
                </c:pt>
                <c:pt idx="33">
                  <c:v>4.708333333333333</c:v>
                </c:pt>
                <c:pt idx="34">
                  <c:v>4.791666666666667</c:v>
                </c:pt>
                <c:pt idx="35">
                  <c:v>4.875</c:v>
                </c:pt>
                <c:pt idx="36">
                  <c:v>4.958333333333333</c:v>
                </c:pt>
                <c:pt idx="37">
                  <c:v>5.041666666666667</c:v>
                </c:pt>
                <c:pt idx="38">
                  <c:v>5.125</c:v>
                </c:pt>
                <c:pt idx="39">
                  <c:v>5.208333333333333</c:v>
                </c:pt>
                <c:pt idx="40">
                  <c:v>5.291666666666667</c:v>
                </c:pt>
                <c:pt idx="41">
                  <c:v>5.375</c:v>
                </c:pt>
                <c:pt idx="42">
                  <c:v>5.458333333333333</c:v>
                </c:pt>
                <c:pt idx="43">
                  <c:v>5.541666666666667</c:v>
                </c:pt>
                <c:pt idx="44">
                  <c:v>5.625</c:v>
                </c:pt>
                <c:pt idx="45">
                  <c:v>5.708333333333333</c:v>
                </c:pt>
                <c:pt idx="46">
                  <c:v>5.791666666666667</c:v>
                </c:pt>
                <c:pt idx="47">
                  <c:v>5.875</c:v>
                </c:pt>
                <c:pt idx="48">
                  <c:v>5.958333333333333</c:v>
                </c:pt>
                <c:pt idx="49">
                  <c:v>6.041666666666667</c:v>
                </c:pt>
                <c:pt idx="50">
                  <c:v>6.125</c:v>
                </c:pt>
                <c:pt idx="51">
                  <c:v>6.208333333333333</c:v>
                </c:pt>
                <c:pt idx="52">
                  <c:v>6.291666666666667</c:v>
                </c:pt>
                <c:pt idx="53">
                  <c:v>6.375</c:v>
                </c:pt>
                <c:pt idx="54">
                  <c:v>6.458333333333333</c:v>
                </c:pt>
                <c:pt idx="55">
                  <c:v>6.541666666666667</c:v>
                </c:pt>
                <c:pt idx="56">
                  <c:v>6.625</c:v>
                </c:pt>
                <c:pt idx="57">
                  <c:v>6.708333333333333</c:v>
                </c:pt>
                <c:pt idx="58">
                  <c:v>6.791666666666667</c:v>
                </c:pt>
                <c:pt idx="59">
                  <c:v>6.875</c:v>
                </c:pt>
                <c:pt idx="60">
                  <c:v>6.958333333333333</c:v>
                </c:pt>
                <c:pt idx="61">
                  <c:v>7.041666666666667</c:v>
                </c:pt>
                <c:pt idx="62">
                  <c:v>7.125</c:v>
                </c:pt>
                <c:pt idx="63">
                  <c:v>7.208333333333333</c:v>
                </c:pt>
                <c:pt idx="64">
                  <c:v>7.291666666666667</c:v>
                </c:pt>
                <c:pt idx="65">
                  <c:v>7.375</c:v>
                </c:pt>
                <c:pt idx="66">
                  <c:v>7.458333333333333</c:v>
                </c:pt>
                <c:pt idx="67">
                  <c:v>7.541666666666667</c:v>
                </c:pt>
                <c:pt idx="68">
                  <c:v>7.625</c:v>
                </c:pt>
                <c:pt idx="69">
                  <c:v>7.708333333333333</c:v>
                </c:pt>
                <c:pt idx="70">
                  <c:v>7.791666666666667</c:v>
                </c:pt>
                <c:pt idx="71">
                  <c:v>7.875</c:v>
                </c:pt>
                <c:pt idx="72">
                  <c:v>7.958333333333333</c:v>
                </c:pt>
                <c:pt idx="73">
                  <c:v>8.0416666666666661</c:v>
                </c:pt>
                <c:pt idx="74">
                  <c:v>8.125</c:v>
                </c:pt>
                <c:pt idx="75">
                  <c:v>8.2083333333333339</c:v>
                </c:pt>
                <c:pt idx="76">
                  <c:v>8.2916666666666661</c:v>
                </c:pt>
                <c:pt idx="77">
                  <c:v>8.375</c:v>
                </c:pt>
                <c:pt idx="78">
                  <c:v>8.4583333333333339</c:v>
                </c:pt>
                <c:pt idx="79">
                  <c:v>8.5416666666666661</c:v>
                </c:pt>
                <c:pt idx="80">
                  <c:v>8.625</c:v>
                </c:pt>
                <c:pt idx="81">
                  <c:v>8.7083333333333339</c:v>
                </c:pt>
                <c:pt idx="82">
                  <c:v>8.7916666666666661</c:v>
                </c:pt>
                <c:pt idx="83">
                  <c:v>8.875</c:v>
                </c:pt>
                <c:pt idx="84">
                  <c:v>8.9583333333333339</c:v>
                </c:pt>
                <c:pt idx="85">
                  <c:v>9.0416666666666661</c:v>
                </c:pt>
                <c:pt idx="86">
                  <c:v>9.125</c:v>
                </c:pt>
                <c:pt idx="87">
                  <c:v>9.2083333333333339</c:v>
                </c:pt>
                <c:pt idx="88">
                  <c:v>9.2916666666666661</c:v>
                </c:pt>
                <c:pt idx="89">
                  <c:v>9.375</c:v>
                </c:pt>
                <c:pt idx="90">
                  <c:v>9.4583333333333339</c:v>
                </c:pt>
                <c:pt idx="91">
                  <c:v>9.5416666666666661</c:v>
                </c:pt>
                <c:pt idx="92">
                  <c:v>9.625</c:v>
                </c:pt>
                <c:pt idx="93">
                  <c:v>9.7083333333333339</c:v>
                </c:pt>
                <c:pt idx="94">
                  <c:v>9.7916666666666661</c:v>
                </c:pt>
                <c:pt idx="95">
                  <c:v>9.875</c:v>
                </c:pt>
                <c:pt idx="96">
                  <c:v>9.9583333333333339</c:v>
                </c:pt>
                <c:pt idx="97">
                  <c:v>10.041666666666666</c:v>
                </c:pt>
                <c:pt idx="98">
                  <c:v>10.125</c:v>
                </c:pt>
                <c:pt idx="99">
                  <c:v>10.208333333333334</c:v>
                </c:pt>
                <c:pt idx="100">
                  <c:v>10.291666666666666</c:v>
                </c:pt>
                <c:pt idx="101">
                  <c:v>10.375</c:v>
                </c:pt>
                <c:pt idx="102">
                  <c:v>10.458333333333334</c:v>
                </c:pt>
                <c:pt idx="103">
                  <c:v>10.541666666666666</c:v>
                </c:pt>
                <c:pt idx="104">
                  <c:v>10.625</c:v>
                </c:pt>
                <c:pt idx="105">
                  <c:v>10.708333333333334</c:v>
                </c:pt>
                <c:pt idx="106">
                  <c:v>10.791666666666666</c:v>
                </c:pt>
                <c:pt idx="107">
                  <c:v>10.875</c:v>
                </c:pt>
                <c:pt idx="108">
                  <c:v>10.958333333333334</c:v>
                </c:pt>
                <c:pt idx="109">
                  <c:v>11.041666666666666</c:v>
                </c:pt>
                <c:pt idx="110">
                  <c:v>11.125</c:v>
                </c:pt>
                <c:pt idx="111">
                  <c:v>11.208333333333334</c:v>
                </c:pt>
                <c:pt idx="112">
                  <c:v>11.291666666666666</c:v>
                </c:pt>
                <c:pt idx="113">
                  <c:v>11.375</c:v>
                </c:pt>
                <c:pt idx="114">
                  <c:v>11.458333333333334</c:v>
                </c:pt>
                <c:pt idx="115">
                  <c:v>11.541666666666666</c:v>
                </c:pt>
                <c:pt idx="116">
                  <c:v>11.625</c:v>
                </c:pt>
                <c:pt idx="117">
                  <c:v>11.708333333333334</c:v>
                </c:pt>
                <c:pt idx="118">
                  <c:v>11.791666666666666</c:v>
                </c:pt>
                <c:pt idx="119">
                  <c:v>11.875</c:v>
                </c:pt>
                <c:pt idx="120">
                  <c:v>11.958333333333334</c:v>
                </c:pt>
                <c:pt idx="121">
                  <c:v>12.041666666666666</c:v>
                </c:pt>
                <c:pt idx="122">
                  <c:v>12.125</c:v>
                </c:pt>
                <c:pt idx="123">
                  <c:v>12.208333333333334</c:v>
                </c:pt>
                <c:pt idx="124">
                  <c:v>12.291666666666666</c:v>
                </c:pt>
                <c:pt idx="125">
                  <c:v>12.375</c:v>
                </c:pt>
                <c:pt idx="126">
                  <c:v>12.458333333333334</c:v>
                </c:pt>
                <c:pt idx="127">
                  <c:v>12.541666666666666</c:v>
                </c:pt>
                <c:pt idx="128">
                  <c:v>12.625</c:v>
                </c:pt>
                <c:pt idx="129">
                  <c:v>12.708333333333334</c:v>
                </c:pt>
                <c:pt idx="130">
                  <c:v>12.791666666666666</c:v>
                </c:pt>
                <c:pt idx="131">
                  <c:v>12.875</c:v>
                </c:pt>
                <c:pt idx="132">
                  <c:v>12.958333333333334</c:v>
                </c:pt>
                <c:pt idx="133">
                  <c:v>13.041666666666666</c:v>
                </c:pt>
                <c:pt idx="134">
                  <c:v>13.125</c:v>
                </c:pt>
                <c:pt idx="135">
                  <c:v>13.208333333333334</c:v>
                </c:pt>
                <c:pt idx="136">
                  <c:v>13.291666666666666</c:v>
                </c:pt>
                <c:pt idx="137">
                  <c:v>13.375</c:v>
                </c:pt>
                <c:pt idx="138">
                  <c:v>13.458333333333334</c:v>
                </c:pt>
                <c:pt idx="139">
                  <c:v>13.541666666666666</c:v>
                </c:pt>
                <c:pt idx="140">
                  <c:v>13.625</c:v>
                </c:pt>
                <c:pt idx="141">
                  <c:v>13.708333333333334</c:v>
                </c:pt>
                <c:pt idx="142">
                  <c:v>13.791666666666666</c:v>
                </c:pt>
                <c:pt idx="143">
                  <c:v>13.875</c:v>
                </c:pt>
                <c:pt idx="144">
                  <c:v>13.958333333333334</c:v>
                </c:pt>
                <c:pt idx="145">
                  <c:v>14.041666666666666</c:v>
                </c:pt>
                <c:pt idx="146">
                  <c:v>14.125</c:v>
                </c:pt>
                <c:pt idx="147">
                  <c:v>14.208333333333334</c:v>
                </c:pt>
                <c:pt idx="148">
                  <c:v>14.291666666666666</c:v>
                </c:pt>
                <c:pt idx="149">
                  <c:v>14.375</c:v>
                </c:pt>
                <c:pt idx="150">
                  <c:v>14.458333333333334</c:v>
                </c:pt>
                <c:pt idx="151">
                  <c:v>14.541666666666666</c:v>
                </c:pt>
                <c:pt idx="152">
                  <c:v>14.625</c:v>
                </c:pt>
                <c:pt idx="153">
                  <c:v>14.708333333333334</c:v>
                </c:pt>
                <c:pt idx="154">
                  <c:v>14.791666666666666</c:v>
                </c:pt>
                <c:pt idx="155">
                  <c:v>14.875</c:v>
                </c:pt>
                <c:pt idx="156">
                  <c:v>14.958333333333334</c:v>
                </c:pt>
                <c:pt idx="157">
                  <c:v>15.041666666666666</c:v>
                </c:pt>
                <c:pt idx="158">
                  <c:v>15.125</c:v>
                </c:pt>
                <c:pt idx="159">
                  <c:v>15.208333333333334</c:v>
                </c:pt>
                <c:pt idx="160">
                  <c:v>15.291666666666666</c:v>
                </c:pt>
                <c:pt idx="161">
                  <c:v>15.375</c:v>
                </c:pt>
                <c:pt idx="162">
                  <c:v>15.458333333333334</c:v>
                </c:pt>
                <c:pt idx="163">
                  <c:v>15.541666666666666</c:v>
                </c:pt>
                <c:pt idx="164">
                  <c:v>15.625</c:v>
                </c:pt>
                <c:pt idx="165">
                  <c:v>15.708333333333334</c:v>
                </c:pt>
                <c:pt idx="166">
                  <c:v>15.791666666666666</c:v>
                </c:pt>
                <c:pt idx="167">
                  <c:v>15.875</c:v>
                </c:pt>
                <c:pt idx="168">
                  <c:v>15.958333333333334</c:v>
                </c:pt>
                <c:pt idx="169">
                  <c:v>16.041666666666668</c:v>
                </c:pt>
                <c:pt idx="170">
                  <c:v>16.125</c:v>
                </c:pt>
                <c:pt idx="171">
                  <c:v>16.208333333333332</c:v>
                </c:pt>
                <c:pt idx="172">
                  <c:v>16.291666666666668</c:v>
                </c:pt>
                <c:pt idx="173">
                  <c:v>16.375</c:v>
                </c:pt>
                <c:pt idx="174">
                  <c:v>16.458333333333332</c:v>
                </c:pt>
                <c:pt idx="175">
                  <c:v>16.541666666666668</c:v>
                </c:pt>
                <c:pt idx="176">
                  <c:v>16.625</c:v>
                </c:pt>
                <c:pt idx="177">
                  <c:v>16.708333333333332</c:v>
                </c:pt>
                <c:pt idx="178">
                  <c:v>16.791666666666668</c:v>
                </c:pt>
                <c:pt idx="179">
                  <c:v>16.875</c:v>
                </c:pt>
                <c:pt idx="180">
                  <c:v>16.958333333333332</c:v>
                </c:pt>
                <c:pt idx="181">
                  <c:v>17.041666666666668</c:v>
                </c:pt>
                <c:pt idx="182">
                  <c:v>17.125</c:v>
                </c:pt>
                <c:pt idx="183">
                  <c:v>17.208333333333332</c:v>
                </c:pt>
                <c:pt idx="184">
                  <c:v>17.291666666666668</c:v>
                </c:pt>
                <c:pt idx="185">
                  <c:v>17.375</c:v>
                </c:pt>
                <c:pt idx="186">
                  <c:v>17.458333333333332</c:v>
                </c:pt>
                <c:pt idx="187">
                  <c:v>17.541666666666668</c:v>
                </c:pt>
                <c:pt idx="188">
                  <c:v>17.625</c:v>
                </c:pt>
                <c:pt idx="189">
                  <c:v>17.708333333333332</c:v>
                </c:pt>
                <c:pt idx="190">
                  <c:v>17.791666666666668</c:v>
                </c:pt>
                <c:pt idx="191">
                  <c:v>17.875</c:v>
                </c:pt>
                <c:pt idx="192">
                  <c:v>17.958333333333332</c:v>
                </c:pt>
                <c:pt idx="193">
                  <c:v>18.041666666666668</c:v>
                </c:pt>
                <c:pt idx="194">
                  <c:v>18.125</c:v>
                </c:pt>
                <c:pt idx="195">
                  <c:v>18.208333333333332</c:v>
                </c:pt>
                <c:pt idx="196">
                  <c:v>18.291666666666668</c:v>
                </c:pt>
                <c:pt idx="197">
                  <c:v>18.375</c:v>
                </c:pt>
                <c:pt idx="198">
                  <c:v>18.458333333333332</c:v>
                </c:pt>
                <c:pt idx="199">
                  <c:v>18.541666666666668</c:v>
                </c:pt>
                <c:pt idx="200">
                  <c:v>18.625</c:v>
                </c:pt>
                <c:pt idx="201">
                  <c:v>18.708333333333332</c:v>
                </c:pt>
                <c:pt idx="202">
                  <c:v>18.791666666666668</c:v>
                </c:pt>
                <c:pt idx="203">
                  <c:v>18.875</c:v>
                </c:pt>
                <c:pt idx="204">
                  <c:v>18.958333333333332</c:v>
                </c:pt>
                <c:pt idx="205">
                  <c:v>19.041666666666668</c:v>
                </c:pt>
                <c:pt idx="206">
                  <c:v>19.125</c:v>
                </c:pt>
                <c:pt idx="207">
                  <c:v>19.208333333333332</c:v>
                </c:pt>
                <c:pt idx="208">
                  <c:v>19.291666666666668</c:v>
                </c:pt>
                <c:pt idx="209">
                  <c:v>19.375</c:v>
                </c:pt>
                <c:pt idx="210">
                  <c:v>19.458333333333332</c:v>
                </c:pt>
                <c:pt idx="211">
                  <c:v>19.541666666666668</c:v>
                </c:pt>
                <c:pt idx="212">
                  <c:v>19.625</c:v>
                </c:pt>
                <c:pt idx="213">
                  <c:v>19.708333333333332</c:v>
                </c:pt>
                <c:pt idx="214">
                  <c:v>19.791666666666668</c:v>
                </c:pt>
                <c:pt idx="215">
                  <c:v>19.875</c:v>
                </c:pt>
                <c:pt idx="216">
                  <c:v>19.958333333333332</c:v>
                </c:pt>
                <c:pt idx="217">
                  <c:v>20</c:v>
                </c:pt>
                <c:pt idx="218">
                  <c:v>20.041666666666668</c:v>
                </c:pt>
              </c:numCache>
            </c:numRef>
          </c:xVal>
          <c:yVal>
            <c:numRef>
              <c:f>bmi4age!$H$2:$H$220</c:f>
              <c:numCache>
                <c:formatCode>General</c:formatCode>
                <c:ptCount val="219"/>
                <c:pt idx="0">
                  <c:v>15.090328265</c:v>
                </c:pt>
                <c:pt idx="1">
                  <c:v>15.071174743</c:v>
                </c:pt>
                <c:pt idx="2">
                  <c:v>15.033357254</c:v>
                </c:pt>
                <c:pt idx="3">
                  <c:v>14.996195048000001</c:v>
                </c:pt>
                <c:pt idx="4">
                  <c:v>14.959690474</c:v>
                </c:pt>
                <c:pt idx="5">
                  <c:v>14.923845144</c:v>
                </c:pt>
                <c:pt idx="6">
                  <c:v>14.888660028</c:v>
                </c:pt>
                <c:pt idx="7">
                  <c:v>14.85413557</c:v>
                </c:pt>
                <c:pt idx="8">
                  <c:v>14.820271892999999</c:v>
                </c:pt>
                <c:pt idx="9">
                  <c:v>14.787068700000001</c:v>
                </c:pt>
                <c:pt idx="10">
                  <c:v>14.754525899000001</c:v>
                </c:pt>
                <c:pt idx="11">
                  <c:v>14.722643425999999</c:v>
                </c:pt>
                <c:pt idx="12">
                  <c:v>14.691421518</c:v>
                </c:pt>
                <c:pt idx="13">
                  <c:v>14.660860874999999</c:v>
                </c:pt>
                <c:pt idx="14">
                  <c:v>14.630962724</c:v>
                </c:pt>
                <c:pt idx="15">
                  <c:v>14.601729363</c:v>
                </c:pt>
                <c:pt idx="16">
                  <c:v>14.573163164</c:v>
                </c:pt>
                <c:pt idx="17">
                  <c:v>14.545268061</c:v>
                </c:pt>
                <c:pt idx="18">
                  <c:v>14.518048471</c:v>
                </c:pt>
                <c:pt idx="19">
                  <c:v>14.491509775000001</c:v>
                </c:pt>
                <c:pt idx="20">
                  <c:v>14.465657800000001</c:v>
                </c:pt>
                <c:pt idx="21">
                  <c:v>14.440499466</c:v>
                </c:pt>
                <c:pt idx="22">
                  <c:v>14.416042095</c:v>
                </c:pt>
                <c:pt idx="23">
                  <c:v>14.392292996</c:v>
                </c:pt>
                <c:pt idx="24">
                  <c:v>14.369260002000001</c:v>
                </c:pt>
                <c:pt idx="25">
                  <c:v>14.346950843</c:v>
                </c:pt>
                <c:pt idx="26">
                  <c:v>14.325373047999999</c:v>
                </c:pt>
                <c:pt idx="27">
                  <c:v>14.304533768000001</c:v>
                </c:pt>
                <c:pt idx="28">
                  <c:v>14.284439602999999</c:v>
                </c:pt>
                <c:pt idx="29">
                  <c:v>14.265096646</c:v>
                </c:pt>
                <c:pt idx="30">
                  <c:v>14.246509433</c:v>
                </c:pt>
                <c:pt idx="31">
                  <c:v>14.228682711999999</c:v>
                </c:pt>
                <c:pt idx="32">
                  <c:v>14.211619535000001</c:v>
                </c:pt>
                <c:pt idx="33">
                  <c:v>14.195322163</c:v>
                </c:pt>
                <c:pt idx="34">
                  <c:v>14.179791901</c:v>
                </c:pt>
                <c:pt idx="35">
                  <c:v>14.165028851000001</c:v>
                </c:pt>
                <c:pt idx="36">
                  <c:v>14.151032864999999</c:v>
                </c:pt>
                <c:pt idx="37">
                  <c:v>14.137802612</c:v>
                </c:pt>
                <c:pt idx="38">
                  <c:v>14.125336194999999</c:v>
                </c:pt>
                <c:pt idx="39">
                  <c:v>14.113631166999999</c:v>
                </c:pt>
                <c:pt idx="40">
                  <c:v>14.102684332999999</c:v>
                </c:pt>
                <c:pt idx="41">
                  <c:v>14.092492991</c:v>
                </c:pt>
                <c:pt idx="42">
                  <c:v>14.083053447999999</c:v>
                </c:pt>
                <c:pt idx="43">
                  <c:v>14.0743621</c:v>
                </c:pt>
                <c:pt idx="44">
                  <c:v>14.066415278999999</c:v>
                </c:pt>
                <c:pt idx="45">
                  <c:v>14.059209323999999</c:v>
                </c:pt>
                <c:pt idx="46">
                  <c:v>14.052740628</c:v>
                </c:pt>
                <c:pt idx="47">
                  <c:v>14.047005689000001</c:v>
                </c:pt>
                <c:pt idx="48">
                  <c:v>14.04200114</c:v>
                </c:pt>
                <c:pt idx="49">
                  <c:v>14.037723763000001</c:v>
                </c:pt>
                <c:pt idx="50">
                  <c:v>14.034170512999999</c:v>
                </c:pt>
                <c:pt idx="51">
                  <c:v>14.031338512</c:v>
                </c:pt>
                <c:pt idx="52">
                  <c:v>14.029224752999999</c:v>
                </c:pt>
                <c:pt idx="53">
                  <c:v>14.027827182999999</c:v>
                </c:pt>
                <c:pt idx="54">
                  <c:v>14.027143187</c:v>
                </c:pt>
                <c:pt idx="55">
                  <c:v>14.027170504000001</c:v>
                </c:pt>
                <c:pt idx="56">
                  <c:v>14.027906997000001</c:v>
                </c:pt>
                <c:pt idx="57">
                  <c:v>14.029350805</c:v>
                </c:pt>
                <c:pt idx="58">
                  <c:v>14.031499520000001</c:v>
                </c:pt>
                <c:pt idx="59">
                  <c:v>14.034351593</c:v>
                </c:pt>
                <c:pt idx="60">
                  <c:v>14.037905211</c:v>
                </c:pt>
                <c:pt idx="61">
                  <c:v>14.042158595</c:v>
                </c:pt>
                <c:pt idx="62">
                  <c:v>14.047109984</c:v>
                </c:pt>
                <c:pt idx="63">
                  <c:v>14.052757623</c:v>
                </c:pt>
                <c:pt idx="64">
                  <c:v>14.05909975</c:v>
                </c:pt>
                <c:pt idx="65">
                  <c:v>14.066134581</c:v>
                </c:pt>
                <c:pt idx="66">
                  <c:v>14.073860397000001</c:v>
                </c:pt>
                <c:pt idx="67">
                  <c:v>14.082275078</c:v>
                </c:pt>
                <c:pt idx="68">
                  <c:v>14.091376996999999</c:v>
                </c:pt>
                <c:pt idx="69">
                  <c:v>14.101164110999999</c:v>
                </c:pt>
                <c:pt idx="70">
                  <c:v>14.111634402</c:v>
                </c:pt>
                <c:pt idx="71">
                  <c:v>14.122785781999999</c:v>
                </c:pt>
                <c:pt idx="72">
                  <c:v>14.134616081000001</c:v>
                </c:pt>
                <c:pt idx="73">
                  <c:v>14.147123046999999</c:v>
                </c:pt>
                <c:pt idx="74">
                  <c:v>14.160304330000001</c:v>
                </c:pt>
                <c:pt idx="75">
                  <c:v>14.174157425000001</c:v>
                </c:pt>
                <c:pt idx="76">
                  <c:v>14.188679992999999</c:v>
                </c:pt>
                <c:pt idx="77">
                  <c:v>14.203869159</c:v>
                </c:pt>
                <c:pt idx="78">
                  <c:v>14.21972223</c:v>
                </c:pt>
                <c:pt idx="79">
                  <c:v>14.236236421999999</c:v>
                </c:pt>
                <c:pt idx="80">
                  <c:v>14.253408728</c:v>
                </c:pt>
                <c:pt idx="81">
                  <c:v>14.271235905999999</c:v>
                </c:pt>
                <c:pt idx="82">
                  <c:v>14.289715157</c:v>
                </c:pt>
                <c:pt idx="83">
                  <c:v>14.308842916</c:v>
                </c:pt>
                <c:pt idx="84">
                  <c:v>14.328615917</c:v>
                </c:pt>
                <c:pt idx="85">
                  <c:v>14.349030099</c:v>
                </c:pt>
                <c:pt idx="86">
                  <c:v>14.370082483999999</c:v>
                </c:pt>
                <c:pt idx="87">
                  <c:v>14.391769094000001</c:v>
                </c:pt>
                <c:pt idx="88">
                  <c:v>14.414085980999999</c:v>
                </c:pt>
                <c:pt idx="89">
                  <c:v>14.437029175999999</c:v>
                </c:pt>
                <c:pt idx="90">
                  <c:v>14.460594562000001</c:v>
                </c:pt>
                <c:pt idx="91">
                  <c:v>14.484777906</c:v>
                </c:pt>
                <c:pt idx="92">
                  <c:v>14.509574854</c:v>
                </c:pt>
                <c:pt idx="93">
                  <c:v>14.534980937</c:v>
                </c:pt>
                <c:pt idx="94">
                  <c:v>14.560991568</c:v>
                </c:pt>
                <c:pt idx="95">
                  <c:v>14.587602041</c:v>
                </c:pt>
                <c:pt idx="96">
                  <c:v>14.614807535000001</c:v>
                </c:pt>
                <c:pt idx="97">
                  <c:v>14.642603114</c:v>
                </c:pt>
                <c:pt idx="98">
                  <c:v>14.670983764000001</c:v>
                </c:pt>
                <c:pt idx="99">
                  <c:v>14.699944196000001</c:v>
                </c:pt>
                <c:pt idx="100">
                  <c:v>14.729479246</c:v>
                </c:pt>
                <c:pt idx="101">
                  <c:v>14.759583473999999</c:v>
                </c:pt>
                <c:pt idx="102">
                  <c:v>14.790251368</c:v>
                </c:pt>
                <c:pt idx="103">
                  <c:v>14.821477298</c:v>
                </c:pt>
                <c:pt idx="104">
                  <c:v>14.853255522</c:v>
                </c:pt>
                <c:pt idx="105">
                  <c:v>14.885580184</c:v>
                </c:pt>
                <c:pt idx="106">
                  <c:v>14.918445309999999</c:v>
                </c:pt>
                <c:pt idx="107">
                  <c:v>14.951844817</c:v>
                </c:pt>
                <c:pt idx="108">
                  <c:v>14.985772505</c:v>
                </c:pt>
                <c:pt idx="109">
                  <c:v>15.020222061</c:v>
                </c:pt>
                <c:pt idx="110">
                  <c:v>15.055187055999999</c:v>
                </c:pt>
                <c:pt idx="111">
                  <c:v>15.090660952</c:v>
                </c:pt>
                <c:pt idx="112">
                  <c:v>15.126637095</c:v>
                </c:pt>
                <c:pt idx="113">
                  <c:v>15.163108104999999</c:v>
                </c:pt>
                <c:pt idx="114">
                  <c:v>15.200068051000001</c:v>
                </c:pt>
                <c:pt idx="115">
                  <c:v>15.237509581999999</c:v>
                </c:pt>
                <c:pt idx="116">
                  <c:v>15.275425605000001</c:v>
                </c:pt>
                <c:pt idx="117">
                  <c:v>15.313808915999999</c:v>
                </c:pt>
                <c:pt idx="118">
                  <c:v>15.352652202</c:v>
                </c:pt>
                <c:pt idx="119">
                  <c:v>15.391948041999999</c:v>
                </c:pt>
                <c:pt idx="120">
                  <c:v>15.431688907</c:v>
                </c:pt>
                <c:pt idx="121">
                  <c:v>15.471867162000001</c:v>
                </c:pt>
                <c:pt idx="122">
                  <c:v>15.512475062</c:v>
                </c:pt>
                <c:pt idx="123">
                  <c:v>15.553504759000001</c:v>
                </c:pt>
                <c:pt idx="124">
                  <c:v>15.594948298</c:v>
                </c:pt>
                <c:pt idx="125">
                  <c:v>15.636797616000001</c:v>
                </c:pt>
                <c:pt idx="126">
                  <c:v>15.679044549</c:v>
                </c:pt>
                <c:pt idx="127">
                  <c:v>15.721680827</c:v>
                </c:pt>
                <c:pt idx="128">
                  <c:v>15.764698077</c:v>
                </c:pt>
                <c:pt idx="129">
                  <c:v>15.808087821000001</c:v>
                </c:pt>
                <c:pt idx="130">
                  <c:v>15.851841480999999</c:v>
                </c:pt>
                <c:pt idx="131">
                  <c:v>15.895950376</c:v>
                </c:pt>
                <c:pt idx="132">
                  <c:v>15.940405724</c:v>
                </c:pt>
                <c:pt idx="133">
                  <c:v>15.98519864</c:v>
                </c:pt>
                <c:pt idx="134">
                  <c:v>16.030320143000001</c:v>
                </c:pt>
                <c:pt idx="135">
                  <c:v>16.075761148000002</c:v>
                </c:pt>
                <c:pt idx="136">
                  <c:v>16.121512474999999</c:v>
                </c:pt>
                <c:pt idx="137">
                  <c:v>16.167564844000001</c:v>
                </c:pt>
                <c:pt idx="138">
                  <c:v>16.213908876000001</c:v>
                </c:pt>
                <c:pt idx="139">
                  <c:v>16.260535097999998</c:v>
                </c:pt>
                <c:pt idx="140">
                  <c:v>16.307433936999999</c:v>
                </c:pt>
                <c:pt idx="141">
                  <c:v>16.354595727</c:v>
                </c:pt>
                <c:pt idx="142">
                  <c:v>16.402010706999999</c:v>
                </c:pt>
                <c:pt idx="143">
                  <c:v>16.449669019000002</c:v>
                </c:pt>
                <c:pt idx="144">
                  <c:v>16.497560712999999</c:v>
                </c:pt>
                <c:pt idx="145">
                  <c:v>16.545675744</c:v>
                </c:pt>
                <c:pt idx="146">
                  <c:v>16.594003977</c:v>
                </c:pt>
                <c:pt idx="147">
                  <c:v>16.642535182</c:v>
                </c:pt>
                <c:pt idx="148">
                  <c:v>16.691259038999998</c:v>
                </c:pt>
                <c:pt idx="149">
                  <c:v>16.740165136000002</c:v>
                </c:pt>
                <c:pt idx="150">
                  <c:v>16.789242971</c:v>
                </c:pt>
                <c:pt idx="151">
                  <c:v>16.838481951999999</c:v>
                </c:pt>
                <c:pt idx="152">
                  <c:v>16.887871397000001</c:v>
                </c:pt>
                <c:pt idx="153">
                  <c:v>16.937400534999998</c:v>
                </c:pt>
                <c:pt idx="154">
                  <c:v>16.987058507</c:v>
                </c:pt>
                <c:pt idx="155">
                  <c:v>17.036834365000001</c:v>
                </c:pt>
                <c:pt idx="156">
                  <c:v>17.086717071999999</c:v>
                </c:pt>
                <c:pt idx="157">
                  <c:v>17.136695504999999</c:v>
                </c:pt>
                <c:pt idx="158">
                  <c:v>17.186758452999999</c:v>
                </c:pt>
                <c:pt idx="159">
                  <c:v>17.236894617000001</c:v>
                </c:pt>
                <c:pt idx="160">
                  <c:v>17.287092612999999</c:v>
                </c:pt>
                <c:pt idx="161">
                  <c:v>17.337340966999999</c:v>
                </c:pt>
                <c:pt idx="162">
                  <c:v>17.387628118999999</c:v>
                </c:pt>
                <c:pt idx="163">
                  <c:v>17.437942423999999</c:v>
                </c:pt>
                <c:pt idx="164">
                  <c:v>17.488272148</c:v>
                </c:pt>
                <c:pt idx="165">
                  <c:v>17.538605469</c:v>
                </c:pt>
                <c:pt idx="166">
                  <c:v>17.588930478999998</c:v>
                </c:pt>
                <c:pt idx="167">
                  <c:v>17.639235182</c:v>
                </c:pt>
                <c:pt idx="168">
                  <c:v>17.689507494000001</c:v>
                </c:pt>
                <c:pt idx="169">
                  <c:v>17.739735240000002</c:v>
                </c:pt>
                <c:pt idx="170">
                  <c:v>17.789906158000001</c:v>
                </c:pt>
                <c:pt idx="171">
                  <c:v>17.840007895999999</c:v>
                </c:pt>
                <c:pt idx="172">
                  <c:v>17.890028371</c:v>
                </c:pt>
                <c:pt idx="173">
                  <c:v>17.939954291999999</c:v>
                </c:pt>
                <c:pt idx="174">
                  <c:v>17.989773433</c:v>
                </c:pt>
                <c:pt idx="175">
                  <c:v>18.039473074</c:v>
                </c:pt>
                <c:pt idx="176">
                  <c:v>18.089040400999998</c:v>
                </c:pt>
                <c:pt idx="177">
                  <c:v>18.138462504</c:v>
                </c:pt>
                <c:pt idx="178">
                  <c:v>18.187726378000001</c:v>
                </c:pt>
                <c:pt idx="179">
                  <c:v>18.236818921000001</c:v>
                </c:pt>
                <c:pt idx="180">
                  <c:v>18.285726929999999</c:v>
                </c:pt>
                <c:pt idx="181">
                  <c:v>18.334437102999999</c:v>
                </c:pt>
                <c:pt idx="182">
                  <c:v>18.382936039000001</c:v>
                </c:pt>
                <c:pt idx="183">
                  <c:v>18.431210231000001</c:v>
                </c:pt>
                <c:pt idx="184">
                  <c:v>18.479246069999999</c:v>
                </c:pt>
                <c:pt idx="185">
                  <c:v>18.527029841000001</c:v>
                </c:pt>
                <c:pt idx="186">
                  <c:v>18.574547720999998</c:v>
                </c:pt>
                <c:pt idx="187">
                  <c:v>18.62178578</c:v>
                </c:pt>
                <c:pt idx="188">
                  <c:v>18.668729978999998</c:v>
                </c:pt>
                <c:pt idx="189">
                  <c:v>18.715366165999999</c:v>
                </c:pt>
                <c:pt idx="190">
                  <c:v>18.761680078000001</c:v>
                </c:pt>
                <c:pt idx="191">
                  <c:v>18.807657335999998</c:v>
                </c:pt>
                <c:pt idx="192">
                  <c:v>18.853283397999999</c:v>
                </c:pt>
                <c:pt idx="193">
                  <c:v>18.898543729</c:v>
                </c:pt>
                <c:pt idx="194">
                  <c:v>18.943423208999999</c:v>
                </c:pt>
                <c:pt idx="195">
                  <c:v>18.987908130000001</c:v>
                </c:pt>
                <c:pt idx="196">
                  <c:v>19.031982616000001</c:v>
                </c:pt>
                <c:pt idx="197">
                  <c:v>19.075631189999999</c:v>
                </c:pt>
                <c:pt idx="198">
                  <c:v>19.118839426000001</c:v>
                </c:pt>
                <c:pt idx="199">
                  <c:v>19.161591719</c:v>
                </c:pt>
                <c:pt idx="200">
                  <c:v>19.203872602000001</c:v>
                </c:pt>
                <c:pt idx="201">
                  <c:v>19.245666485000001</c:v>
                </c:pt>
                <c:pt idx="202">
                  <c:v>19.286957644000001</c:v>
                </c:pt>
                <c:pt idx="203">
                  <c:v>19.327730231</c:v>
                </c:pt>
                <c:pt idx="204">
                  <c:v>19.367968582</c:v>
                </c:pt>
                <c:pt idx="205">
                  <c:v>19.407655808000001</c:v>
                </c:pt>
                <c:pt idx="206">
                  <c:v>19.446776243999999</c:v>
                </c:pt>
                <c:pt idx="207">
                  <c:v>19.485313358999999</c:v>
                </c:pt>
                <c:pt idx="208">
                  <c:v>19.523250620999999</c:v>
                </c:pt>
                <c:pt idx="209">
                  <c:v>19.560571356000001</c:v>
                </c:pt>
                <c:pt idx="210">
                  <c:v>19.597258745000001</c:v>
                </c:pt>
                <c:pt idx="211">
                  <c:v>19.633295823000001</c:v>
                </c:pt>
                <c:pt idx="212">
                  <c:v>19.668665474000001</c:v>
                </c:pt>
                <c:pt idx="213">
                  <c:v>19.703349738</c:v>
                </c:pt>
                <c:pt idx="214">
                  <c:v>19.7373324</c:v>
                </c:pt>
                <c:pt idx="215">
                  <c:v>19.770595302</c:v>
                </c:pt>
                <c:pt idx="216">
                  <c:v>19.803120681999999</c:v>
                </c:pt>
                <c:pt idx="217">
                  <c:v>19.819101225000001</c:v>
                </c:pt>
                <c:pt idx="218">
                  <c:v>19.834890605999998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0A3-475E-8102-308D7776DD13}"/>
            </c:ext>
          </c:extLst>
        </c:ser>
        <c:ser>
          <c:idx val="4"/>
          <c:order val="5"/>
          <c:tx>
            <c:v>P25 boys</c:v>
          </c:tx>
          <c:spPr>
            <a:ln w="6350" cap="rnd">
              <a:solidFill>
                <a:srgbClr val="00B0F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bmi4age!$B$2:$B$220</c:f>
              <c:numCache>
                <c:formatCode>0.00</c:formatCode>
                <c:ptCount val="219"/>
                <c:pt idx="0">
                  <c:v>2</c:v>
                </c:pt>
                <c:pt idx="1">
                  <c:v>2.0416666666666665</c:v>
                </c:pt>
                <c:pt idx="2">
                  <c:v>2.125</c:v>
                </c:pt>
                <c:pt idx="3">
                  <c:v>2.2083333333333335</c:v>
                </c:pt>
                <c:pt idx="4">
                  <c:v>2.2916666666666665</c:v>
                </c:pt>
                <c:pt idx="5">
                  <c:v>2.375</c:v>
                </c:pt>
                <c:pt idx="6">
                  <c:v>2.4583333333333335</c:v>
                </c:pt>
                <c:pt idx="7">
                  <c:v>2.5416666666666665</c:v>
                </c:pt>
                <c:pt idx="8">
                  <c:v>2.625</c:v>
                </c:pt>
                <c:pt idx="9">
                  <c:v>2.7083333333333335</c:v>
                </c:pt>
                <c:pt idx="10">
                  <c:v>2.7916666666666665</c:v>
                </c:pt>
                <c:pt idx="11">
                  <c:v>2.875</c:v>
                </c:pt>
                <c:pt idx="12">
                  <c:v>2.9583333333333335</c:v>
                </c:pt>
                <c:pt idx="13">
                  <c:v>3.0416666666666665</c:v>
                </c:pt>
                <c:pt idx="14">
                  <c:v>3.125</c:v>
                </c:pt>
                <c:pt idx="15">
                  <c:v>3.2083333333333335</c:v>
                </c:pt>
                <c:pt idx="16">
                  <c:v>3.2916666666666665</c:v>
                </c:pt>
                <c:pt idx="17">
                  <c:v>3.375</c:v>
                </c:pt>
                <c:pt idx="18">
                  <c:v>3.4583333333333335</c:v>
                </c:pt>
                <c:pt idx="19">
                  <c:v>3.5416666666666665</c:v>
                </c:pt>
                <c:pt idx="20">
                  <c:v>3.625</c:v>
                </c:pt>
                <c:pt idx="21">
                  <c:v>3.7083333333333335</c:v>
                </c:pt>
                <c:pt idx="22">
                  <c:v>3.7916666666666665</c:v>
                </c:pt>
                <c:pt idx="23">
                  <c:v>3.875</c:v>
                </c:pt>
                <c:pt idx="24">
                  <c:v>3.9583333333333335</c:v>
                </c:pt>
                <c:pt idx="25">
                  <c:v>4.041666666666667</c:v>
                </c:pt>
                <c:pt idx="26">
                  <c:v>4.125</c:v>
                </c:pt>
                <c:pt idx="27">
                  <c:v>4.208333333333333</c:v>
                </c:pt>
                <c:pt idx="28">
                  <c:v>4.291666666666667</c:v>
                </c:pt>
                <c:pt idx="29">
                  <c:v>4.375</c:v>
                </c:pt>
                <c:pt idx="30">
                  <c:v>4.458333333333333</c:v>
                </c:pt>
                <c:pt idx="31">
                  <c:v>4.541666666666667</c:v>
                </c:pt>
                <c:pt idx="32">
                  <c:v>4.625</c:v>
                </c:pt>
                <c:pt idx="33">
                  <c:v>4.708333333333333</c:v>
                </c:pt>
                <c:pt idx="34">
                  <c:v>4.791666666666667</c:v>
                </c:pt>
                <c:pt idx="35">
                  <c:v>4.875</c:v>
                </c:pt>
                <c:pt idx="36">
                  <c:v>4.958333333333333</c:v>
                </c:pt>
                <c:pt idx="37">
                  <c:v>5.041666666666667</c:v>
                </c:pt>
                <c:pt idx="38">
                  <c:v>5.125</c:v>
                </c:pt>
                <c:pt idx="39">
                  <c:v>5.208333333333333</c:v>
                </c:pt>
                <c:pt idx="40">
                  <c:v>5.291666666666667</c:v>
                </c:pt>
                <c:pt idx="41">
                  <c:v>5.375</c:v>
                </c:pt>
                <c:pt idx="42">
                  <c:v>5.458333333333333</c:v>
                </c:pt>
                <c:pt idx="43">
                  <c:v>5.541666666666667</c:v>
                </c:pt>
                <c:pt idx="44">
                  <c:v>5.625</c:v>
                </c:pt>
                <c:pt idx="45">
                  <c:v>5.708333333333333</c:v>
                </c:pt>
                <c:pt idx="46">
                  <c:v>5.791666666666667</c:v>
                </c:pt>
                <c:pt idx="47">
                  <c:v>5.875</c:v>
                </c:pt>
                <c:pt idx="48">
                  <c:v>5.958333333333333</c:v>
                </c:pt>
                <c:pt idx="49">
                  <c:v>6.041666666666667</c:v>
                </c:pt>
                <c:pt idx="50">
                  <c:v>6.125</c:v>
                </c:pt>
                <c:pt idx="51">
                  <c:v>6.208333333333333</c:v>
                </c:pt>
                <c:pt idx="52">
                  <c:v>6.291666666666667</c:v>
                </c:pt>
                <c:pt idx="53">
                  <c:v>6.375</c:v>
                </c:pt>
                <c:pt idx="54">
                  <c:v>6.458333333333333</c:v>
                </c:pt>
                <c:pt idx="55">
                  <c:v>6.541666666666667</c:v>
                </c:pt>
                <c:pt idx="56">
                  <c:v>6.625</c:v>
                </c:pt>
                <c:pt idx="57">
                  <c:v>6.708333333333333</c:v>
                </c:pt>
                <c:pt idx="58">
                  <c:v>6.791666666666667</c:v>
                </c:pt>
                <c:pt idx="59">
                  <c:v>6.875</c:v>
                </c:pt>
                <c:pt idx="60">
                  <c:v>6.958333333333333</c:v>
                </c:pt>
                <c:pt idx="61">
                  <c:v>7.041666666666667</c:v>
                </c:pt>
                <c:pt idx="62">
                  <c:v>7.125</c:v>
                </c:pt>
                <c:pt idx="63">
                  <c:v>7.208333333333333</c:v>
                </c:pt>
                <c:pt idx="64">
                  <c:v>7.291666666666667</c:v>
                </c:pt>
                <c:pt idx="65">
                  <c:v>7.375</c:v>
                </c:pt>
                <c:pt idx="66">
                  <c:v>7.458333333333333</c:v>
                </c:pt>
                <c:pt idx="67">
                  <c:v>7.541666666666667</c:v>
                </c:pt>
                <c:pt idx="68">
                  <c:v>7.625</c:v>
                </c:pt>
                <c:pt idx="69">
                  <c:v>7.708333333333333</c:v>
                </c:pt>
                <c:pt idx="70">
                  <c:v>7.791666666666667</c:v>
                </c:pt>
                <c:pt idx="71">
                  <c:v>7.875</c:v>
                </c:pt>
                <c:pt idx="72">
                  <c:v>7.958333333333333</c:v>
                </c:pt>
                <c:pt idx="73">
                  <c:v>8.0416666666666661</c:v>
                </c:pt>
                <c:pt idx="74">
                  <c:v>8.125</c:v>
                </c:pt>
                <c:pt idx="75">
                  <c:v>8.2083333333333339</c:v>
                </c:pt>
                <c:pt idx="76">
                  <c:v>8.2916666666666661</c:v>
                </c:pt>
                <c:pt idx="77">
                  <c:v>8.375</c:v>
                </c:pt>
                <c:pt idx="78">
                  <c:v>8.4583333333333339</c:v>
                </c:pt>
                <c:pt idx="79">
                  <c:v>8.5416666666666661</c:v>
                </c:pt>
                <c:pt idx="80">
                  <c:v>8.625</c:v>
                </c:pt>
                <c:pt idx="81">
                  <c:v>8.7083333333333339</c:v>
                </c:pt>
                <c:pt idx="82">
                  <c:v>8.7916666666666661</c:v>
                </c:pt>
                <c:pt idx="83">
                  <c:v>8.875</c:v>
                </c:pt>
                <c:pt idx="84">
                  <c:v>8.9583333333333339</c:v>
                </c:pt>
                <c:pt idx="85">
                  <c:v>9.0416666666666661</c:v>
                </c:pt>
                <c:pt idx="86">
                  <c:v>9.125</c:v>
                </c:pt>
                <c:pt idx="87">
                  <c:v>9.2083333333333339</c:v>
                </c:pt>
                <c:pt idx="88">
                  <c:v>9.2916666666666661</c:v>
                </c:pt>
                <c:pt idx="89">
                  <c:v>9.375</c:v>
                </c:pt>
                <c:pt idx="90">
                  <c:v>9.4583333333333339</c:v>
                </c:pt>
                <c:pt idx="91">
                  <c:v>9.5416666666666661</c:v>
                </c:pt>
                <c:pt idx="92">
                  <c:v>9.625</c:v>
                </c:pt>
                <c:pt idx="93">
                  <c:v>9.7083333333333339</c:v>
                </c:pt>
                <c:pt idx="94">
                  <c:v>9.7916666666666661</c:v>
                </c:pt>
                <c:pt idx="95">
                  <c:v>9.875</c:v>
                </c:pt>
                <c:pt idx="96">
                  <c:v>9.9583333333333339</c:v>
                </c:pt>
                <c:pt idx="97">
                  <c:v>10.041666666666666</c:v>
                </c:pt>
                <c:pt idx="98">
                  <c:v>10.125</c:v>
                </c:pt>
                <c:pt idx="99">
                  <c:v>10.208333333333334</c:v>
                </c:pt>
                <c:pt idx="100">
                  <c:v>10.291666666666666</c:v>
                </c:pt>
                <c:pt idx="101">
                  <c:v>10.375</c:v>
                </c:pt>
                <c:pt idx="102">
                  <c:v>10.458333333333334</c:v>
                </c:pt>
                <c:pt idx="103">
                  <c:v>10.541666666666666</c:v>
                </c:pt>
                <c:pt idx="104">
                  <c:v>10.625</c:v>
                </c:pt>
                <c:pt idx="105">
                  <c:v>10.708333333333334</c:v>
                </c:pt>
                <c:pt idx="106">
                  <c:v>10.791666666666666</c:v>
                </c:pt>
                <c:pt idx="107">
                  <c:v>10.875</c:v>
                </c:pt>
                <c:pt idx="108">
                  <c:v>10.958333333333334</c:v>
                </c:pt>
                <c:pt idx="109">
                  <c:v>11.041666666666666</c:v>
                </c:pt>
                <c:pt idx="110">
                  <c:v>11.125</c:v>
                </c:pt>
                <c:pt idx="111">
                  <c:v>11.208333333333334</c:v>
                </c:pt>
                <c:pt idx="112">
                  <c:v>11.291666666666666</c:v>
                </c:pt>
                <c:pt idx="113">
                  <c:v>11.375</c:v>
                </c:pt>
                <c:pt idx="114">
                  <c:v>11.458333333333334</c:v>
                </c:pt>
                <c:pt idx="115">
                  <c:v>11.541666666666666</c:v>
                </c:pt>
                <c:pt idx="116">
                  <c:v>11.625</c:v>
                </c:pt>
                <c:pt idx="117">
                  <c:v>11.708333333333334</c:v>
                </c:pt>
                <c:pt idx="118">
                  <c:v>11.791666666666666</c:v>
                </c:pt>
                <c:pt idx="119">
                  <c:v>11.875</c:v>
                </c:pt>
                <c:pt idx="120">
                  <c:v>11.958333333333334</c:v>
                </c:pt>
                <c:pt idx="121">
                  <c:v>12.041666666666666</c:v>
                </c:pt>
                <c:pt idx="122">
                  <c:v>12.125</c:v>
                </c:pt>
                <c:pt idx="123">
                  <c:v>12.208333333333334</c:v>
                </c:pt>
                <c:pt idx="124">
                  <c:v>12.291666666666666</c:v>
                </c:pt>
                <c:pt idx="125">
                  <c:v>12.375</c:v>
                </c:pt>
                <c:pt idx="126">
                  <c:v>12.458333333333334</c:v>
                </c:pt>
                <c:pt idx="127">
                  <c:v>12.541666666666666</c:v>
                </c:pt>
                <c:pt idx="128">
                  <c:v>12.625</c:v>
                </c:pt>
                <c:pt idx="129">
                  <c:v>12.708333333333334</c:v>
                </c:pt>
                <c:pt idx="130">
                  <c:v>12.791666666666666</c:v>
                </c:pt>
                <c:pt idx="131">
                  <c:v>12.875</c:v>
                </c:pt>
                <c:pt idx="132">
                  <c:v>12.958333333333334</c:v>
                </c:pt>
                <c:pt idx="133">
                  <c:v>13.041666666666666</c:v>
                </c:pt>
                <c:pt idx="134">
                  <c:v>13.125</c:v>
                </c:pt>
                <c:pt idx="135">
                  <c:v>13.208333333333334</c:v>
                </c:pt>
                <c:pt idx="136">
                  <c:v>13.291666666666666</c:v>
                </c:pt>
                <c:pt idx="137">
                  <c:v>13.375</c:v>
                </c:pt>
                <c:pt idx="138">
                  <c:v>13.458333333333334</c:v>
                </c:pt>
                <c:pt idx="139">
                  <c:v>13.541666666666666</c:v>
                </c:pt>
                <c:pt idx="140">
                  <c:v>13.625</c:v>
                </c:pt>
                <c:pt idx="141">
                  <c:v>13.708333333333334</c:v>
                </c:pt>
                <c:pt idx="142">
                  <c:v>13.791666666666666</c:v>
                </c:pt>
                <c:pt idx="143">
                  <c:v>13.875</c:v>
                </c:pt>
                <c:pt idx="144">
                  <c:v>13.958333333333334</c:v>
                </c:pt>
                <c:pt idx="145">
                  <c:v>14.041666666666666</c:v>
                </c:pt>
                <c:pt idx="146">
                  <c:v>14.125</c:v>
                </c:pt>
                <c:pt idx="147">
                  <c:v>14.208333333333334</c:v>
                </c:pt>
                <c:pt idx="148">
                  <c:v>14.291666666666666</c:v>
                </c:pt>
                <c:pt idx="149">
                  <c:v>14.375</c:v>
                </c:pt>
                <c:pt idx="150">
                  <c:v>14.458333333333334</c:v>
                </c:pt>
                <c:pt idx="151">
                  <c:v>14.541666666666666</c:v>
                </c:pt>
                <c:pt idx="152">
                  <c:v>14.625</c:v>
                </c:pt>
                <c:pt idx="153">
                  <c:v>14.708333333333334</c:v>
                </c:pt>
                <c:pt idx="154">
                  <c:v>14.791666666666666</c:v>
                </c:pt>
                <c:pt idx="155">
                  <c:v>14.875</c:v>
                </c:pt>
                <c:pt idx="156">
                  <c:v>14.958333333333334</c:v>
                </c:pt>
                <c:pt idx="157">
                  <c:v>15.041666666666666</c:v>
                </c:pt>
                <c:pt idx="158">
                  <c:v>15.125</c:v>
                </c:pt>
                <c:pt idx="159">
                  <c:v>15.208333333333334</c:v>
                </c:pt>
                <c:pt idx="160">
                  <c:v>15.291666666666666</c:v>
                </c:pt>
                <c:pt idx="161">
                  <c:v>15.375</c:v>
                </c:pt>
                <c:pt idx="162">
                  <c:v>15.458333333333334</c:v>
                </c:pt>
                <c:pt idx="163">
                  <c:v>15.541666666666666</c:v>
                </c:pt>
                <c:pt idx="164">
                  <c:v>15.625</c:v>
                </c:pt>
                <c:pt idx="165">
                  <c:v>15.708333333333334</c:v>
                </c:pt>
                <c:pt idx="166">
                  <c:v>15.791666666666666</c:v>
                </c:pt>
                <c:pt idx="167">
                  <c:v>15.875</c:v>
                </c:pt>
                <c:pt idx="168">
                  <c:v>15.958333333333334</c:v>
                </c:pt>
                <c:pt idx="169">
                  <c:v>16.041666666666668</c:v>
                </c:pt>
                <c:pt idx="170">
                  <c:v>16.125</c:v>
                </c:pt>
                <c:pt idx="171">
                  <c:v>16.208333333333332</c:v>
                </c:pt>
                <c:pt idx="172">
                  <c:v>16.291666666666668</c:v>
                </c:pt>
                <c:pt idx="173">
                  <c:v>16.375</c:v>
                </c:pt>
                <c:pt idx="174">
                  <c:v>16.458333333333332</c:v>
                </c:pt>
                <c:pt idx="175">
                  <c:v>16.541666666666668</c:v>
                </c:pt>
                <c:pt idx="176">
                  <c:v>16.625</c:v>
                </c:pt>
                <c:pt idx="177">
                  <c:v>16.708333333333332</c:v>
                </c:pt>
                <c:pt idx="178">
                  <c:v>16.791666666666668</c:v>
                </c:pt>
                <c:pt idx="179">
                  <c:v>16.875</c:v>
                </c:pt>
                <c:pt idx="180">
                  <c:v>16.958333333333332</c:v>
                </c:pt>
                <c:pt idx="181">
                  <c:v>17.041666666666668</c:v>
                </c:pt>
                <c:pt idx="182">
                  <c:v>17.125</c:v>
                </c:pt>
                <c:pt idx="183">
                  <c:v>17.208333333333332</c:v>
                </c:pt>
                <c:pt idx="184">
                  <c:v>17.291666666666668</c:v>
                </c:pt>
                <c:pt idx="185">
                  <c:v>17.375</c:v>
                </c:pt>
                <c:pt idx="186">
                  <c:v>17.458333333333332</c:v>
                </c:pt>
                <c:pt idx="187">
                  <c:v>17.541666666666668</c:v>
                </c:pt>
                <c:pt idx="188">
                  <c:v>17.625</c:v>
                </c:pt>
                <c:pt idx="189">
                  <c:v>17.708333333333332</c:v>
                </c:pt>
                <c:pt idx="190">
                  <c:v>17.791666666666668</c:v>
                </c:pt>
                <c:pt idx="191">
                  <c:v>17.875</c:v>
                </c:pt>
                <c:pt idx="192">
                  <c:v>17.958333333333332</c:v>
                </c:pt>
                <c:pt idx="193">
                  <c:v>18.041666666666668</c:v>
                </c:pt>
                <c:pt idx="194">
                  <c:v>18.125</c:v>
                </c:pt>
                <c:pt idx="195">
                  <c:v>18.208333333333332</c:v>
                </c:pt>
                <c:pt idx="196">
                  <c:v>18.291666666666668</c:v>
                </c:pt>
                <c:pt idx="197">
                  <c:v>18.375</c:v>
                </c:pt>
                <c:pt idx="198">
                  <c:v>18.458333333333332</c:v>
                </c:pt>
                <c:pt idx="199">
                  <c:v>18.541666666666668</c:v>
                </c:pt>
                <c:pt idx="200">
                  <c:v>18.625</c:v>
                </c:pt>
                <c:pt idx="201">
                  <c:v>18.708333333333332</c:v>
                </c:pt>
                <c:pt idx="202">
                  <c:v>18.791666666666668</c:v>
                </c:pt>
                <c:pt idx="203">
                  <c:v>18.875</c:v>
                </c:pt>
                <c:pt idx="204">
                  <c:v>18.958333333333332</c:v>
                </c:pt>
                <c:pt idx="205">
                  <c:v>19.041666666666668</c:v>
                </c:pt>
                <c:pt idx="206">
                  <c:v>19.125</c:v>
                </c:pt>
                <c:pt idx="207">
                  <c:v>19.208333333333332</c:v>
                </c:pt>
                <c:pt idx="208">
                  <c:v>19.291666666666668</c:v>
                </c:pt>
                <c:pt idx="209">
                  <c:v>19.375</c:v>
                </c:pt>
                <c:pt idx="210">
                  <c:v>19.458333333333332</c:v>
                </c:pt>
                <c:pt idx="211">
                  <c:v>19.541666666666668</c:v>
                </c:pt>
                <c:pt idx="212">
                  <c:v>19.625</c:v>
                </c:pt>
                <c:pt idx="213">
                  <c:v>19.708333333333332</c:v>
                </c:pt>
                <c:pt idx="214">
                  <c:v>19.791666666666668</c:v>
                </c:pt>
                <c:pt idx="215">
                  <c:v>19.875</c:v>
                </c:pt>
                <c:pt idx="216">
                  <c:v>19.958333333333332</c:v>
                </c:pt>
                <c:pt idx="217">
                  <c:v>20</c:v>
                </c:pt>
                <c:pt idx="218">
                  <c:v>20.041666666666668</c:v>
                </c:pt>
              </c:numCache>
            </c:numRef>
          </c:xVal>
          <c:yVal>
            <c:numRef>
              <c:f>bmi4age!$I$2:$I$220</c:f>
              <c:numCache>
                <c:formatCode>General</c:formatCode>
                <c:ptCount val="219"/>
                <c:pt idx="0">
                  <c:v>15.741642329999999</c:v>
                </c:pt>
                <c:pt idx="1">
                  <c:v>15.719628760000001</c:v>
                </c:pt>
                <c:pt idx="2">
                  <c:v>15.676344635</c:v>
                </c:pt>
                <c:pt idx="3">
                  <c:v>15.634034999000001</c:v>
                </c:pt>
                <c:pt idx="4">
                  <c:v>15.592679796000001</c:v>
                </c:pt>
                <c:pt idx="5">
                  <c:v>15.552258527999999</c:v>
                </c:pt>
                <c:pt idx="6">
                  <c:v>15.512750566999999</c:v>
                </c:pt>
                <c:pt idx="7">
                  <c:v>15.474135486</c:v>
                </c:pt>
                <c:pt idx="8">
                  <c:v>15.436393188</c:v>
                </c:pt>
                <c:pt idx="9">
                  <c:v>15.399505212999999</c:v>
                </c:pt>
                <c:pt idx="10">
                  <c:v>15.363453352000001</c:v>
                </c:pt>
                <c:pt idx="11">
                  <c:v>15.328221247</c:v>
                </c:pt>
                <c:pt idx="12">
                  <c:v>15.293794298</c:v>
                </c:pt>
                <c:pt idx="13">
                  <c:v>15.260159883</c:v>
                </c:pt>
                <c:pt idx="14">
                  <c:v>15.22730791</c:v>
                </c:pt>
                <c:pt idx="15">
                  <c:v>15.195228800000001</c:v>
                </c:pt>
                <c:pt idx="16">
                  <c:v>15.163919011999999</c:v>
                </c:pt>
                <c:pt idx="17">
                  <c:v>15.133373820999999</c:v>
                </c:pt>
                <c:pt idx="18">
                  <c:v>15.103592813000001</c:v>
                </c:pt>
                <c:pt idx="19">
                  <c:v>15.074577279</c:v>
                </c:pt>
                <c:pt idx="20">
                  <c:v>15.046332352</c:v>
                </c:pt>
                <c:pt idx="21">
                  <c:v>15.018863186000001</c:v>
                </c:pt>
                <c:pt idx="22">
                  <c:v>14.992177658999999</c:v>
                </c:pt>
                <c:pt idx="23">
                  <c:v>14.966287194</c:v>
                </c:pt>
                <c:pt idx="24">
                  <c:v>14.941203248000001</c:v>
                </c:pt>
                <c:pt idx="25">
                  <c:v>14.916939106999999</c:v>
                </c:pt>
                <c:pt idx="26">
                  <c:v>14.893509134</c:v>
                </c:pt>
                <c:pt idx="27">
                  <c:v>14.870928450999999</c:v>
                </c:pt>
                <c:pt idx="28">
                  <c:v>14.849212593000001</c:v>
                </c:pt>
                <c:pt idx="29">
                  <c:v>14.828376619</c:v>
                </c:pt>
                <c:pt idx="30">
                  <c:v>14.808437487000001</c:v>
                </c:pt>
                <c:pt idx="31">
                  <c:v>14.7894083</c:v>
                </c:pt>
                <c:pt idx="32">
                  <c:v>14.771303434</c:v>
                </c:pt>
                <c:pt idx="33">
                  <c:v>14.754135564</c:v>
                </c:pt>
                <c:pt idx="34">
                  <c:v>14.737915992</c:v>
                </c:pt>
                <c:pt idx="35">
                  <c:v>14.722655011000001</c:v>
                </c:pt>
                <c:pt idx="36">
                  <c:v>14.708360040000001</c:v>
                </c:pt>
                <c:pt idx="37">
                  <c:v>14.695037643999999</c:v>
                </c:pt>
                <c:pt idx="38">
                  <c:v>14.682692443000001</c:v>
                </c:pt>
                <c:pt idx="39">
                  <c:v>14.671327346</c:v>
                </c:pt>
                <c:pt idx="40">
                  <c:v>14.660944024999999</c:v>
                </c:pt>
                <c:pt idx="41">
                  <c:v>14.651541441000001</c:v>
                </c:pt>
                <c:pt idx="42">
                  <c:v>14.643118207000001</c:v>
                </c:pt>
                <c:pt idx="43">
                  <c:v>14.635671305000001</c:v>
                </c:pt>
                <c:pt idx="44">
                  <c:v>14.629196563000001</c:v>
                </c:pt>
                <c:pt idx="45">
                  <c:v>14.623688807000001</c:v>
                </c:pt>
                <c:pt idx="46">
                  <c:v>14.619142</c:v>
                </c:pt>
                <c:pt idx="47">
                  <c:v>14.615549382999999</c:v>
                </c:pt>
                <c:pt idx="48">
                  <c:v>14.612903601999999</c:v>
                </c:pt>
                <c:pt idx="49">
                  <c:v>14.611196824</c:v>
                </c:pt>
                <c:pt idx="50">
                  <c:v>14.610420846</c:v>
                </c:pt>
                <c:pt idx="51">
                  <c:v>14.610567186000001</c:v>
                </c:pt>
                <c:pt idx="52">
                  <c:v>14.611627365</c:v>
                </c:pt>
                <c:pt idx="53">
                  <c:v>14.613592234</c:v>
                </c:pt>
                <c:pt idx="54">
                  <c:v>14.616453067</c:v>
                </c:pt>
                <c:pt idx="55">
                  <c:v>14.620200966000001</c:v>
                </c:pt>
                <c:pt idx="56">
                  <c:v>14.624827045</c:v>
                </c:pt>
                <c:pt idx="57">
                  <c:v>14.630322380000001</c:v>
                </c:pt>
                <c:pt idx="58">
                  <c:v>14.636678443999999</c:v>
                </c:pt>
                <c:pt idx="59">
                  <c:v>14.643886387</c:v>
                </c:pt>
                <c:pt idx="60">
                  <c:v>14.651937632999999</c:v>
                </c:pt>
                <c:pt idx="61">
                  <c:v>14.660823717</c:v>
                </c:pt>
                <c:pt idx="62">
                  <c:v>14.670536289999999</c:v>
                </c:pt>
                <c:pt idx="63">
                  <c:v>14.68106712</c:v>
                </c:pt>
                <c:pt idx="64">
                  <c:v>14.692408091000001</c:v>
                </c:pt>
                <c:pt idx="65">
                  <c:v>14.704551201999999</c:v>
                </c:pt>
                <c:pt idx="66">
                  <c:v>14.71748869</c:v>
                </c:pt>
                <c:pt idx="67">
                  <c:v>14.731212383000001</c:v>
                </c:pt>
                <c:pt idx="68">
                  <c:v>14.745714980000001</c:v>
                </c:pt>
                <c:pt idx="69">
                  <c:v>14.760988761</c:v>
                </c:pt>
                <c:pt idx="70">
                  <c:v>14.777026222</c:v>
                </c:pt>
                <c:pt idx="71">
                  <c:v>14.793819942000001</c:v>
                </c:pt>
                <c:pt idx="72">
                  <c:v>14.811362575</c:v>
                </c:pt>
                <c:pt idx="73">
                  <c:v>14.829646844999999</c:v>
                </c:pt>
                <c:pt idx="74">
                  <c:v>14.848665539000001</c:v>
                </c:pt>
                <c:pt idx="75">
                  <c:v>14.868411526999999</c:v>
                </c:pt>
                <c:pt idx="76">
                  <c:v>14.888877644000001</c:v>
                </c:pt>
                <c:pt idx="77">
                  <c:v>14.910056866</c:v>
                </c:pt>
                <c:pt idx="78">
                  <c:v>14.931942184</c:v>
                </c:pt>
                <c:pt idx="79">
                  <c:v>14.954526592000001</c:v>
                </c:pt>
                <c:pt idx="80">
                  <c:v>14.977803131</c:v>
                </c:pt>
                <c:pt idx="81">
                  <c:v>15.001764881</c:v>
                </c:pt>
                <c:pt idx="82">
                  <c:v>15.02640489</c:v>
                </c:pt>
                <c:pt idx="83">
                  <c:v>15.051716262999999</c:v>
                </c:pt>
                <c:pt idx="84">
                  <c:v>15.077692089999999</c:v>
                </c:pt>
                <c:pt idx="85">
                  <c:v>15.104325556999999</c:v>
                </c:pt>
                <c:pt idx="86">
                  <c:v>15.131609676</c:v>
                </c:pt>
                <c:pt idx="87">
                  <c:v>15.159537587999999</c:v>
                </c:pt>
                <c:pt idx="88">
                  <c:v>15.188102404</c:v>
                </c:pt>
                <c:pt idx="89">
                  <c:v>15.217297215</c:v>
                </c:pt>
                <c:pt idx="90">
                  <c:v>15.247115104000001</c:v>
                </c:pt>
                <c:pt idx="91">
                  <c:v>15.27754914</c:v>
                </c:pt>
                <c:pt idx="92">
                  <c:v>15.308592377</c:v>
                </c:pt>
                <c:pt idx="93">
                  <c:v>15.340237846999999</c:v>
                </c:pt>
                <c:pt idx="94">
                  <c:v>15.372478564</c:v>
                </c:pt>
                <c:pt idx="95">
                  <c:v>15.405307515000001</c:v>
                </c:pt>
                <c:pt idx="96">
                  <c:v>15.438717663</c:v>
                </c:pt>
                <c:pt idx="97">
                  <c:v>15.472701945000001</c:v>
                </c:pt>
                <c:pt idx="98">
                  <c:v>15.507253261000001</c:v>
                </c:pt>
                <c:pt idx="99">
                  <c:v>15.542364501</c:v>
                </c:pt>
                <c:pt idx="100">
                  <c:v>15.578028494</c:v>
                </c:pt>
                <c:pt idx="101">
                  <c:v>15.614238052999999</c:v>
                </c:pt>
                <c:pt idx="102">
                  <c:v>15.650985951999999</c:v>
                </c:pt>
                <c:pt idx="103">
                  <c:v>15.688264930000001</c:v>
                </c:pt>
                <c:pt idx="104">
                  <c:v>15.726067684</c:v>
                </c:pt>
                <c:pt idx="105">
                  <c:v>15.764386877</c:v>
                </c:pt>
                <c:pt idx="106">
                  <c:v>15.80321513</c:v>
                </c:pt>
                <c:pt idx="107">
                  <c:v>15.842545024</c:v>
                </c:pt>
                <c:pt idx="108">
                  <c:v>15.882369097</c:v>
                </c:pt>
                <c:pt idx="109">
                  <c:v>15.922679848</c:v>
                </c:pt>
                <c:pt idx="110">
                  <c:v>15.963469729</c:v>
                </c:pt>
                <c:pt idx="111">
                  <c:v>16.004731153000002</c:v>
                </c:pt>
                <c:pt idx="112">
                  <c:v>16.046456484</c:v>
                </c:pt>
                <c:pt idx="113">
                  <c:v>16.088638114999998</c:v>
                </c:pt>
                <c:pt idx="114">
                  <c:v>16.131268212999998</c:v>
                </c:pt>
                <c:pt idx="115">
                  <c:v>16.174339049</c:v>
                </c:pt>
                <c:pt idx="116">
                  <c:v>16.217842806</c:v>
                </c:pt>
                <c:pt idx="117">
                  <c:v>16.261771619000001</c:v>
                </c:pt>
                <c:pt idx="118">
                  <c:v>16.306117575999998</c:v>
                </c:pt>
                <c:pt idx="119">
                  <c:v>16.350872717000001</c:v>
                </c:pt>
                <c:pt idx="120">
                  <c:v>16.396029033000001</c:v>
                </c:pt>
                <c:pt idx="121">
                  <c:v>16.441578465999999</c:v>
                </c:pt>
                <c:pt idx="122">
                  <c:v>16.487512908999999</c:v>
                </c:pt>
                <c:pt idx="123">
                  <c:v>16.533824206999999</c:v>
                </c:pt>
                <c:pt idx="124">
                  <c:v>16.580504153</c:v>
                </c:pt>
                <c:pt idx="125">
                  <c:v>16.627544490999998</c:v>
                </c:pt>
                <c:pt idx="126">
                  <c:v>16.674936915</c:v>
                </c:pt>
                <c:pt idx="127">
                  <c:v>16.722673065999999</c:v>
                </c:pt>
                <c:pt idx="128">
                  <c:v>16.770744535999999</c:v>
                </c:pt>
                <c:pt idx="129">
                  <c:v>16.819142864</c:v>
                </c:pt>
                <c:pt idx="130">
                  <c:v>16.867859538000001</c:v>
                </c:pt>
                <c:pt idx="131">
                  <c:v>16.916885994000001</c:v>
                </c:pt>
                <c:pt idx="132">
                  <c:v>16.966213614000001</c:v>
                </c:pt>
                <c:pt idx="133">
                  <c:v>17.015833728</c:v>
                </c:pt>
                <c:pt idx="134">
                  <c:v>17.065737613</c:v>
                </c:pt>
                <c:pt idx="135">
                  <c:v>17.115916491</c:v>
                </c:pt>
                <c:pt idx="136">
                  <c:v>17.166361531</c:v>
                </c:pt>
                <c:pt idx="137">
                  <c:v>17.217063843999998</c:v>
                </c:pt>
                <c:pt idx="138">
                  <c:v>17.268014488999999</c:v>
                </c:pt>
                <c:pt idx="139">
                  <c:v>17.319204465999999</c:v>
                </c:pt>
                <c:pt idx="140">
                  <c:v>17.370624721999999</c:v>
                </c:pt>
                <c:pt idx="141">
                  <c:v>17.422266142000002</c:v>
                </c:pt>
                <c:pt idx="142">
                  <c:v>17.474119556000002</c:v>
                </c:pt>
                <c:pt idx="143">
                  <c:v>17.526175733999999</c:v>
                </c:pt>
                <c:pt idx="144">
                  <c:v>17.578425384999999</c:v>
                </c:pt>
                <c:pt idx="145">
                  <c:v>17.63085916</c:v>
                </c:pt>
                <c:pt idx="146">
                  <c:v>17.683467644</c:v>
                </c:pt>
                <c:pt idx="147">
                  <c:v>17.736241363000001</c:v>
                </c:pt>
                <c:pt idx="148">
                  <c:v>17.789170775999999</c:v>
                </c:pt>
                <c:pt idx="149">
                  <c:v>17.842246280000001</c:v>
                </c:pt>
                <c:pt idx="150">
                  <c:v>17.895458202</c:v>
                </c:pt>
                <c:pt idx="151">
                  <c:v>17.948796804000001</c:v>
                </c:pt>
                <c:pt idx="152">
                  <c:v>18.002252276</c:v>
                </c:pt>
                <c:pt idx="153">
                  <c:v>18.055814738999999</c:v>
                </c:pt>
                <c:pt idx="154">
                  <c:v>18.109474241000001</c:v>
                </c:pt>
                <c:pt idx="155">
                  <c:v>18.163220756000001</c:v>
                </c:pt>
                <c:pt idx="156">
                  <c:v>18.217044181999999</c:v>
                </c:pt>
                <c:pt idx="157">
                  <c:v>18.270934339</c:v>
                </c:pt>
                <c:pt idx="158">
                  <c:v>18.324880968999999</c:v>
                </c:pt>
                <c:pt idx="159">
                  <c:v>18.378873730999999</c:v>
                </c:pt>
                <c:pt idx="160">
                  <c:v>18.432902201000001</c:v>
                </c:pt>
                <c:pt idx="161">
                  <c:v>18.486955868999999</c:v>
                </c:pt>
                <c:pt idx="162">
                  <c:v>18.541024138000001</c:v>
                </c:pt>
                <c:pt idx="163">
                  <c:v>18.595096322</c:v>
                </c:pt>
                <c:pt idx="164">
                  <c:v>18.649161640999999</c:v>
                </c:pt>
                <c:pt idx="165">
                  <c:v>18.703209223000002</c:v>
                </c:pt>
                <c:pt idx="166">
                  <c:v>18.757228098999999</c:v>
                </c:pt>
                <c:pt idx="167">
                  <c:v>18.811207201999999</c:v>
                </c:pt>
                <c:pt idx="168">
                  <c:v>18.865135365</c:v>
                </c:pt>
                <c:pt idx="169">
                  <c:v>18.919001315999999</c:v>
                </c:pt>
                <c:pt idx="170">
                  <c:v>18.972793681999999</c:v>
                </c:pt>
                <c:pt idx="171">
                  <c:v>19.026500982000002</c:v>
                </c:pt>
                <c:pt idx="172">
                  <c:v>19.080111485</c:v>
                </c:pt>
                <c:pt idx="173">
                  <c:v>19.133613789000002</c:v>
                </c:pt>
                <c:pt idx="174">
                  <c:v>19.186995928999998</c:v>
                </c:pt>
                <c:pt idx="175">
                  <c:v>19.240245984000001</c:v>
                </c:pt>
                <c:pt idx="176">
                  <c:v>19.293351917999999</c:v>
                </c:pt>
                <c:pt idx="177">
                  <c:v>19.346301582999999</c:v>
                </c:pt>
                <c:pt idx="178">
                  <c:v>19.399082714999999</c:v>
                </c:pt>
                <c:pt idx="179">
                  <c:v>19.451682936000001</c:v>
                </c:pt>
                <c:pt idx="180">
                  <c:v>19.504089752999999</c:v>
                </c:pt>
                <c:pt idx="181">
                  <c:v>19.556290562000001</c:v>
                </c:pt>
                <c:pt idx="182">
                  <c:v>19.608272641999999</c:v>
                </c:pt>
                <c:pt idx="183">
                  <c:v>19.660023163000002</c:v>
                </c:pt>
                <c:pt idx="184">
                  <c:v>19.711529188</c:v>
                </c:pt>
                <c:pt idx="185">
                  <c:v>19.762777668999998</c:v>
                </c:pt>
                <c:pt idx="186">
                  <c:v>19.813755455999999</c:v>
                </c:pt>
                <c:pt idx="187">
                  <c:v>19.864449301000001</c:v>
                </c:pt>
                <c:pt idx="188">
                  <c:v>19.914845857</c:v>
                </c:pt>
                <c:pt idx="189">
                  <c:v>19.964931686</c:v>
                </c:pt>
                <c:pt idx="190">
                  <c:v>20.014693264999998</c:v>
                </c:pt>
                <c:pt idx="191">
                  <c:v>20.064116991999999</c:v>
                </c:pt>
                <c:pt idx="192">
                  <c:v>20.113189212999998</c:v>
                </c:pt>
                <c:pt idx="193">
                  <c:v>20.161896146</c:v>
                </c:pt>
                <c:pt idx="194">
                  <c:v>20.210224137000001</c:v>
                </c:pt>
                <c:pt idx="195">
                  <c:v>20.258158849000001</c:v>
                </c:pt>
                <c:pt idx="196">
                  <c:v>20.305686799</c:v>
                </c:pt>
                <c:pt idx="197">
                  <c:v>20.352794329000002</c:v>
                </c:pt>
                <c:pt idx="198">
                  <c:v>20.399466948000001</c:v>
                </c:pt>
                <c:pt idx="199">
                  <c:v>20.445690891000002</c:v>
                </c:pt>
                <c:pt idx="200">
                  <c:v>20.491452188</c:v>
                </c:pt>
                <c:pt idx="201">
                  <c:v>20.536736873999999</c:v>
                </c:pt>
                <c:pt idx="202">
                  <c:v>20.581531002999998</c:v>
                </c:pt>
                <c:pt idx="203">
                  <c:v>20.625820656999998</c:v>
                </c:pt>
                <c:pt idx="204">
                  <c:v>20.669591593</c:v>
                </c:pt>
                <c:pt idx="205">
                  <c:v>20.712830948000001</c:v>
                </c:pt>
                <c:pt idx="206">
                  <c:v>20.755524086000001</c:v>
                </c:pt>
                <c:pt idx="207">
                  <c:v>20.797657557000001</c:v>
                </c:pt>
                <c:pt idx="208">
                  <c:v>20.839217729000001</c:v>
                </c:pt>
                <c:pt idx="209">
                  <c:v>20.880191060000001</c:v>
                </c:pt>
                <c:pt idx="210">
                  <c:v>20.920564098</c:v>
                </c:pt>
                <c:pt idx="211">
                  <c:v>20.960323489</c:v>
                </c:pt>
                <c:pt idx="212">
                  <c:v>20.999455987000001</c:v>
                </c:pt>
                <c:pt idx="213">
                  <c:v>21.037948850999999</c:v>
                </c:pt>
                <c:pt idx="214">
                  <c:v>21.075788351</c:v>
                </c:pt>
                <c:pt idx="215">
                  <c:v>21.112961906999999</c:v>
                </c:pt>
                <c:pt idx="216">
                  <c:v>21.149456727</c:v>
                </c:pt>
                <c:pt idx="217">
                  <c:v>21.167445634</c:v>
                </c:pt>
                <c:pt idx="218">
                  <c:v>21.185260137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0A3-475E-8102-308D7776DD13}"/>
            </c:ext>
          </c:extLst>
        </c:ser>
        <c:ser>
          <c:idx val="5"/>
          <c:order val="6"/>
          <c:tx>
            <c:v>P50 boys</c:v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bmi4age!$B$2:$B$220</c:f>
              <c:numCache>
                <c:formatCode>0.00</c:formatCode>
                <c:ptCount val="219"/>
                <c:pt idx="0">
                  <c:v>2</c:v>
                </c:pt>
                <c:pt idx="1">
                  <c:v>2.0416666666666665</c:v>
                </c:pt>
                <c:pt idx="2">
                  <c:v>2.125</c:v>
                </c:pt>
                <c:pt idx="3">
                  <c:v>2.2083333333333335</c:v>
                </c:pt>
                <c:pt idx="4">
                  <c:v>2.2916666666666665</c:v>
                </c:pt>
                <c:pt idx="5">
                  <c:v>2.375</c:v>
                </c:pt>
                <c:pt idx="6">
                  <c:v>2.4583333333333335</c:v>
                </c:pt>
                <c:pt idx="7">
                  <c:v>2.5416666666666665</c:v>
                </c:pt>
                <c:pt idx="8">
                  <c:v>2.625</c:v>
                </c:pt>
                <c:pt idx="9">
                  <c:v>2.7083333333333335</c:v>
                </c:pt>
                <c:pt idx="10">
                  <c:v>2.7916666666666665</c:v>
                </c:pt>
                <c:pt idx="11">
                  <c:v>2.875</c:v>
                </c:pt>
                <c:pt idx="12">
                  <c:v>2.9583333333333335</c:v>
                </c:pt>
                <c:pt idx="13">
                  <c:v>3.0416666666666665</c:v>
                </c:pt>
                <c:pt idx="14">
                  <c:v>3.125</c:v>
                </c:pt>
                <c:pt idx="15">
                  <c:v>3.2083333333333335</c:v>
                </c:pt>
                <c:pt idx="16">
                  <c:v>3.2916666666666665</c:v>
                </c:pt>
                <c:pt idx="17">
                  <c:v>3.375</c:v>
                </c:pt>
                <c:pt idx="18">
                  <c:v>3.4583333333333335</c:v>
                </c:pt>
                <c:pt idx="19">
                  <c:v>3.5416666666666665</c:v>
                </c:pt>
                <c:pt idx="20">
                  <c:v>3.625</c:v>
                </c:pt>
                <c:pt idx="21">
                  <c:v>3.7083333333333335</c:v>
                </c:pt>
                <c:pt idx="22">
                  <c:v>3.7916666666666665</c:v>
                </c:pt>
                <c:pt idx="23">
                  <c:v>3.875</c:v>
                </c:pt>
                <c:pt idx="24">
                  <c:v>3.9583333333333335</c:v>
                </c:pt>
                <c:pt idx="25">
                  <c:v>4.041666666666667</c:v>
                </c:pt>
                <c:pt idx="26">
                  <c:v>4.125</c:v>
                </c:pt>
                <c:pt idx="27">
                  <c:v>4.208333333333333</c:v>
                </c:pt>
                <c:pt idx="28">
                  <c:v>4.291666666666667</c:v>
                </c:pt>
                <c:pt idx="29">
                  <c:v>4.375</c:v>
                </c:pt>
                <c:pt idx="30">
                  <c:v>4.458333333333333</c:v>
                </c:pt>
                <c:pt idx="31">
                  <c:v>4.541666666666667</c:v>
                </c:pt>
                <c:pt idx="32">
                  <c:v>4.625</c:v>
                </c:pt>
                <c:pt idx="33">
                  <c:v>4.708333333333333</c:v>
                </c:pt>
                <c:pt idx="34">
                  <c:v>4.791666666666667</c:v>
                </c:pt>
                <c:pt idx="35">
                  <c:v>4.875</c:v>
                </c:pt>
                <c:pt idx="36">
                  <c:v>4.958333333333333</c:v>
                </c:pt>
                <c:pt idx="37">
                  <c:v>5.041666666666667</c:v>
                </c:pt>
                <c:pt idx="38">
                  <c:v>5.125</c:v>
                </c:pt>
                <c:pt idx="39">
                  <c:v>5.208333333333333</c:v>
                </c:pt>
                <c:pt idx="40">
                  <c:v>5.291666666666667</c:v>
                </c:pt>
                <c:pt idx="41">
                  <c:v>5.375</c:v>
                </c:pt>
                <c:pt idx="42">
                  <c:v>5.458333333333333</c:v>
                </c:pt>
                <c:pt idx="43">
                  <c:v>5.541666666666667</c:v>
                </c:pt>
                <c:pt idx="44">
                  <c:v>5.625</c:v>
                </c:pt>
                <c:pt idx="45">
                  <c:v>5.708333333333333</c:v>
                </c:pt>
                <c:pt idx="46">
                  <c:v>5.791666666666667</c:v>
                </c:pt>
                <c:pt idx="47">
                  <c:v>5.875</c:v>
                </c:pt>
                <c:pt idx="48">
                  <c:v>5.958333333333333</c:v>
                </c:pt>
                <c:pt idx="49">
                  <c:v>6.041666666666667</c:v>
                </c:pt>
                <c:pt idx="50">
                  <c:v>6.125</c:v>
                </c:pt>
                <c:pt idx="51">
                  <c:v>6.208333333333333</c:v>
                </c:pt>
                <c:pt idx="52">
                  <c:v>6.291666666666667</c:v>
                </c:pt>
                <c:pt idx="53">
                  <c:v>6.375</c:v>
                </c:pt>
                <c:pt idx="54">
                  <c:v>6.458333333333333</c:v>
                </c:pt>
                <c:pt idx="55">
                  <c:v>6.541666666666667</c:v>
                </c:pt>
                <c:pt idx="56">
                  <c:v>6.625</c:v>
                </c:pt>
                <c:pt idx="57">
                  <c:v>6.708333333333333</c:v>
                </c:pt>
                <c:pt idx="58">
                  <c:v>6.791666666666667</c:v>
                </c:pt>
                <c:pt idx="59">
                  <c:v>6.875</c:v>
                </c:pt>
                <c:pt idx="60">
                  <c:v>6.958333333333333</c:v>
                </c:pt>
                <c:pt idx="61">
                  <c:v>7.041666666666667</c:v>
                </c:pt>
                <c:pt idx="62">
                  <c:v>7.125</c:v>
                </c:pt>
                <c:pt idx="63">
                  <c:v>7.208333333333333</c:v>
                </c:pt>
                <c:pt idx="64">
                  <c:v>7.291666666666667</c:v>
                </c:pt>
                <c:pt idx="65">
                  <c:v>7.375</c:v>
                </c:pt>
                <c:pt idx="66">
                  <c:v>7.458333333333333</c:v>
                </c:pt>
                <c:pt idx="67">
                  <c:v>7.541666666666667</c:v>
                </c:pt>
                <c:pt idx="68">
                  <c:v>7.625</c:v>
                </c:pt>
                <c:pt idx="69">
                  <c:v>7.708333333333333</c:v>
                </c:pt>
                <c:pt idx="70">
                  <c:v>7.791666666666667</c:v>
                </c:pt>
                <c:pt idx="71">
                  <c:v>7.875</c:v>
                </c:pt>
                <c:pt idx="72">
                  <c:v>7.958333333333333</c:v>
                </c:pt>
                <c:pt idx="73">
                  <c:v>8.0416666666666661</c:v>
                </c:pt>
                <c:pt idx="74">
                  <c:v>8.125</c:v>
                </c:pt>
                <c:pt idx="75">
                  <c:v>8.2083333333333339</c:v>
                </c:pt>
                <c:pt idx="76">
                  <c:v>8.2916666666666661</c:v>
                </c:pt>
                <c:pt idx="77">
                  <c:v>8.375</c:v>
                </c:pt>
                <c:pt idx="78">
                  <c:v>8.4583333333333339</c:v>
                </c:pt>
                <c:pt idx="79">
                  <c:v>8.5416666666666661</c:v>
                </c:pt>
                <c:pt idx="80">
                  <c:v>8.625</c:v>
                </c:pt>
                <c:pt idx="81">
                  <c:v>8.7083333333333339</c:v>
                </c:pt>
                <c:pt idx="82">
                  <c:v>8.7916666666666661</c:v>
                </c:pt>
                <c:pt idx="83">
                  <c:v>8.875</c:v>
                </c:pt>
                <c:pt idx="84">
                  <c:v>8.9583333333333339</c:v>
                </c:pt>
                <c:pt idx="85">
                  <c:v>9.0416666666666661</c:v>
                </c:pt>
                <c:pt idx="86">
                  <c:v>9.125</c:v>
                </c:pt>
                <c:pt idx="87">
                  <c:v>9.2083333333333339</c:v>
                </c:pt>
                <c:pt idx="88">
                  <c:v>9.2916666666666661</c:v>
                </c:pt>
                <c:pt idx="89">
                  <c:v>9.375</c:v>
                </c:pt>
                <c:pt idx="90">
                  <c:v>9.4583333333333339</c:v>
                </c:pt>
                <c:pt idx="91">
                  <c:v>9.5416666666666661</c:v>
                </c:pt>
                <c:pt idx="92">
                  <c:v>9.625</c:v>
                </c:pt>
                <c:pt idx="93">
                  <c:v>9.7083333333333339</c:v>
                </c:pt>
                <c:pt idx="94">
                  <c:v>9.7916666666666661</c:v>
                </c:pt>
                <c:pt idx="95">
                  <c:v>9.875</c:v>
                </c:pt>
                <c:pt idx="96">
                  <c:v>9.9583333333333339</c:v>
                </c:pt>
                <c:pt idx="97">
                  <c:v>10.041666666666666</c:v>
                </c:pt>
                <c:pt idx="98">
                  <c:v>10.125</c:v>
                </c:pt>
                <c:pt idx="99">
                  <c:v>10.208333333333334</c:v>
                </c:pt>
                <c:pt idx="100">
                  <c:v>10.291666666666666</c:v>
                </c:pt>
                <c:pt idx="101">
                  <c:v>10.375</c:v>
                </c:pt>
                <c:pt idx="102">
                  <c:v>10.458333333333334</c:v>
                </c:pt>
                <c:pt idx="103">
                  <c:v>10.541666666666666</c:v>
                </c:pt>
                <c:pt idx="104">
                  <c:v>10.625</c:v>
                </c:pt>
                <c:pt idx="105">
                  <c:v>10.708333333333334</c:v>
                </c:pt>
                <c:pt idx="106">
                  <c:v>10.791666666666666</c:v>
                </c:pt>
                <c:pt idx="107">
                  <c:v>10.875</c:v>
                </c:pt>
                <c:pt idx="108">
                  <c:v>10.958333333333334</c:v>
                </c:pt>
                <c:pt idx="109">
                  <c:v>11.041666666666666</c:v>
                </c:pt>
                <c:pt idx="110">
                  <c:v>11.125</c:v>
                </c:pt>
                <c:pt idx="111">
                  <c:v>11.208333333333334</c:v>
                </c:pt>
                <c:pt idx="112">
                  <c:v>11.291666666666666</c:v>
                </c:pt>
                <c:pt idx="113">
                  <c:v>11.375</c:v>
                </c:pt>
                <c:pt idx="114">
                  <c:v>11.458333333333334</c:v>
                </c:pt>
                <c:pt idx="115">
                  <c:v>11.541666666666666</c:v>
                </c:pt>
                <c:pt idx="116">
                  <c:v>11.625</c:v>
                </c:pt>
                <c:pt idx="117">
                  <c:v>11.708333333333334</c:v>
                </c:pt>
                <c:pt idx="118">
                  <c:v>11.791666666666666</c:v>
                </c:pt>
                <c:pt idx="119">
                  <c:v>11.875</c:v>
                </c:pt>
                <c:pt idx="120">
                  <c:v>11.958333333333334</c:v>
                </c:pt>
                <c:pt idx="121">
                  <c:v>12.041666666666666</c:v>
                </c:pt>
                <c:pt idx="122">
                  <c:v>12.125</c:v>
                </c:pt>
                <c:pt idx="123">
                  <c:v>12.208333333333334</c:v>
                </c:pt>
                <c:pt idx="124">
                  <c:v>12.291666666666666</c:v>
                </c:pt>
                <c:pt idx="125">
                  <c:v>12.375</c:v>
                </c:pt>
                <c:pt idx="126">
                  <c:v>12.458333333333334</c:v>
                </c:pt>
                <c:pt idx="127">
                  <c:v>12.541666666666666</c:v>
                </c:pt>
                <c:pt idx="128">
                  <c:v>12.625</c:v>
                </c:pt>
                <c:pt idx="129">
                  <c:v>12.708333333333334</c:v>
                </c:pt>
                <c:pt idx="130">
                  <c:v>12.791666666666666</c:v>
                </c:pt>
                <c:pt idx="131">
                  <c:v>12.875</c:v>
                </c:pt>
                <c:pt idx="132">
                  <c:v>12.958333333333334</c:v>
                </c:pt>
                <c:pt idx="133">
                  <c:v>13.041666666666666</c:v>
                </c:pt>
                <c:pt idx="134">
                  <c:v>13.125</c:v>
                </c:pt>
                <c:pt idx="135">
                  <c:v>13.208333333333334</c:v>
                </c:pt>
                <c:pt idx="136">
                  <c:v>13.291666666666666</c:v>
                </c:pt>
                <c:pt idx="137">
                  <c:v>13.375</c:v>
                </c:pt>
                <c:pt idx="138">
                  <c:v>13.458333333333334</c:v>
                </c:pt>
                <c:pt idx="139">
                  <c:v>13.541666666666666</c:v>
                </c:pt>
                <c:pt idx="140">
                  <c:v>13.625</c:v>
                </c:pt>
                <c:pt idx="141">
                  <c:v>13.708333333333334</c:v>
                </c:pt>
                <c:pt idx="142">
                  <c:v>13.791666666666666</c:v>
                </c:pt>
                <c:pt idx="143">
                  <c:v>13.875</c:v>
                </c:pt>
                <c:pt idx="144">
                  <c:v>13.958333333333334</c:v>
                </c:pt>
                <c:pt idx="145">
                  <c:v>14.041666666666666</c:v>
                </c:pt>
                <c:pt idx="146">
                  <c:v>14.125</c:v>
                </c:pt>
                <c:pt idx="147">
                  <c:v>14.208333333333334</c:v>
                </c:pt>
                <c:pt idx="148">
                  <c:v>14.291666666666666</c:v>
                </c:pt>
                <c:pt idx="149">
                  <c:v>14.375</c:v>
                </c:pt>
                <c:pt idx="150">
                  <c:v>14.458333333333334</c:v>
                </c:pt>
                <c:pt idx="151">
                  <c:v>14.541666666666666</c:v>
                </c:pt>
                <c:pt idx="152">
                  <c:v>14.625</c:v>
                </c:pt>
                <c:pt idx="153">
                  <c:v>14.708333333333334</c:v>
                </c:pt>
                <c:pt idx="154">
                  <c:v>14.791666666666666</c:v>
                </c:pt>
                <c:pt idx="155">
                  <c:v>14.875</c:v>
                </c:pt>
                <c:pt idx="156">
                  <c:v>14.958333333333334</c:v>
                </c:pt>
                <c:pt idx="157">
                  <c:v>15.041666666666666</c:v>
                </c:pt>
                <c:pt idx="158">
                  <c:v>15.125</c:v>
                </c:pt>
                <c:pt idx="159">
                  <c:v>15.208333333333334</c:v>
                </c:pt>
                <c:pt idx="160">
                  <c:v>15.291666666666666</c:v>
                </c:pt>
                <c:pt idx="161">
                  <c:v>15.375</c:v>
                </c:pt>
                <c:pt idx="162">
                  <c:v>15.458333333333334</c:v>
                </c:pt>
                <c:pt idx="163">
                  <c:v>15.541666666666666</c:v>
                </c:pt>
                <c:pt idx="164">
                  <c:v>15.625</c:v>
                </c:pt>
                <c:pt idx="165">
                  <c:v>15.708333333333334</c:v>
                </c:pt>
                <c:pt idx="166">
                  <c:v>15.791666666666666</c:v>
                </c:pt>
                <c:pt idx="167">
                  <c:v>15.875</c:v>
                </c:pt>
                <c:pt idx="168">
                  <c:v>15.958333333333334</c:v>
                </c:pt>
                <c:pt idx="169">
                  <c:v>16.041666666666668</c:v>
                </c:pt>
                <c:pt idx="170">
                  <c:v>16.125</c:v>
                </c:pt>
                <c:pt idx="171">
                  <c:v>16.208333333333332</c:v>
                </c:pt>
                <c:pt idx="172">
                  <c:v>16.291666666666668</c:v>
                </c:pt>
                <c:pt idx="173">
                  <c:v>16.375</c:v>
                </c:pt>
                <c:pt idx="174">
                  <c:v>16.458333333333332</c:v>
                </c:pt>
                <c:pt idx="175">
                  <c:v>16.541666666666668</c:v>
                </c:pt>
                <c:pt idx="176">
                  <c:v>16.625</c:v>
                </c:pt>
                <c:pt idx="177">
                  <c:v>16.708333333333332</c:v>
                </c:pt>
                <c:pt idx="178">
                  <c:v>16.791666666666668</c:v>
                </c:pt>
                <c:pt idx="179">
                  <c:v>16.875</c:v>
                </c:pt>
                <c:pt idx="180">
                  <c:v>16.958333333333332</c:v>
                </c:pt>
                <c:pt idx="181">
                  <c:v>17.041666666666668</c:v>
                </c:pt>
                <c:pt idx="182">
                  <c:v>17.125</c:v>
                </c:pt>
                <c:pt idx="183">
                  <c:v>17.208333333333332</c:v>
                </c:pt>
                <c:pt idx="184">
                  <c:v>17.291666666666668</c:v>
                </c:pt>
                <c:pt idx="185">
                  <c:v>17.375</c:v>
                </c:pt>
                <c:pt idx="186">
                  <c:v>17.458333333333332</c:v>
                </c:pt>
                <c:pt idx="187">
                  <c:v>17.541666666666668</c:v>
                </c:pt>
                <c:pt idx="188">
                  <c:v>17.625</c:v>
                </c:pt>
                <c:pt idx="189">
                  <c:v>17.708333333333332</c:v>
                </c:pt>
                <c:pt idx="190">
                  <c:v>17.791666666666668</c:v>
                </c:pt>
                <c:pt idx="191">
                  <c:v>17.875</c:v>
                </c:pt>
                <c:pt idx="192">
                  <c:v>17.958333333333332</c:v>
                </c:pt>
                <c:pt idx="193">
                  <c:v>18.041666666666668</c:v>
                </c:pt>
                <c:pt idx="194">
                  <c:v>18.125</c:v>
                </c:pt>
                <c:pt idx="195">
                  <c:v>18.208333333333332</c:v>
                </c:pt>
                <c:pt idx="196">
                  <c:v>18.291666666666668</c:v>
                </c:pt>
                <c:pt idx="197">
                  <c:v>18.375</c:v>
                </c:pt>
                <c:pt idx="198">
                  <c:v>18.458333333333332</c:v>
                </c:pt>
                <c:pt idx="199">
                  <c:v>18.541666666666668</c:v>
                </c:pt>
                <c:pt idx="200">
                  <c:v>18.625</c:v>
                </c:pt>
                <c:pt idx="201">
                  <c:v>18.708333333333332</c:v>
                </c:pt>
                <c:pt idx="202">
                  <c:v>18.791666666666668</c:v>
                </c:pt>
                <c:pt idx="203">
                  <c:v>18.875</c:v>
                </c:pt>
                <c:pt idx="204">
                  <c:v>18.958333333333332</c:v>
                </c:pt>
                <c:pt idx="205">
                  <c:v>19.041666666666668</c:v>
                </c:pt>
                <c:pt idx="206">
                  <c:v>19.125</c:v>
                </c:pt>
                <c:pt idx="207">
                  <c:v>19.208333333333332</c:v>
                </c:pt>
                <c:pt idx="208">
                  <c:v>19.291666666666668</c:v>
                </c:pt>
                <c:pt idx="209">
                  <c:v>19.375</c:v>
                </c:pt>
                <c:pt idx="210">
                  <c:v>19.458333333333332</c:v>
                </c:pt>
                <c:pt idx="211">
                  <c:v>19.541666666666668</c:v>
                </c:pt>
                <c:pt idx="212">
                  <c:v>19.625</c:v>
                </c:pt>
                <c:pt idx="213">
                  <c:v>19.708333333333332</c:v>
                </c:pt>
                <c:pt idx="214">
                  <c:v>19.791666666666668</c:v>
                </c:pt>
                <c:pt idx="215">
                  <c:v>19.875</c:v>
                </c:pt>
                <c:pt idx="216">
                  <c:v>19.958333333333332</c:v>
                </c:pt>
                <c:pt idx="217">
                  <c:v>20</c:v>
                </c:pt>
                <c:pt idx="218">
                  <c:v>20.041666666666668</c:v>
                </c:pt>
              </c:numCache>
            </c:numRef>
          </c:xVal>
          <c:yVal>
            <c:numRef>
              <c:f>bmi4age!$J$2:$J$220</c:f>
              <c:numCache>
                <c:formatCode>General</c:formatCode>
                <c:ptCount val="219"/>
                <c:pt idx="0">
                  <c:v>16.575027675000001</c:v>
                </c:pt>
                <c:pt idx="1">
                  <c:v>16.547774867000001</c:v>
                </c:pt>
                <c:pt idx="2">
                  <c:v>16.494427632000001</c:v>
                </c:pt>
                <c:pt idx="3">
                  <c:v>16.442595522000001</c:v>
                </c:pt>
                <c:pt idx="4">
                  <c:v>16.392243398000002</c:v>
                </c:pt>
                <c:pt idx="5">
                  <c:v>16.343336542999999</c:v>
                </c:pt>
                <c:pt idx="6">
                  <c:v>16.295840971000001</c:v>
                </c:pt>
                <c:pt idx="7">
                  <c:v>16.249723714000002</c:v>
                </c:pt>
                <c:pt idx="8">
                  <c:v>16.204952678000001</c:v>
                </c:pt>
                <c:pt idx="9">
                  <c:v>16.161498714</c:v>
                </c:pt>
                <c:pt idx="10">
                  <c:v>16.119332581999998</c:v>
                </c:pt>
                <c:pt idx="11">
                  <c:v>16.078427579</c:v>
                </c:pt>
                <c:pt idx="12">
                  <c:v>16.038758957999999</c:v>
                </c:pt>
                <c:pt idx="13">
                  <c:v>16.000304012000001</c:v>
                </c:pt>
                <c:pt idx="14">
                  <c:v>15.963042771</c:v>
                </c:pt>
                <c:pt idx="15">
                  <c:v>15.926954175000001</c:v>
                </c:pt>
                <c:pt idx="16">
                  <c:v>15.892025816</c:v>
                </c:pt>
                <c:pt idx="17">
                  <c:v>15.858240929000001</c:v>
                </c:pt>
                <c:pt idx="18">
                  <c:v>15.825588223</c:v>
                </c:pt>
                <c:pt idx="19">
                  <c:v>15.794057282000001</c:v>
                </c:pt>
                <c:pt idx="20">
                  <c:v>15.763642549</c:v>
                </c:pt>
                <c:pt idx="21">
                  <c:v>15.734336684000001</c:v>
                </c:pt>
                <c:pt idx="22">
                  <c:v>15.706135657000001</c:v>
                </c:pt>
                <c:pt idx="23">
                  <c:v>15.679040623000001</c:v>
                </c:pt>
                <c:pt idx="24">
                  <c:v>15.653051916000001</c:v>
                </c:pt>
                <c:pt idx="25">
                  <c:v>15.628172692</c:v>
                </c:pt>
                <c:pt idx="26">
                  <c:v>15.604407996999999</c:v>
                </c:pt>
                <c:pt idx="27">
                  <c:v>15.58176458</c:v>
                </c:pt>
                <c:pt idx="28">
                  <c:v>15.560250666</c:v>
                </c:pt>
                <c:pt idx="29">
                  <c:v>15.539874597000001</c:v>
                </c:pt>
                <c:pt idx="30">
                  <c:v>15.520649926999999</c:v>
                </c:pt>
                <c:pt idx="31">
                  <c:v>15.502584267</c:v>
                </c:pt>
                <c:pt idx="32">
                  <c:v>15.485689732000001</c:v>
                </c:pt>
                <c:pt idx="33">
                  <c:v>15.469977177000001</c:v>
                </c:pt>
                <c:pt idx="34">
                  <c:v>15.455456915999999</c:v>
                </c:pt>
                <c:pt idx="35">
                  <c:v>15.442139608</c:v>
                </c:pt>
                <c:pt idx="36">
                  <c:v>15.430032071999999</c:v>
                </c:pt>
                <c:pt idx="37">
                  <c:v>15.419141631</c:v>
                </c:pt>
                <c:pt idx="38">
                  <c:v>15.409473561</c:v>
                </c:pt>
                <c:pt idx="39">
                  <c:v>15.401031388</c:v>
                </c:pt>
                <c:pt idx="40">
                  <c:v>15.393817852</c:v>
                </c:pt>
                <c:pt idx="41">
                  <c:v>15.387830936</c:v>
                </c:pt>
                <c:pt idx="42">
                  <c:v>15.383069448000001</c:v>
                </c:pt>
                <c:pt idx="43">
                  <c:v>15.37952958</c:v>
                </c:pt>
                <c:pt idx="44">
                  <c:v>15.37720582</c:v>
                </c:pt>
                <c:pt idx="45">
                  <c:v>15.376091067999999</c:v>
                </c:pt>
                <c:pt idx="46">
                  <c:v>15.376176765</c:v>
                </c:pt>
                <c:pt idx="47">
                  <c:v>15.377453040000001</c:v>
                </c:pt>
                <c:pt idx="48">
                  <c:v>15.379908859</c:v>
                </c:pt>
                <c:pt idx="49">
                  <c:v>15.383532169</c:v>
                </c:pt>
                <c:pt idx="50">
                  <c:v>15.388310046000001</c:v>
                </c:pt>
                <c:pt idx="51">
                  <c:v>15.394228829999999</c:v>
                </c:pt>
                <c:pt idx="52">
                  <c:v>15.40127496</c:v>
                </c:pt>
                <c:pt idx="53">
                  <c:v>15.409432519999999</c:v>
                </c:pt>
                <c:pt idx="54">
                  <c:v>15.418686911</c:v>
                </c:pt>
                <c:pt idx="55">
                  <c:v>15.429022732</c:v>
                </c:pt>
                <c:pt idx="56">
                  <c:v>15.440424387</c:v>
                </c:pt>
                <c:pt idx="57">
                  <c:v>15.452875806</c:v>
                </c:pt>
                <c:pt idx="58">
                  <c:v>15.466362178000001</c:v>
                </c:pt>
                <c:pt idx="59">
                  <c:v>15.480867041</c:v>
                </c:pt>
                <c:pt idx="60">
                  <c:v>15.496374654</c:v>
                </c:pt>
                <c:pt idx="61">
                  <c:v>15.512869363</c:v>
                </c:pt>
                <c:pt idx="62">
                  <c:v>15.530335632</c:v>
                </c:pt>
                <c:pt idx="63">
                  <c:v>15.548758064999999</c:v>
                </c:pt>
                <c:pt idx="64">
                  <c:v>15.568121425999999</c:v>
                </c:pt>
                <c:pt idx="65">
                  <c:v>15.588410651</c:v>
                </c:pt>
                <c:pt idx="66">
                  <c:v>15.60961101</c:v>
                </c:pt>
                <c:pt idx="67">
                  <c:v>15.631707349999999</c:v>
                </c:pt>
                <c:pt idx="68">
                  <c:v>15.654685627999999</c:v>
                </c:pt>
                <c:pt idx="69">
                  <c:v>15.678531387</c:v>
                </c:pt>
                <c:pt idx="70">
                  <c:v>15.703230518</c:v>
                </c:pt>
                <c:pt idx="71">
                  <c:v>15.728769113</c:v>
                </c:pt>
                <c:pt idx="72">
                  <c:v>15.755133465</c:v>
                </c:pt>
                <c:pt idx="73">
                  <c:v>15.782310065000001</c:v>
                </c:pt>
                <c:pt idx="74">
                  <c:v>15.810285603000001</c:v>
                </c:pt>
                <c:pt idx="75">
                  <c:v>15.839047084000001</c:v>
                </c:pt>
                <c:pt idx="76">
                  <c:v>15.868581229</c:v>
                </c:pt>
                <c:pt idx="77">
                  <c:v>15.898875618</c:v>
                </c:pt>
                <c:pt idx="78">
                  <c:v>15.929917651</c:v>
                </c:pt>
                <c:pt idx="79">
                  <c:v>15.961694805</c:v>
                </c:pt>
                <c:pt idx="80">
                  <c:v>15.994194894</c:v>
                </c:pt>
                <c:pt idx="81">
                  <c:v>16.027406071000001</c:v>
                </c:pt>
                <c:pt idx="82">
                  <c:v>16.061315897</c:v>
                </c:pt>
                <c:pt idx="83">
                  <c:v>16.095912922</c:v>
                </c:pt>
                <c:pt idx="84">
                  <c:v>16.131185315</c:v>
                </c:pt>
                <c:pt idx="85">
                  <c:v>16.167122343999999</c:v>
                </c:pt>
                <c:pt idx="86">
                  <c:v>16.203711677000001</c:v>
                </c:pt>
                <c:pt idx="87">
                  <c:v>16.240942388000001</c:v>
                </c:pt>
                <c:pt idx="88">
                  <c:v>16.278803457999999</c:v>
                </c:pt>
                <c:pt idx="89">
                  <c:v>16.317283846999999</c:v>
                </c:pt>
                <c:pt idx="90">
                  <c:v>16.356372671999999</c:v>
                </c:pt>
                <c:pt idx="91">
                  <c:v>16.396059161</c:v>
                </c:pt>
                <c:pt idx="92">
                  <c:v>16.436332645</c:v>
                </c:pt>
                <c:pt idx="93">
                  <c:v>16.477182555999999</c:v>
                </c:pt>
                <c:pt idx="94">
                  <c:v>16.518598425</c:v>
                </c:pt>
                <c:pt idx="95">
                  <c:v>16.560569872999999</c:v>
                </c:pt>
                <c:pt idx="96">
                  <c:v>16.603086611999998</c:v>
                </c:pt>
                <c:pt idx="97">
                  <c:v>16.646138439000001</c:v>
                </c:pt>
                <c:pt idx="98">
                  <c:v>16.689715178</c:v>
                </c:pt>
                <c:pt idx="99">
                  <c:v>16.733806952999998</c:v>
                </c:pt>
                <c:pt idx="100">
                  <c:v>16.778403632</c:v>
                </c:pt>
                <c:pt idx="101">
                  <c:v>16.823495380000001</c:v>
                </c:pt>
                <c:pt idx="102">
                  <c:v>16.869072374999998</c:v>
                </c:pt>
                <c:pt idx="103">
                  <c:v>16.915124865999999</c:v>
                </c:pt>
                <c:pt idx="104">
                  <c:v>16.961643167999998</c:v>
                </c:pt>
                <c:pt idx="105">
                  <c:v>17.008617659999999</c:v>
                </c:pt>
                <c:pt idx="106">
                  <c:v>17.056038786999999</c:v>
                </c:pt>
                <c:pt idx="107">
                  <c:v>17.103897052000001</c:v>
                </c:pt>
                <c:pt idx="108">
                  <c:v>17.152183021999999</c:v>
                </c:pt>
                <c:pt idx="109">
                  <c:v>17.200887317999999</c:v>
                </c:pt>
                <c:pt idx="110">
                  <c:v>17.250000622999998</c:v>
                </c:pt>
                <c:pt idx="111">
                  <c:v>17.299513673</c:v>
                </c:pt>
                <c:pt idx="112">
                  <c:v>17.349417257999999</c:v>
                </c:pt>
                <c:pt idx="113">
                  <c:v>17.399703080999998</c:v>
                </c:pt>
                <c:pt idx="114">
                  <c:v>17.450360714999999</c:v>
                </c:pt>
                <c:pt idx="115">
                  <c:v>17.501381605999999</c:v>
                </c:pt>
                <c:pt idx="116">
                  <c:v>17.552756738999999</c:v>
                </c:pt>
                <c:pt idx="117">
                  <c:v>17.604477144000001</c:v>
                </c:pt>
                <c:pt idx="118">
                  <c:v>17.656533894999999</c:v>
                </c:pt>
                <c:pt idx="119">
                  <c:v>17.708918106999999</c:v>
                </c:pt>
                <c:pt idx="120">
                  <c:v>17.761620938</c:v>
                </c:pt>
                <c:pt idx="121">
                  <c:v>17.814633585999999</c:v>
                </c:pt>
                <c:pt idx="122">
                  <c:v>17.867947289</c:v>
                </c:pt>
                <c:pt idx="123">
                  <c:v>17.921553320000001</c:v>
                </c:pt>
                <c:pt idx="124">
                  <c:v>17.975442992000001</c:v>
                </c:pt>
                <c:pt idx="125">
                  <c:v>18.029607652999999</c:v>
                </c:pt>
                <c:pt idx="126">
                  <c:v>18.084038683999999</c:v>
                </c:pt>
                <c:pt idx="127">
                  <c:v>18.138727501000002</c:v>
                </c:pt>
                <c:pt idx="128">
                  <c:v>18.193665551999999</c:v>
                </c:pt>
                <c:pt idx="129">
                  <c:v>18.248844313999999</c:v>
                </c:pt>
                <c:pt idx="130">
                  <c:v>18.304255296000001</c:v>
                </c:pt>
                <c:pt idx="131">
                  <c:v>18.359890033999999</c:v>
                </c:pt>
                <c:pt idx="132">
                  <c:v>18.415740092</c:v>
                </c:pt>
                <c:pt idx="133">
                  <c:v>18.471797059</c:v>
                </c:pt>
                <c:pt idx="134">
                  <c:v>18.528052549000002</c:v>
                </c:pt>
                <c:pt idx="135">
                  <c:v>18.584498198999999</c:v>
                </c:pt>
                <c:pt idx="136">
                  <c:v>18.641125665000001</c:v>
                </c:pt>
                <c:pt idx="137">
                  <c:v>18.697926627000001</c:v>
                </c:pt>
                <c:pt idx="138">
                  <c:v>18.754892780999999</c:v>
                </c:pt>
                <c:pt idx="139">
                  <c:v>18.812015839000001</c:v>
                </c:pt>
                <c:pt idx="140">
                  <c:v>18.869287528000001</c:v>
                </c:pt>
                <c:pt idx="141">
                  <c:v>18.926699589999998</c:v>
                </c:pt>
                <c:pt idx="142">
                  <c:v>18.984243774999999</c:v>
                </c:pt>
                <c:pt idx="143">
                  <c:v>19.041911845000001</c:v>
                </c:pt>
                <c:pt idx="144">
                  <c:v>19.099695568000001</c:v>
                </c:pt>
                <c:pt idx="145">
                  <c:v>19.157586716000001</c:v>
                </c:pt>
                <c:pt idx="146">
                  <c:v>19.215577065000002</c:v>
                </c:pt>
                <c:pt idx="147">
                  <c:v>19.273658390000001</c:v>
                </c:pt>
                <c:pt idx="148">
                  <c:v>19.331822465999998</c:v>
                </c:pt>
                <c:pt idx="149">
                  <c:v>19.390061061000001</c:v>
                </c:pt>
                <c:pt idx="150">
                  <c:v>19.448365937999998</c:v>
                </c:pt>
                <c:pt idx="151">
                  <c:v>19.506728848000002</c:v>
                </c:pt>
                <c:pt idx="152">
                  <c:v>19.565141531999998</c:v>
                </c:pt>
                <c:pt idx="153">
                  <c:v>19.623595714</c:v>
                </c:pt>
                <c:pt idx="154">
                  <c:v>19.682083101</c:v>
                </c:pt>
                <c:pt idx="155">
                  <c:v>19.740595376000002</c:v>
                </c:pt>
                <c:pt idx="156">
                  <c:v>19.799124201000001</c:v>
                </c:pt>
                <c:pt idx="157">
                  <c:v>19.857661209</c:v>
                </c:pt>
                <c:pt idx="158">
                  <c:v>19.916198004000002</c:v>
                </c:pt>
                <c:pt idx="159">
                  <c:v>19.974726153999999</c:v>
                </c:pt>
                <c:pt idx="160">
                  <c:v>20.033237194000002</c:v>
                </c:pt>
                <c:pt idx="161">
                  <c:v>20.091722614999998</c:v>
                </c:pt>
                <c:pt idx="162">
                  <c:v>20.15017387</c:v>
                </c:pt>
                <c:pt idx="163">
                  <c:v>20.208582361000001</c:v>
                </c:pt>
                <c:pt idx="164">
                  <c:v>20.266939443999998</c:v>
                </c:pt>
                <c:pt idx="165">
                  <c:v>20.325236424</c:v>
                </c:pt>
                <c:pt idx="166">
                  <c:v>20.383464547999999</c:v>
                </c:pt>
                <c:pt idx="167">
                  <c:v>20.441615007999999</c:v>
                </c:pt>
                <c:pt idx="168">
                  <c:v>20.499678934999999</c:v>
                </c:pt>
                <c:pt idx="169">
                  <c:v>20.557647399</c:v>
                </c:pt>
                <c:pt idx="170">
                  <c:v>20.615511403999999</c:v>
                </c:pt>
                <c:pt idx="171">
                  <c:v>20.673261888999999</c:v>
                </c:pt>
                <c:pt idx="172">
                  <c:v>20.730889050999998</c:v>
                </c:pt>
                <c:pt idx="173">
                  <c:v>20.788385101999999</c:v>
                </c:pt>
                <c:pt idx="174">
                  <c:v>20.845740029000002</c:v>
                </c:pt>
                <c:pt idx="175">
                  <c:v>20.902944494</c:v>
                </c:pt>
                <c:pt idx="176">
                  <c:v>20.959989088</c:v>
                </c:pt>
                <c:pt idx="177">
                  <c:v>21.016864330000001</c:v>
                </c:pt>
                <c:pt idx="178">
                  <c:v>21.073560673999999</c:v>
                </c:pt>
                <c:pt idx="179">
                  <c:v>21.130068501</c:v>
                </c:pt>
                <c:pt idx="180">
                  <c:v>21.186378131000001</c:v>
                </c:pt>
                <c:pt idx="181">
                  <c:v>21.242479819</c:v>
                </c:pt>
                <c:pt idx="182">
                  <c:v>21.298363759000001</c:v>
                </c:pt>
                <c:pt idx="183">
                  <c:v>21.354020093999999</c:v>
                </c:pt>
                <c:pt idx="184">
                  <c:v>21.409438910999999</c:v>
                </c:pt>
                <c:pt idx="185">
                  <c:v>21.464610257</c:v>
                </c:pt>
                <c:pt idx="186">
                  <c:v>21.519524136000001</c:v>
                </c:pt>
                <c:pt idx="187">
                  <c:v>21.574170525</c:v>
                </c:pt>
                <c:pt idx="188">
                  <c:v>21.628539372999999</c:v>
                </c:pt>
                <c:pt idx="189">
                  <c:v>21.682620618000001</c:v>
                </c:pt>
                <c:pt idx="190">
                  <c:v>21.736404190999998</c:v>
                </c:pt>
                <c:pt idx="191">
                  <c:v>21.789880028999999</c:v>
                </c:pt>
                <c:pt idx="192">
                  <c:v>21.843038191000002</c:v>
                </c:pt>
                <c:pt idx="193">
                  <c:v>21.895868500999999</c:v>
                </c:pt>
                <c:pt idx="194">
                  <c:v>21.948361684000002</c:v>
                </c:pt>
                <c:pt idx="195">
                  <c:v>22.000505690000001</c:v>
                </c:pt>
                <c:pt idx="196">
                  <c:v>22.052292423000001</c:v>
                </c:pt>
                <c:pt idx="197">
                  <c:v>22.103713047999999</c:v>
                </c:pt>
                <c:pt idx="198">
                  <c:v>22.154756029000001</c:v>
                </c:pt>
                <c:pt idx="199">
                  <c:v>22.205412485</c:v>
                </c:pt>
                <c:pt idx="200">
                  <c:v>22.255673000000002</c:v>
                </c:pt>
                <c:pt idx="201">
                  <c:v>22.305528305999999</c:v>
                </c:pt>
                <c:pt idx="202">
                  <c:v>22.354969299</c:v>
                </c:pt>
                <c:pt idx="203">
                  <c:v>22.403987056999998</c:v>
                </c:pt>
                <c:pt idx="204">
                  <c:v>22.452571817999999</c:v>
                </c:pt>
                <c:pt idx="205">
                  <c:v>22.500717780999999</c:v>
                </c:pt>
                <c:pt idx="206">
                  <c:v>22.548414372</c:v>
                </c:pt>
                <c:pt idx="207">
                  <c:v>22.595654215</c:v>
                </c:pt>
                <c:pt idx="208">
                  <c:v>22.642429557</c:v>
                </c:pt>
                <c:pt idx="209">
                  <c:v>22.688732921</c:v>
                </c:pt>
                <c:pt idx="210">
                  <c:v>22.734557125999999</c:v>
                </c:pt>
                <c:pt idx="211">
                  <c:v>22.779895294999999</c:v>
                </c:pt>
                <c:pt idx="212">
                  <c:v>22.824740867999999</c:v>
                </c:pt>
                <c:pt idx="213">
                  <c:v>22.869089116000001</c:v>
                </c:pt>
                <c:pt idx="214">
                  <c:v>22.912931508</c:v>
                </c:pt>
                <c:pt idx="215">
                  <c:v>22.956263733</c:v>
                </c:pt>
                <c:pt idx="216">
                  <c:v>22.999080616000001</c:v>
                </c:pt>
                <c:pt idx="217">
                  <c:v>23.020294238000002</c:v>
                </c:pt>
                <c:pt idx="218">
                  <c:v>23.041377338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0A3-475E-8102-308D7776DD13}"/>
            </c:ext>
          </c:extLst>
        </c:ser>
        <c:ser>
          <c:idx val="6"/>
          <c:order val="7"/>
          <c:tx>
            <c:v>P75 boys</c:v>
          </c:tx>
          <c:spPr>
            <a:ln w="6350" cap="rnd">
              <a:solidFill>
                <a:srgbClr val="00B0F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bmi4age!$B$2:$B$220</c:f>
              <c:numCache>
                <c:formatCode>0.00</c:formatCode>
                <c:ptCount val="219"/>
                <c:pt idx="0">
                  <c:v>2</c:v>
                </c:pt>
                <c:pt idx="1">
                  <c:v>2.0416666666666665</c:v>
                </c:pt>
                <c:pt idx="2">
                  <c:v>2.125</c:v>
                </c:pt>
                <c:pt idx="3">
                  <c:v>2.2083333333333335</c:v>
                </c:pt>
                <c:pt idx="4">
                  <c:v>2.2916666666666665</c:v>
                </c:pt>
                <c:pt idx="5">
                  <c:v>2.375</c:v>
                </c:pt>
                <c:pt idx="6">
                  <c:v>2.4583333333333335</c:v>
                </c:pt>
                <c:pt idx="7">
                  <c:v>2.5416666666666665</c:v>
                </c:pt>
                <c:pt idx="8">
                  <c:v>2.625</c:v>
                </c:pt>
                <c:pt idx="9">
                  <c:v>2.7083333333333335</c:v>
                </c:pt>
                <c:pt idx="10">
                  <c:v>2.7916666666666665</c:v>
                </c:pt>
                <c:pt idx="11">
                  <c:v>2.875</c:v>
                </c:pt>
                <c:pt idx="12">
                  <c:v>2.9583333333333335</c:v>
                </c:pt>
                <c:pt idx="13">
                  <c:v>3.0416666666666665</c:v>
                </c:pt>
                <c:pt idx="14">
                  <c:v>3.125</c:v>
                </c:pt>
                <c:pt idx="15">
                  <c:v>3.2083333333333335</c:v>
                </c:pt>
                <c:pt idx="16">
                  <c:v>3.2916666666666665</c:v>
                </c:pt>
                <c:pt idx="17">
                  <c:v>3.375</c:v>
                </c:pt>
                <c:pt idx="18">
                  <c:v>3.4583333333333335</c:v>
                </c:pt>
                <c:pt idx="19">
                  <c:v>3.5416666666666665</c:v>
                </c:pt>
                <c:pt idx="20">
                  <c:v>3.625</c:v>
                </c:pt>
                <c:pt idx="21">
                  <c:v>3.7083333333333335</c:v>
                </c:pt>
                <c:pt idx="22">
                  <c:v>3.7916666666666665</c:v>
                </c:pt>
                <c:pt idx="23">
                  <c:v>3.875</c:v>
                </c:pt>
                <c:pt idx="24">
                  <c:v>3.9583333333333335</c:v>
                </c:pt>
                <c:pt idx="25">
                  <c:v>4.041666666666667</c:v>
                </c:pt>
                <c:pt idx="26">
                  <c:v>4.125</c:v>
                </c:pt>
                <c:pt idx="27">
                  <c:v>4.208333333333333</c:v>
                </c:pt>
                <c:pt idx="28">
                  <c:v>4.291666666666667</c:v>
                </c:pt>
                <c:pt idx="29">
                  <c:v>4.375</c:v>
                </c:pt>
                <c:pt idx="30">
                  <c:v>4.458333333333333</c:v>
                </c:pt>
                <c:pt idx="31">
                  <c:v>4.541666666666667</c:v>
                </c:pt>
                <c:pt idx="32">
                  <c:v>4.625</c:v>
                </c:pt>
                <c:pt idx="33">
                  <c:v>4.708333333333333</c:v>
                </c:pt>
                <c:pt idx="34">
                  <c:v>4.791666666666667</c:v>
                </c:pt>
                <c:pt idx="35">
                  <c:v>4.875</c:v>
                </c:pt>
                <c:pt idx="36">
                  <c:v>4.958333333333333</c:v>
                </c:pt>
                <c:pt idx="37">
                  <c:v>5.041666666666667</c:v>
                </c:pt>
                <c:pt idx="38">
                  <c:v>5.125</c:v>
                </c:pt>
                <c:pt idx="39">
                  <c:v>5.208333333333333</c:v>
                </c:pt>
                <c:pt idx="40">
                  <c:v>5.291666666666667</c:v>
                </c:pt>
                <c:pt idx="41">
                  <c:v>5.375</c:v>
                </c:pt>
                <c:pt idx="42">
                  <c:v>5.458333333333333</c:v>
                </c:pt>
                <c:pt idx="43">
                  <c:v>5.541666666666667</c:v>
                </c:pt>
                <c:pt idx="44">
                  <c:v>5.625</c:v>
                </c:pt>
                <c:pt idx="45">
                  <c:v>5.708333333333333</c:v>
                </c:pt>
                <c:pt idx="46">
                  <c:v>5.791666666666667</c:v>
                </c:pt>
                <c:pt idx="47">
                  <c:v>5.875</c:v>
                </c:pt>
                <c:pt idx="48">
                  <c:v>5.958333333333333</c:v>
                </c:pt>
                <c:pt idx="49">
                  <c:v>6.041666666666667</c:v>
                </c:pt>
                <c:pt idx="50">
                  <c:v>6.125</c:v>
                </c:pt>
                <c:pt idx="51">
                  <c:v>6.208333333333333</c:v>
                </c:pt>
                <c:pt idx="52">
                  <c:v>6.291666666666667</c:v>
                </c:pt>
                <c:pt idx="53">
                  <c:v>6.375</c:v>
                </c:pt>
                <c:pt idx="54">
                  <c:v>6.458333333333333</c:v>
                </c:pt>
                <c:pt idx="55">
                  <c:v>6.541666666666667</c:v>
                </c:pt>
                <c:pt idx="56">
                  <c:v>6.625</c:v>
                </c:pt>
                <c:pt idx="57">
                  <c:v>6.708333333333333</c:v>
                </c:pt>
                <c:pt idx="58">
                  <c:v>6.791666666666667</c:v>
                </c:pt>
                <c:pt idx="59">
                  <c:v>6.875</c:v>
                </c:pt>
                <c:pt idx="60">
                  <c:v>6.958333333333333</c:v>
                </c:pt>
                <c:pt idx="61">
                  <c:v>7.041666666666667</c:v>
                </c:pt>
                <c:pt idx="62">
                  <c:v>7.125</c:v>
                </c:pt>
                <c:pt idx="63">
                  <c:v>7.208333333333333</c:v>
                </c:pt>
                <c:pt idx="64">
                  <c:v>7.291666666666667</c:v>
                </c:pt>
                <c:pt idx="65">
                  <c:v>7.375</c:v>
                </c:pt>
                <c:pt idx="66">
                  <c:v>7.458333333333333</c:v>
                </c:pt>
                <c:pt idx="67">
                  <c:v>7.541666666666667</c:v>
                </c:pt>
                <c:pt idx="68">
                  <c:v>7.625</c:v>
                </c:pt>
                <c:pt idx="69">
                  <c:v>7.708333333333333</c:v>
                </c:pt>
                <c:pt idx="70">
                  <c:v>7.791666666666667</c:v>
                </c:pt>
                <c:pt idx="71">
                  <c:v>7.875</c:v>
                </c:pt>
                <c:pt idx="72">
                  <c:v>7.958333333333333</c:v>
                </c:pt>
                <c:pt idx="73">
                  <c:v>8.0416666666666661</c:v>
                </c:pt>
                <c:pt idx="74">
                  <c:v>8.125</c:v>
                </c:pt>
                <c:pt idx="75">
                  <c:v>8.2083333333333339</c:v>
                </c:pt>
                <c:pt idx="76">
                  <c:v>8.2916666666666661</c:v>
                </c:pt>
                <c:pt idx="77">
                  <c:v>8.375</c:v>
                </c:pt>
                <c:pt idx="78">
                  <c:v>8.4583333333333339</c:v>
                </c:pt>
                <c:pt idx="79">
                  <c:v>8.5416666666666661</c:v>
                </c:pt>
                <c:pt idx="80">
                  <c:v>8.625</c:v>
                </c:pt>
                <c:pt idx="81">
                  <c:v>8.7083333333333339</c:v>
                </c:pt>
                <c:pt idx="82">
                  <c:v>8.7916666666666661</c:v>
                </c:pt>
                <c:pt idx="83">
                  <c:v>8.875</c:v>
                </c:pt>
                <c:pt idx="84">
                  <c:v>8.9583333333333339</c:v>
                </c:pt>
                <c:pt idx="85">
                  <c:v>9.0416666666666661</c:v>
                </c:pt>
                <c:pt idx="86">
                  <c:v>9.125</c:v>
                </c:pt>
                <c:pt idx="87">
                  <c:v>9.2083333333333339</c:v>
                </c:pt>
                <c:pt idx="88">
                  <c:v>9.2916666666666661</c:v>
                </c:pt>
                <c:pt idx="89">
                  <c:v>9.375</c:v>
                </c:pt>
                <c:pt idx="90">
                  <c:v>9.4583333333333339</c:v>
                </c:pt>
                <c:pt idx="91">
                  <c:v>9.5416666666666661</c:v>
                </c:pt>
                <c:pt idx="92">
                  <c:v>9.625</c:v>
                </c:pt>
                <c:pt idx="93">
                  <c:v>9.7083333333333339</c:v>
                </c:pt>
                <c:pt idx="94">
                  <c:v>9.7916666666666661</c:v>
                </c:pt>
                <c:pt idx="95">
                  <c:v>9.875</c:v>
                </c:pt>
                <c:pt idx="96">
                  <c:v>9.9583333333333339</c:v>
                </c:pt>
                <c:pt idx="97">
                  <c:v>10.041666666666666</c:v>
                </c:pt>
                <c:pt idx="98">
                  <c:v>10.125</c:v>
                </c:pt>
                <c:pt idx="99">
                  <c:v>10.208333333333334</c:v>
                </c:pt>
                <c:pt idx="100">
                  <c:v>10.291666666666666</c:v>
                </c:pt>
                <c:pt idx="101">
                  <c:v>10.375</c:v>
                </c:pt>
                <c:pt idx="102">
                  <c:v>10.458333333333334</c:v>
                </c:pt>
                <c:pt idx="103">
                  <c:v>10.541666666666666</c:v>
                </c:pt>
                <c:pt idx="104">
                  <c:v>10.625</c:v>
                </c:pt>
                <c:pt idx="105">
                  <c:v>10.708333333333334</c:v>
                </c:pt>
                <c:pt idx="106">
                  <c:v>10.791666666666666</c:v>
                </c:pt>
                <c:pt idx="107">
                  <c:v>10.875</c:v>
                </c:pt>
                <c:pt idx="108">
                  <c:v>10.958333333333334</c:v>
                </c:pt>
                <c:pt idx="109">
                  <c:v>11.041666666666666</c:v>
                </c:pt>
                <c:pt idx="110">
                  <c:v>11.125</c:v>
                </c:pt>
                <c:pt idx="111">
                  <c:v>11.208333333333334</c:v>
                </c:pt>
                <c:pt idx="112">
                  <c:v>11.291666666666666</c:v>
                </c:pt>
                <c:pt idx="113">
                  <c:v>11.375</c:v>
                </c:pt>
                <c:pt idx="114">
                  <c:v>11.458333333333334</c:v>
                </c:pt>
                <c:pt idx="115">
                  <c:v>11.541666666666666</c:v>
                </c:pt>
                <c:pt idx="116">
                  <c:v>11.625</c:v>
                </c:pt>
                <c:pt idx="117">
                  <c:v>11.708333333333334</c:v>
                </c:pt>
                <c:pt idx="118">
                  <c:v>11.791666666666666</c:v>
                </c:pt>
                <c:pt idx="119">
                  <c:v>11.875</c:v>
                </c:pt>
                <c:pt idx="120">
                  <c:v>11.958333333333334</c:v>
                </c:pt>
                <c:pt idx="121">
                  <c:v>12.041666666666666</c:v>
                </c:pt>
                <c:pt idx="122">
                  <c:v>12.125</c:v>
                </c:pt>
                <c:pt idx="123">
                  <c:v>12.208333333333334</c:v>
                </c:pt>
                <c:pt idx="124">
                  <c:v>12.291666666666666</c:v>
                </c:pt>
                <c:pt idx="125">
                  <c:v>12.375</c:v>
                </c:pt>
                <c:pt idx="126">
                  <c:v>12.458333333333334</c:v>
                </c:pt>
                <c:pt idx="127">
                  <c:v>12.541666666666666</c:v>
                </c:pt>
                <c:pt idx="128">
                  <c:v>12.625</c:v>
                </c:pt>
                <c:pt idx="129">
                  <c:v>12.708333333333334</c:v>
                </c:pt>
                <c:pt idx="130">
                  <c:v>12.791666666666666</c:v>
                </c:pt>
                <c:pt idx="131">
                  <c:v>12.875</c:v>
                </c:pt>
                <c:pt idx="132">
                  <c:v>12.958333333333334</c:v>
                </c:pt>
                <c:pt idx="133">
                  <c:v>13.041666666666666</c:v>
                </c:pt>
                <c:pt idx="134">
                  <c:v>13.125</c:v>
                </c:pt>
                <c:pt idx="135">
                  <c:v>13.208333333333334</c:v>
                </c:pt>
                <c:pt idx="136">
                  <c:v>13.291666666666666</c:v>
                </c:pt>
                <c:pt idx="137">
                  <c:v>13.375</c:v>
                </c:pt>
                <c:pt idx="138">
                  <c:v>13.458333333333334</c:v>
                </c:pt>
                <c:pt idx="139">
                  <c:v>13.541666666666666</c:v>
                </c:pt>
                <c:pt idx="140">
                  <c:v>13.625</c:v>
                </c:pt>
                <c:pt idx="141">
                  <c:v>13.708333333333334</c:v>
                </c:pt>
                <c:pt idx="142">
                  <c:v>13.791666666666666</c:v>
                </c:pt>
                <c:pt idx="143">
                  <c:v>13.875</c:v>
                </c:pt>
                <c:pt idx="144">
                  <c:v>13.958333333333334</c:v>
                </c:pt>
                <c:pt idx="145">
                  <c:v>14.041666666666666</c:v>
                </c:pt>
                <c:pt idx="146">
                  <c:v>14.125</c:v>
                </c:pt>
                <c:pt idx="147">
                  <c:v>14.208333333333334</c:v>
                </c:pt>
                <c:pt idx="148">
                  <c:v>14.291666666666666</c:v>
                </c:pt>
                <c:pt idx="149">
                  <c:v>14.375</c:v>
                </c:pt>
                <c:pt idx="150">
                  <c:v>14.458333333333334</c:v>
                </c:pt>
                <c:pt idx="151">
                  <c:v>14.541666666666666</c:v>
                </c:pt>
                <c:pt idx="152">
                  <c:v>14.625</c:v>
                </c:pt>
                <c:pt idx="153">
                  <c:v>14.708333333333334</c:v>
                </c:pt>
                <c:pt idx="154">
                  <c:v>14.791666666666666</c:v>
                </c:pt>
                <c:pt idx="155">
                  <c:v>14.875</c:v>
                </c:pt>
                <c:pt idx="156">
                  <c:v>14.958333333333334</c:v>
                </c:pt>
                <c:pt idx="157">
                  <c:v>15.041666666666666</c:v>
                </c:pt>
                <c:pt idx="158">
                  <c:v>15.125</c:v>
                </c:pt>
                <c:pt idx="159">
                  <c:v>15.208333333333334</c:v>
                </c:pt>
                <c:pt idx="160">
                  <c:v>15.291666666666666</c:v>
                </c:pt>
                <c:pt idx="161">
                  <c:v>15.375</c:v>
                </c:pt>
                <c:pt idx="162">
                  <c:v>15.458333333333334</c:v>
                </c:pt>
                <c:pt idx="163">
                  <c:v>15.541666666666666</c:v>
                </c:pt>
                <c:pt idx="164">
                  <c:v>15.625</c:v>
                </c:pt>
                <c:pt idx="165">
                  <c:v>15.708333333333334</c:v>
                </c:pt>
                <c:pt idx="166">
                  <c:v>15.791666666666666</c:v>
                </c:pt>
                <c:pt idx="167">
                  <c:v>15.875</c:v>
                </c:pt>
                <c:pt idx="168">
                  <c:v>15.958333333333334</c:v>
                </c:pt>
                <c:pt idx="169">
                  <c:v>16.041666666666668</c:v>
                </c:pt>
                <c:pt idx="170">
                  <c:v>16.125</c:v>
                </c:pt>
                <c:pt idx="171">
                  <c:v>16.208333333333332</c:v>
                </c:pt>
                <c:pt idx="172">
                  <c:v>16.291666666666668</c:v>
                </c:pt>
                <c:pt idx="173">
                  <c:v>16.375</c:v>
                </c:pt>
                <c:pt idx="174">
                  <c:v>16.458333333333332</c:v>
                </c:pt>
                <c:pt idx="175">
                  <c:v>16.541666666666668</c:v>
                </c:pt>
                <c:pt idx="176">
                  <c:v>16.625</c:v>
                </c:pt>
                <c:pt idx="177">
                  <c:v>16.708333333333332</c:v>
                </c:pt>
                <c:pt idx="178">
                  <c:v>16.791666666666668</c:v>
                </c:pt>
                <c:pt idx="179">
                  <c:v>16.875</c:v>
                </c:pt>
                <c:pt idx="180">
                  <c:v>16.958333333333332</c:v>
                </c:pt>
                <c:pt idx="181">
                  <c:v>17.041666666666668</c:v>
                </c:pt>
                <c:pt idx="182">
                  <c:v>17.125</c:v>
                </c:pt>
                <c:pt idx="183">
                  <c:v>17.208333333333332</c:v>
                </c:pt>
                <c:pt idx="184">
                  <c:v>17.291666666666668</c:v>
                </c:pt>
                <c:pt idx="185">
                  <c:v>17.375</c:v>
                </c:pt>
                <c:pt idx="186">
                  <c:v>17.458333333333332</c:v>
                </c:pt>
                <c:pt idx="187">
                  <c:v>17.541666666666668</c:v>
                </c:pt>
                <c:pt idx="188">
                  <c:v>17.625</c:v>
                </c:pt>
                <c:pt idx="189">
                  <c:v>17.708333333333332</c:v>
                </c:pt>
                <c:pt idx="190">
                  <c:v>17.791666666666668</c:v>
                </c:pt>
                <c:pt idx="191">
                  <c:v>17.875</c:v>
                </c:pt>
                <c:pt idx="192">
                  <c:v>17.958333333333332</c:v>
                </c:pt>
                <c:pt idx="193">
                  <c:v>18.041666666666668</c:v>
                </c:pt>
                <c:pt idx="194">
                  <c:v>18.125</c:v>
                </c:pt>
                <c:pt idx="195">
                  <c:v>18.208333333333332</c:v>
                </c:pt>
                <c:pt idx="196">
                  <c:v>18.291666666666668</c:v>
                </c:pt>
                <c:pt idx="197">
                  <c:v>18.375</c:v>
                </c:pt>
                <c:pt idx="198">
                  <c:v>18.458333333333332</c:v>
                </c:pt>
                <c:pt idx="199">
                  <c:v>18.541666666666668</c:v>
                </c:pt>
                <c:pt idx="200">
                  <c:v>18.625</c:v>
                </c:pt>
                <c:pt idx="201">
                  <c:v>18.708333333333332</c:v>
                </c:pt>
                <c:pt idx="202">
                  <c:v>18.791666666666668</c:v>
                </c:pt>
                <c:pt idx="203">
                  <c:v>18.875</c:v>
                </c:pt>
                <c:pt idx="204">
                  <c:v>18.958333333333332</c:v>
                </c:pt>
                <c:pt idx="205">
                  <c:v>19.041666666666668</c:v>
                </c:pt>
                <c:pt idx="206">
                  <c:v>19.125</c:v>
                </c:pt>
                <c:pt idx="207">
                  <c:v>19.208333333333332</c:v>
                </c:pt>
                <c:pt idx="208">
                  <c:v>19.291666666666668</c:v>
                </c:pt>
                <c:pt idx="209">
                  <c:v>19.375</c:v>
                </c:pt>
                <c:pt idx="210">
                  <c:v>19.458333333333332</c:v>
                </c:pt>
                <c:pt idx="211">
                  <c:v>19.541666666666668</c:v>
                </c:pt>
                <c:pt idx="212">
                  <c:v>19.625</c:v>
                </c:pt>
                <c:pt idx="213">
                  <c:v>19.708333333333332</c:v>
                </c:pt>
                <c:pt idx="214">
                  <c:v>19.791666666666668</c:v>
                </c:pt>
                <c:pt idx="215">
                  <c:v>19.875</c:v>
                </c:pt>
                <c:pt idx="216">
                  <c:v>19.958333333333332</c:v>
                </c:pt>
                <c:pt idx="217">
                  <c:v>20</c:v>
                </c:pt>
                <c:pt idx="218">
                  <c:v>20.041666666666668</c:v>
                </c:pt>
              </c:numCache>
            </c:numRef>
          </c:xVal>
          <c:yVal>
            <c:numRef>
              <c:f>bmi4age!$K$2:$K$220</c:f>
              <c:numCache>
                <c:formatCode>General</c:formatCode>
                <c:ptCount val="219"/>
                <c:pt idx="0">
                  <c:v>17.557187809999999</c:v>
                </c:pt>
                <c:pt idx="1">
                  <c:v>17.521292788</c:v>
                </c:pt>
                <c:pt idx="2">
                  <c:v>17.451350388000002</c:v>
                </c:pt>
                <c:pt idx="3">
                  <c:v>17.383836554999998</c:v>
                </c:pt>
                <c:pt idx="4">
                  <c:v>17.318710200999998</c:v>
                </c:pt>
                <c:pt idx="5">
                  <c:v>17.255931298</c:v>
                </c:pt>
                <c:pt idx="6">
                  <c:v>17.195460928999999</c:v>
                </c:pt>
                <c:pt idx="7">
                  <c:v>17.137261294000002</c:v>
                </c:pt>
                <c:pt idx="8">
                  <c:v>17.081295301000001</c:v>
                </c:pt>
                <c:pt idx="9">
                  <c:v>17.027528307000001</c:v>
                </c:pt>
                <c:pt idx="10">
                  <c:v>16.975924853999999</c:v>
                </c:pt>
                <c:pt idx="11">
                  <c:v>16.926451011000001</c:v>
                </c:pt>
                <c:pt idx="12">
                  <c:v>16.879073564999999</c:v>
                </c:pt>
                <c:pt idx="13">
                  <c:v>16.833759903000001</c:v>
                </c:pt>
                <c:pt idx="14">
                  <c:v>16.790478520000001</c:v>
                </c:pt>
                <c:pt idx="15">
                  <c:v>16.749195247999999</c:v>
                </c:pt>
                <c:pt idx="16">
                  <c:v>16.709882467</c:v>
                </c:pt>
                <c:pt idx="17">
                  <c:v>16.672506675000001</c:v>
                </c:pt>
                <c:pt idx="18">
                  <c:v>16.637037867</c:v>
                </c:pt>
                <c:pt idx="19">
                  <c:v>16.603445205</c:v>
                </c:pt>
                <c:pt idx="20">
                  <c:v>16.571700922000002</c:v>
                </c:pt>
                <c:pt idx="21">
                  <c:v>16.541774115999999</c:v>
                </c:pt>
                <c:pt idx="22">
                  <c:v>16.513635771000001</c:v>
                </c:pt>
                <c:pt idx="23">
                  <c:v>16.487260818999999</c:v>
                </c:pt>
                <c:pt idx="24">
                  <c:v>16.462622583999998</c:v>
                </c:pt>
                <c:pt idx="25">
                  <c:v>16.439696570999999</c:v>
                </c:pt>
                <c:pt idx="26">
                  <c:v>16.418459852000002</c:v>
                </c:pt>
                <c:pt idx="27">
                  <c:v>16.398891192000001</c:v>
                </c:pt>
                <c:pt idx="28">
                  <c:v>16.380971127999999</c:v>
                </c:pt>
                <c:pt idx="29">
                  <c:v>16.364680878000001</c:v>
                </c:pt>
                <c:pt idx="30">
                  <c:v>16.350007898000001</c:v>
                </c:pt>
                <c:pt idx="31">
                  <c:v>16.336934616000001</c:v>
                </c:pt>
                <c:pt idx="32">
                  <c:v>16.325449456000001</c:v>
                </c:pt>
                <c:pt idx="33">
                  <c:v>16.315541055000001</c:v>
                </c:pt>
                <c:pt idx="34">
                  <c:v>16.307199139000002</c:v>
                </c:pt>
                <c:pt idx="35">
                  <c:v>16.300415606000001</c:v>
                </c:pt>
                <c:pt idx="36">
                  <c:v>16.295179938</c:v>
                </c:pt>
                <c:pt idx="37">
                  <c:v>16.291483973999998</c:v>
                </c:pt>
                <c:pt idx="38">
                  <c:v>16.289319041999999</c:v>
                </c:pt>
                <c:pt idx="39">
                  <c:v>16.288676194000001</c:v>
                </c:pt>
                <c:pt idx="40">
                  <c:v>16.289547231</c:v>
                </c:pt>
                <c:pt idx="41">
                  <c:v>16.291919818</c:v>
                </c:pt>
                <c:pt idx="42">
                  <c:v>16.295783957000001</c:v>
                </c:pt>
                <c:pt idx="43">
                  <c:v>16.301127727000001</c:v>
                </c:pt>
                <c:pt idx="44">
                  <c:v>16.307938189000001</c:v>
                </c:pt>
                <c:pt idx="45">
                  <c:v>16.316201353</c:v>
                </c:pt>
                <c:pt idx="46">
                  <c:v>16.325902169999999</c:v>
                </c:pt>
                <c:pt idx="47">
                  <c:v>16.337024559</c:v>
                </c:pt>
                <c:pt idx="48">
                  <c:v>16.34955145</c:v>
                </c:pt>
                <c:pt idx="49">
                  <c:v>16.363464840999999</c:v>
                </c:pt>
                <c:pt idx="50">
                  <c:v>16.378745878</c:v>
                </c:pt>
                <c:pt idx="51">
                  <c:v>16.395374928999999</c:v>
                </c:pt>
                <c:pt idx="52">
                  <c:v>16.413332655000001</c:v>
                </c:pt>
                <c:pt idx="53">
                  <c:v>16.432596534000002</c:v>
                </c:pt>
                <c:pt idx="54">
                  <c:v>16.453145875000001</c:v>
                </c:pt>
                <c:pt idx="55">
                  <c:v>16.474958849</c:v>
                </c:pt>
                <c:pt idx="56">
                  <c:v>16.498013285999999</c:v>
                </c:pt>
                <c:pt idx="57">
                  <c:v>16.522286238</c:v>
                </c:pt>
                <c:pt idx="58">
                  <c:v>16.547756486000001</c:v>
                </c:pt>
                <c:pt idx="59">
                  <c:v>16.574400287</c:v>
                </c:pt>
                <c:pt idx="60">
                  <c:v>16.602194804</c:v>
                </c:pt>
                <c:pt idx="61">
                  <c:v>16.631117196000002</c:v>
                </c:pt>
                <c:pt idx="62">
                  <c:v>16.661144655000001</c:v>
                </c:pt>
                <c:pt idx="63">
                  <c:v>16.692254452</c:v>
                </c:pt>
                <c:pt idx="64">
                  <c:v>16.724423964</c:v>
                </c:pt>
                <c:pt idx="65">
                  <c:v>16.757630703</c:v>
                </c:pt>
                <c:pt idx="66">
                  <c:v>16.791852464000002</c:v>
                </c:pt>
                <c:pt idx="67">
                  <c:v>16.827066717000001</c:v>
                </c:pt>
                <c:pt idx="68">
                  <c:v>16.863251882</c:v>
                </c:pt>
                <c:pt idx="69">
                  <c:v>16.900386085000001</c:v>
                </c:pt>
                <c:pt idx="70">
                  <c:v>16.938447803999999</c:v>
                </c:pt>
                <c:pt idx="71">
                  <c:v>16.977415751999999</c:v>
                </c:pt>
                <c:pt idx="72">
                  <c:v>17.017268893000001</c:v>
                </c:pt>
                <c:pt idx="73">
                  <c:v>17.057986451000001</c:v>
                </c:pt>
                <c:pt idx="74">
                  <c:v>17.099547916999999</c:v>
                </c:pt>
                <c:pt idx="75">
                  <c:v>17.141933246000001</c:v>
                </c:pt>
                <c:pt idx="76">
                  <c:v>17.185121912</c:v>
                </c:pt>
                <c:pt idx="77">
                  <c:v>17.229094752999998</c:v>
                </c:pt>
                <c:pt idx="78">
                  <c:v>17.273832300999999</c:v>
                </c:pt>
                <c:pt idx="79">
                  <c:v>17.319315191000001</c:v>
                </c:pt>
                <c:pt idx="80">
                  <c:v>17.365524631</c:v>
                </c:pt>
                <c:pt idx="81">
                  <c:v>17.412442399</c:v>
                </c:pt>
                <c:pt idx="82">
                  <c:v>17.460049252000001</c:v>
                </c:pt>
                <c:pt idx="83">
                  <c:v>17.508327678000001</c:v>
                </c:pt>
                <c:pt idx="84">
                  <c:v>17.557259509000001</c:v>
                </c:pt>
                <c:pt idx="85">
                  <c:v>17.606828480000001</c:v>
                </c:pt>
                <c:pt idx="86">
                  <c:v>17.657015633</c:v>
                </c:pt>
                <c:pt idx="87">
                  <c:v>17.707804437</c:v>
                </c:pt>
                <c:pt idx="88">
                  <c:v>17.759178251000002</c:v>
                </c:pt>
                <c:pt idx="89">
                  <c:v>17.811120439</c:v>
                </c:pt>
                <c:pt idx="90">
                  <c:v>17.863614687999998</c:v>
                </c:pt>
                <c:pt idx="91">
                  <c:v>17.916644925</c:v>
                </c:pt>
                <c:pt idx="92">
                  <c:v>17.970195317000002</c:v>
                </c:pt>
                <c:pt idx="93">
                  <c:v>18.024250262999999</c:v>
                </c:pt>
                <c:pt idx="94">
                  <c:v>18.078794399</c:v>
                </c:pt>
                <c:pt idx="95">
                  <c:v>18.133812583000001</c:v>
                </c:pt>
                <c:pt idx="96">
                  <c:v>18.189289901999999</c:v>
                </c:pt>
                <c:pt idx="97">
                  <c:v>18.245211663999999</c:v>
                </c:pt>
                <c:pt idx="98">
                  <c:v>18.301563299000001</c:v>
                </c:pt>
                <c:pt idx="99">
                  <c:v>18.358330838000001</c:v>
                </c:pt>
                <c:pt idx="100">
                  <c:v>18.415499949000001</c:v>
                </c:pt>
                <c:pt idx="101">
                  <c:v>18.473056894999999</c:v>
                </c:pt>
                <c:pt idx="102">
                  <c:v>18.530988051000001</c:v>
                </c:pt>
                <c:pt idx="103">
                  <c:v>18.589280000999999</c:v>
                </c:pt>
                <c:pt idx="104">
                  <c:v>18.647919530999999</c:v>
                </c:pt>
                <c:pt idx="105">
                  <c:v>18.706893635</c:v>
                </c:pt>
                <c:pt idx="106">
                  <c:v>18.766189505</c:v>
                </c:pt>
                <c:pt idx="107">
                  <c:v>18.825794538</c:v>
                </c:pt>
                <c:pt idx="108">
                  <c:v>18.885696327000002</c:v>
                </c:pt>
                <c:pt idx="109">
                  <c:v>18.945882666999999</c:v>
                </c:pt>
                <c:pt idx="110">
                  <c:v>19.006341548000002</c:v>
                </c:pt>
                <c:pt idx="111">
                  <c:v>19.067061157000001</c:v>
                </c:pt>
                <c:pt idx="112">
                  <c:v>19.128029873999999</c:v>
                </c:pt>
                <c:pt idx="113">
                  <c:v>19.189237763000001</c:v>
                </c:pt>
                <c:pt idx="114">
                  <c:v>19.250671291</c:v>
                </c:pt>
                <c:pt idx="115">
                  <c:v>19.312320287999999</c:v>
                </c:pt>
                <c:pt idx="116">
                  <c:v>19.374173878000001</c:v>
                </c:pt>
                <c:pt idx="117">
                  <c:v>19.436221369999998</c:v>
                </c:pt>
                <c:pt idx="118">
                  <c:v>19.498452255</c:v>
                </c:pt>
                <c:pt idx="119">
                  <c:v>19.560856203</c:v>
                </c:pt>
                <c:pt idx="120">
                  <c:v>19.623423062000001</c:v>
                </c:pt>
                <c:pt idx="121">
                  <c:v>19.686142859</c:v>
                </c:pt>
                <c:pt idx="122">
                  <c:v>19.749005792999998</c:v>
                </c:pt>
                <c:pt idx="123">
                  <c:v>19.812002240999998</c:v>
                </c:pt>
                <c:pt idx="124">
                  <c:v>19.875122749999999</c:v>
                </c:pt>
                <c:pt idx="125">
                  <c:v>19.938358040000001</c:v>
                </c:pt>
                <c:pt idx="126">
                  <c:v>20.001698999999999</c:v>
                </c:pt>
                <c:pt idx="127">
                  <c:v>20.065136685999999</c:v>
                </c:pt>
                <c:pt idx="128">
                  <c:v>20.128662323</c:v>
                </c:pt>
                <c:pt idx="129">
                  <c:v>20.192267300000001</c:v>
                </c:pt>
                <c:pt idx="130">
                  <c:v>20.255943169999998</c:v>
                </c:pt>
                <c:pt idx="131">
                  <c:v>20.319681648</c:v>
                </c:pt>
                <c:pt idx="132">
                  <c:v>20.383474611</c:v>
                </c:pt>
                <c:pt idx="133">
                  <c:v>20.447314090999999</c:v>
                </c:pt>
                <c:pt idx="134">
                  <c:v>20.511192282</c:v>
                </c:pt>
                <c:pt idx="135">
                  <c:v>20.575101530000001</c:v>
                </c:pt>
                <c:pt idx="136">
                  <c:v>20.639034336999998</c:v>
                </c:pt>
                <c:pt idx="137">
                  <c:v>20.702983356000001</c:v>
                </c:pt>
                <c:pt idx="138">
                  <c:v>20.766941388999999</c:v>
                </c:pt>
                <c:pt idx="139">
                  <c:v>20.830901390000001</c:v>
                </c:pt>
                <c:pt idx="140">
                  <c:v>20.894856454999999</c:v>
                </c:pt>
                <c:pt idx="141">
                  <c:v>20.958799828</c:v>
                </c:pt>
                <c:pt idx="142">
                  <c:v>21.022724892999999</c:v>
                </c:pt>
                <c:pt idx="143">
                  <c:v>21.086625175999998</c:v>
                </c:pt>
                <c:pt idx="144">
                  <c:v>21.150494340000002</c:v>
                </c:pt>
                <c:pt idx="145">
                  <c:v>21.214326186000001</c:v>
                </c:pt>
                <c:pt idx="146">
                  <c:v>21.278114647999999</c:v>
                </c:pt>
                <c:pt idx="147">
                  <c:v>21.341853791999998</c:v>
                </c:pt>
                <c:pt idx="148">
                  <c:v>21.405537812999999</c:v>
                </c:pt>
                <c:pt idx="149">
                  <c:v>21.469161035999999</c:v>
                </c:pt>
                <c:pt idx="150">
                  <c:v>21.532717906999999</c:v>
                </c:pt>
                <c:pt idx="151">
                  <c:v>21.596202998999999</c:v>
                </c:pt>
                <c:pt idx="152">
                  <c:v>21.659611003999999</c:v>
                </c:pt>
                <c:pt idx="153">
                  <c:v>21.722936731000001</c:v>
                </c:pt>
                <c:pt idx="154">
                  <c:v>21.786175106999998</c:v>
                </c:pt>
                <c:pt idx="155">
                  <c:v>21.849321171</c:v>
                </c:pt>
                <c:pt idx="156">
                  <c:v>21.912370074999998</c:v>
                </c:pt>
                <c:pt idx="157">
                  <c:v>21.975317079</c:v>
                </c:pt>
                <c:pt idx="158">
                  <c:v>22.038157551000001</c:v>
                </c:pt>
                <c:pt idx="159">
                  <c:v>22.100886964000001</c:v>
                </c:pt>
                <c:pt idx="160">
                  <c:v>22.163500891999998</c:v>
                </c:pt>
                <c:pt idx="161">
                  <c:v>22.225995011999998</c:v>
                </c:pt>
                <c:pt idx="162">
                  <c:v>22.288365099</c:v>
                </c:pt>
                <c:pt idx="163">
                  <c:v>22.350607026999999</c:v>
                </c:pt>
                <c:pt idx="164">
                  <c:v>22.412716763999999</c:v>
                </c:pt>
                <c:pt idx="165">
                  <c:v>22.474690373000001</c:v>
                </c:pt>
                <c:pt idx="166">
                  <c:v>22.536524010000001</c:v>
                </c:pt>
                <c:pt idx="167">
                  <c:v>22.598213922999999</c:v>
                </c:pt>
                <c:pt idx="168">
                  <c:v>22.659756452</c:v>
                </c:pt>
                <c:pt idx="169">
                  <c:v>22.721148026000002</c:v>
                </c:pt>
                <c:pt idx="170">
                  <c:v>22.782385166000001</c:v>
                </c:pt>
                <c:pt idx="171">
                  <c:v>22.843464482000002</c:v>
                </c:pt>
                <c:pt idx="172">
                  <c:v>22.904381667999999</c:v>
                </c:pt>
                <c:pt idx="173">
                  <c:v>22.965135627999999</c:v>
                </c:pt>
                <c:pt idx="174">
                  <c:v>23.025722128000002</c:v>
                </c:pt>
                <c:pt idx="175">
                  <c:v>23.086138147</c:v>
                </c:pt>
                <c:pt idx="176">
                  <c:v>23.146380754999999</c:v>
                </c:pt>
                <c:pt idx="177">
                  <c:v>23.206447122</c:v>
                </c:pt>
                <c:pt idx="178">
                  <c:v>23.266334514</c:v>
                </c:pt>
                <c:pt idx="179">
                  <c:v>23.326040300999999</c:v>
                </c:pt>
                <c:pt idx="180">
                  <c:v>23.385561957</c:v>
                </c:pt>
                <c:pt idx="181">
                  <c:v>23.444897062999999</c:v>
                </c:pt>
                <c:pt idx="182">
                  <c:v>23.504043317000001</c:v>
                </c:pt>
                <c:pt idx="183">
                  <c:v>23.562998531000002</c:v>
                </c:pt>
                <c:pt idx="184">
                  <c:v>23.621760642000002</c:v>
                </c:pt>
                <c:pt idx="185">
                  <c:v>23.680327713000001</c:v>
                </c:pt>
                <c:pt idx="186">
                  <c:v>23.738697943999998</c:v>
                </c:pt>
                <c:pt idx="187">
                  <c:v>23.796869674</c:v>
                </c:pt>
                <c:pt idx="188">
                  <c:v>23.854841392000001</c:v>
                </c:pt>
                <c:pt idx="189">
                  <c:v>23.912611741999999</c:v>
                </c:pt>
                <c:pt idx="190">
                  <c:v>23.970179529999999</c:v>
                </c:pt>
                <c:pt idx="191">
                  <c:v>24.027543735999998</c:v>
                </c:pt>
                <c:pt idx="192">
                  <c:v>24.084703666999999</c:v>
                </c:pt>
                <c:pt idx="193">
                  <c:v>24.141658453000002</c:v>
                </c:pt>
                <c:pt idx="194">
                  <c:v>24.198408661999999</c:v>
                </c:pt>
                <c:pt idx="195">
                  <c:v>24.254950982</c:v>
                </c:pt>
                <c:pt idx="196">
                  <c:v>24.311287915000001</c:v>
                </c:pt>
                <c:pt idx="197">
                  <c:v>24.367420965000001</c:v>
                </c:pt>
                <c:pt idx="198">
                  <c:v>24.42334799</c:v>
                </c:pt>
                <c:pt idx="199">
                  <c:v>24.479070624999999</c:v>
                </c:pt>
                <c:pt idx="200">
                  <c:v>24.534589849</c:v>
                </c:pt>
                <c:pt idx="201">
                  <c:v>24.589906919000001</c:v>
                </c:pt>
                <c:pt idx="202">
                  <c:v>24.645023377000001</c:v>
                </c:pt>
                <c:pt idx="203">
                  <c:v>24.699941066000001</c:v>
                </c:pt>
                <c:pt idx="204">
                  <c:v>24.754660754</c:v>
                </c:pt>
                <c:pt idx="205">
                  <c:v>24.809188520999999</c:v>
                </c:pt>
                <c:pt idx="206">
                  <c:v>24.863524151</c:v>
                </c:pt>
                <c:pt idx="207">
                  <c:v>24.917671662</c:v>
                </c:pt>
                <c:pt idx="208">
                  <c:v>24.971634592000001</c:v>
                </c:pt>
                <c:pt idx="209">
                  <c:v>25.025416851999999</c:v>
                </c:pt>
                <c:pt idx="210">
                  <c:v>25.079022734999999</c:v>
                </c:pt>
                <c:pt idx="211">
                  <c:v>25.132456931</c:v>
                </c:pt>
                <c:pt idx="212">
                  <c:v>25.185724533999998</c:v>
                </c:pt>
                <c:pt idx="213">
                  <c:v>25.238833149000001</c:v>
                </c:pt>
                <c:pt idx="214">
                  <c:v>25.291785021999999</c:v>
                </c:pt>
                <c:pt idx="215">
                  <c:v>25.344588250000001</c:v>
                </c:pt>
                <c:pt idx="216">
                  <c:v>25.397249669000001</c:v>
                </c:pt>
                <c:pt idx="217">
                  <c:v>25.423529395999999</c:v>
                </c:pt>
                <c:pt idx="218">
                  <c:v>25.449776571000001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0A3-475E-8102-308D7776DD13}"/>
            </c:ext>
          </c:extLst>
        </c:ser>
        <c:ser>
          <c:idx val="7"/>
          <c:order val="8"/>
          <c:tx>
            <c:v>P90 boys</c:v>
          </c:tx>
          <c:spPr>
            <a:ln w="6350" cap="rnd">
              <a:solidFill>
                <a:srgbClr val="00B0F0">
                  <a:alpha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bmi4age!$B$2:$B$220</c:f>
              <c:numCache>
                <c:formatCode>0.00</c:formatCode>
                <c:ptCount val="219"/>
                <c:pt idx="0">
                  <c:v>2</c:v>
                </c:pt>
                <c:pt idx="1">
                  <c:v>2.0416666666666665</c:v>
                </c:pt>
                <c:pt idx="2">
                  <c:v>2.125</c:v>
                </c:pt>
                <c:pt idx="3">
                  <c:v>2.2083333333333335</c:v>
                </c:pt>
                <c:pt idx="4">
                  <c:v>2.2916666666666665</c:v>
                </c:pt>
                <c:pt idx="5">
                  <c:v>2.375</c:v>
                </c:pt>
                <c:pt idx="6">
                  <c:v>2.4583333333333335</c:v>
                </c:pt>
                <c:pt idx="7">
                  <c:v>2.5416666666666665</c:v>
                </c:pt>
                <c:pt idx="8">
                  <c:v>2.625</c:v>
                </c:pt>
                <c:pt idx="9">
                  <c:v>2.7083333333333335</c:v>
                </c:pt>
                <c:pt idx="10">
                  <c:v>2.7916666666666665</c:v>
                </c:pt>
                <c:pt idx="11">
                  <c:v>2.875</c:v>
                </c:pt>
                <c:pt idx="12">
                  <c:v>2.9583333333333335</c:v>
                </c:pt>
                <c:pt idx="13">
                  <c:v>3.0416666666666665</c:v>
                </c:pt>
                <c:pt idx="14">
                  <c:v>3.125</c:v>
                </c:pt>
                <c:pt idx="15">
                  <c:v>3.2083333333333335</c:v>
                </c:pt>
                <c:pt idx="16">
                  <c:v>3.2916666666666665</c:v>
                </c:pt>
                <c:pt idx="17">
                  <c:v>3.375</c:v>
                </c:pt>
                <c:pt idx="18">
                  <c:v>3.4583333333333335</c:v>
                </c:pt>
                <c:pt idx="19">
                  <c:v>3.5416666666666665</c:v>
                </c:pt>
                <c:pt idx="20">
                  <c:v>3.625</c:v>
                </c:pt>
                <c:pt idx="21">
                  <c:v>3.7083333333333335</c:v>
                </c:pt>
                <c:pt idx="22">
                  <c:v>3.7916666666666665</c:v>
                </c:pt>
                <c:pt idx="23">
                  <c:v>3.875</c:v>
                </c:pt>
                <c:pt idx="24">
                  <c:v>3.9583333333333335</c:v>
                </c:pt>
                <c:pt idx="25">
                  <c:v>4.041666666666667</c:v>
                </c:pt>
                <c:pt idx="26">
                  <c:v>4.125</c:v>
                </c:pt>
                <c:pt idx="27">
                  <c:v>4.208333333333333</c:v>
                </c:pt>
                <c:pt idx="28">
                  <c:v>4.291666666666667</c:v>
                </c:pt>
                <c:pt idx="29">
                  <c:v>4.375</c:v>
                </c:pt>
                <c:pt idx="30">
                  <c:v>4.458333333333333</c:v>
                </c:pt>
                <c:pt idx="31">
                  <c:v>4.541666666666667</c:v>
                </c:pt>
                <c:pt idx="32">
                  <c:v>4.625</c:v>
                </c:pt>
                <c:pt idx="33">
                  <c:v>4.708333333333333</c:v>
                </c:pt>
                <c:pt idx="34">
                  <c:v>4.791666666666667</c:v>
                </c:pt>
                <c:pt idx="35">
                  <c:v>4.875</c:v>
                </c:pt>
                <c:pt idx="36">
                  <c:v>4.958333333333333</c:v>
                </c:pt>
                <c:pt idx="37">
                  <c:v>5.041666666666667</c:v>
                </c:pt>
                <c:pt idx="38">
                  <c:v>5.125</c:v>
                </c:pt>
                <c:pt idx="39">
                  <c:v>5.208333333333333</c:v>
                </c:pt>
                <c:pt idx="40">
                  <c:v>5.291666666666667</c:v>
                </c:pt>
                <c:pt idx="41">
                  <c:v>5.375</c:v>
                </c:pt>
                <c:pt idx="42">
                  <c:v>5.458333333333333</c:v>
                </c:pt>
                <c:pt idx="43">
                  <c:v>5.541666666666667</c:v>
                </c:pt>
                <c:pt idx="44">
                  <c:v>5.625</c:v>
                </c:pt>
                <c:pt idx="45">
                  <c:v>5.708333333333333</c:v>
                </c:pt>
                <c:pt idx="46">
                  <c:v>5.791666666666667</c:v>
                </c:pt>
                <c:pt idx="47">
                  <c:v>5.875</c:v>
                </c:pt>
                <c:pt idx="48">
                  <c:v>5.958333333333333</c:v>
                </c:pt>
                <c:pt idx="49">
                  <c:v>6.041666666666667</c:v>
                </c:pt>
                <c:pt idx="50">
                  <c:v>6.125</c:v>
                </c:pt>
                <c:pt idx="51">
                  <c:v>6.208333333333333</c:v>
                </c:pt>
                <c:pt idx="52">
                  <c:v>6.291666666666667</c:v>
                </c:pt>
                <c:pt idx="53">
                  <c:v>6.375</c:v>
                </c:pt>
                <c:pt idx="54">
                  <c:v>6.458333333333333</c:v>
                </c:pt>
                <c:pt idx="55">
                  <c:v>6.541666666666667</c:v>
                </c:pt>
                <c:pt idx="56">
                  <c:v>6.625</c:v>
                </c:pt>
                <c:pt idx="57">
                  <c:v>6.708333333333333</c:v>
                </c:pt>
                <c:pt idx="58">
                  <c:v>6.791666666666667</c:v>
                </c:pt>
                <c:pt idx="59">
                  <c:v>6.875</c:v>
                </c:pt>
                <c:pt idx="60">
                  <c:v>6.958333333333333</c:v>
                </c:pt>
                <c:pt idx="61">
                  <c:v>7.041666666666667</c:v>
                </c:pt>
                <c:pt idx="62">
                  <c:v>7.125</c:v>
                </c:pt>
                <c:pt idx="63">
                  <c:v>7.208333333333333</c:v>
                </c:pt>
                <c:pt idx="64">
                  <c:v>7.291666666666667</c:v>
                </c:pt>
                <c:pt idx="65">
                  <c:v>7.375</c:v>
                </c:pt>
                <c:pt idx="66">
                  <c:v>7.458333333333333</c:v>
                </c:pt>
                <c:pt idx="67">
                  <c:v>7.541666666666667</c:v>
                </c:pt>
                <c:pt idx="68">
                  <c:v>7.625</c:v>
                </c:pt>
                <c:pt idx="69">
                  <c:v>7.708333333333333</c:v>
                </c:pt>
                <c:pt idx="70">
                  <c:v>7.791666666666667</c:v>
                </c:pt>
                <c:pt idx="71">
                  <c:v>7.875</c:v>
                </c:pt>
                <c:pt idx="72">
                  <c:v>7.958333333333333</c:v>
                </c:pt>
                <c:pt idx="73">
                  <c:v>8.0416666666666661</c:v>
                </c:pt>
                <c:pt idx="74">
                  <c:v>8.125</c:v>
                </c:pt>
                <c:pt idx="75">
                  <c:v>8.2083333333333339</c:v>
                </c:pt>
                <c:pt idx="76">
                  <c:v>8.2916666666666661</c:v>
                </c:pt>
                <c:pt idx="77">
                  <c:v>8.375</c:v>
                </c:pt>
                <c:pt idx="78">
                  <c:v>8.4583333333333339</c:v>
                </c:pt>
                <c:pt idx="79">
                  <c:v>8.5416666666666661</c:v>
                </c:pt>
                <c:pt idx="80">
                  <c:v>8.625</c:v>
                </c:pt>
                <c:pt idx="81">
                  <c:v>8.7083333333333339</c:v>
                </c:pt>
                <c:pt idx="82">
                  <c:v>8.7916666666666661</c:v>
                </c:pt>
                <c:pt idx="83">
                  <c:v>8.875</c:v>
                </c:pt>
                <c:pt idx="84">
                  <c:v>8.9583333333333339</c:v>
                </c:pt>
                <c:pt idx="85">
                  <c:v>9.0416666666666661</c:v>
                </c:pt>
                <c:pt idx="86">
                  <c:v>9.125</c:v>
                </c:pt>
                <c:pt idx="87">
                  <c:v>9.2083333333333339</c:v>
                </c:pt>
                <c:pt idx="88">
                  <c:v>9.2916666666666661</c:v>
                </c:pt>
                <c:pt idx="89">
                  <c:v>9.375</c:v>
                </c:pt>
                <c:pt idx="90">
                  <c:v>9.4583333333333339</c:v>
                </c:pt>
                <c:pt idx="91">
                  <c:v>9.5416666666666661</c:v>
                </c:pt>
                <c:pt idx="92">
                  <c:v>9.625</c:v>
                </c:pt>
                <c:pt idx="93">
                  <c:v>9.7083333333333339</c:v>
                </c:pt>
                <c:pt idx="94">
                  <c:v>9.7916666666666661</c:v>
                </c:pt>
                <c:pt idx="95">
                  <c:v>9.875</c:v>
                </c:pt>
                <c:pt idx="96">
                  <c:v>9.9583333333333339</c:v>
                </c:pt>
                <c:pt idx="97">
                  <c:v>10.041666666666666</c:v>
                </c:pt>
                <c:pt idx="98">
                  <c:v>10.125</c:v>
                </c:pt>
                <c:pt idx="99">
                  <c:v>10.208333333333334</c:v>
                </c:pt>
                <c:pt idx="100">
                  <c:v>10.291666666666666</c:v>
                </c:pt>
                <c:pt idx="101">
                  <c:v>10.375</c:v>
                </c:pt>
                <c:pt idx="102">
                  <c:v>10.458333333333334</c:v>
                </c:pt>
                <c:pt idx="103">
                  <c:v>10.541666666666666</c:v>
                </c:pt>
                <c:pt idx="104">
                  <c:v>10.625</c:v>
                </c:pt>
                <c:pt idx="105">
                  <c:v>10.708333333333334</c:v>
                </c:pt>
                <c:pt idx="106">
                  <c:v>10.791666666666666</c:v>
                </c:pt>
                <c:pt idx="107">
                  <c:v>10.875</c:v>
                </c:pt>
                <c:pt idx="108">
                  <c:v>10.958333333333334</c:v>
                </c:pt>
                <c:pt idx="109">
                  <c:v>11.041666666666666</c:v>
                </c:pt>
                <c:pt idx="110">
                  <c:v>11.125</c:v>
                </c:pt>
                <c:pt idx="111">
                  <c:v>11.208333333333334</c:v>
                </c:pt>
                <c:pt idx="112">
                  <c:v>11.291666666666666</c:v>
                </c:pt>
                <c:pt idx="113">
                  <c:v>11.375</c:v>
                </c:pt>
                <c:pt idx="114">
                  <c:v>11.458333333333334</c:v>
                </c:pt>
                <c:pt idx="115">
                  <c:v>11.541666666666666</c:v>
                </c:pt>
                <c:pt idx="116">
                  <c:v>11.625</c:v>
                </c:pt>
                <c:pt idx="117">
                  <c:v>11.708333333333334</c:v>
                </c:pt>
                <c:pt idx="118">
                  <c:v>11.791666666666666</c:v>
                </c:pt>
                <c:pt idx="119">
                  <c:v>11.875</c:v>
                </c:pt>
                <c:pt idx="120">
                  <c:v>11.958333333333334</c:v>
                </c:pt>
                <c:pt idx="121">
                  <c:v>12.041666666666666</c:v>
                </c:pt>
                <c:pt idx="122">
                  <c:v>12.125</c:v>
                </c:pt>
                <c:pt idx="123">
                  <c:v>12.208333333333334</c:v>
                </c:pt>
                <c:pt idx="124">
                  <c:v>12.291666666666666</c:v>
                </c:pt>
                <c:pt idx="125">
                  <c:v>12.375</c:v>
                </c:pt>
                <c:pt idx="126">
                  <c:v>12.458333333333334</c:v>
                </c:pt>
                <c:pt idx="127">
                  <c:v>12.541666666666666</c:v>
                </c:pt>
                <c:pt idx="128">
                  <c:v>12.625</c:v>
                </c:pt>
                <c:pt idx="129">
                  <c:v>12.708333333333334</c:v>
                </c:pt>
                <c:pt idx="130">
                  <c:v>12.791666666666666</c:v>
                </c:pt>
                <c:pt idx="131">
                  <c:v>12.875</c:v>
                </c:pt>
                <c:pt idx="132">
                  <c:v>12.958333333333334</c:v>
                </c:pt>
                <c:pt idx="133">
                  <c:v>13.041666666666666</c:v>
                </c:pt>
                <c:pt idx="134">
                  <c:v>13.125</c:v>
                </c:pt>
                <c:pt idx="135">
                  <c:v>13.208333333333334</c:v>
                </c:pt>
                <c:pt idx="136">
                  <c:v>13.291666666666666</c:v>
                </c:pt>
                <c:pt idx="137">
                  <c:v>13.375</c:v>
                </c:pt>
                <c:pt idx="138">
                  <c:v>13.458333333333334</c:v>
                </c:pt>
                <c:pt idx="139">
                  <c:v>13.541666666666666</c:v>
                </c:pt>
                <c:pt idx="140">
                  <c:v>13.625</c:v>
                </c:pt>
                <c:pt idx="141">
                  <c:v>13.708333333333334</c:v>
                </c:pt>
                <c:pt idx="142">
                  <c:v>13.791666666666666</c:v>
                </c:pt>
                <c:pt idx="143">
                  <c:v>13.875</c:v>
                </c:pt>
                <c:pt idx="144">
                  <c:v>13.958333333333334</c:v>
                </c:pt>
                <c:pt idx="145">
                  <c:v>14.041666666666666</c:v>
                </c:pt>
                <c:pt idx="146">
                  <c:v>14.125</c:v>
                </c:pt>
                <c:pt idx="147">
                  <c:v>14.208333333333334</c:v>
                </c:pt>
                <c:pt idx="148">
                  <c:v>14.291666666666666</c:v>
                </c:pt>
                <c:pt idx="149">
                  <c:v>14.375</c:v>
                </c:pt>
                <c:pt idx="150">
                  <c:v>14.458333333333334</c:v>
                </c:pt>
                <c:pt idx="151">
                  <c:v>14.541666666666666</c:v>
                </c:pt>
                <c:pt idx="152">
                  <c:v>14.625</c:v>
                </c:pt>
                <c:pt idx="153">
                  <c:v>14.708333333333334</c:v>
                </c:pt>
                <c:pt idx="154">
                  <c:v>14.791666666666666</c:v>
                </c:pt>
                <c:pt idx="155">
                  <c:v>14.875</c:v>
                </c:pt>
                <c:pt idx="156">
                  <c:v>14.958333333333334</c:v>
                </c:pt>
                <c:pt idx="157">
                  <c:v>15.041666666666666</c:v>
                </c:pt>
                <c:pt idx="158">
                  <c:v>15.125</c:v>
                </c:pt>
                <c:pt idx="159">
                  <c:v>15.208333333333334</c:v>
                </c:pt>
                <c:pt idx="160">
                  <c:v>15.291666666666666</c:v>
                </c:pt>
                <c:pt idx="161">
                  <c:v>15.375</c:v>
                </c:pt>
                <c:pt idx="162">
                  <c:v>15.458333333333334</c:v>
                </c:pt>
                <c:pt idx="163">
                  <c:v>15.541666666666666</c:v>
                </c:pt>
                <c:pt idx="164">
                  <c:v>15.625</c:v>
                </c:pt>
                <c:pt idx="165">
                  <c:v>15.708333333333334</c:v>
                </c:pt>
                <c:pt idx="166">
                  <c:v>15.791666666666666</c:v>
                </c:pt>
                <c:pt idx="167">
                  <c:v>15.875</c:v>
                </c:pt>
                <c:pt idx="168">
                  <c:v>15.958333333333334</c:v>
                </c:pt>
                <c:pt idx="169">
                  <c:v>16.041666666666668</c:v>
                </c:pt>
                <c:pt idx="170">
                  <c:v>16.125</c:v>
                </c:pt>
                <c:pt idx="171">
                  <c:v>16.208333333333332</c:v>
                </c:pt>
                <c:pt idx="172">
                  <c:v>16.291666666666668</c:v>
                </c:pt>
                <c:pt idx="173">
                  <c:v>16.375</c:v>
                </c:pt>
                <c:pt idx="174">
                  <c:v>16.458333333333332</c:v>
                </c:pt>
                <c:pt idx="175">
                  <c:v>16.541666666666668</c:v>
                </c:pt>
                <c:pt idx="176">
                  <c:v>16.625</c:v>
                </c:pt>
                <c:pt idx="177">
                  <c:v>16.708333333333332</c:v>
                </c:pt>
                <c:pt idx="178">
                  <c:v>16.791666666666668</c:v>
                </c:pt>
                <c:pt idx="179">
                  <c:v>16.875</c:v>
                </c:pt>
                <c:pt idx="180">
                  <c:v>16.958333333333332</c:v>
                </c:pt>
                <c:pt idx="181">
                  <c:v>17.041666666666668</c:v>
                </c:pt>
                <c:pt idx="182">
                  <c:v>17.125</c:v>
                </c:pt>
                <c:pt idx="183">
                  <c:v>17.208333333333332</c:v>
                </c:pt>
                <c:pt idx="184">
                  <c:v>17.291666666666668</c:v>
                </c:pt>
                <c:pt idx="185">
                  <c:v>17.375</c:v>
                </c:pt>
                <c:pt idx="186">
                  <c:v>17.458333333333332</c:v>
                </c:pt>
                <c:pt idx="187">
                  <c:v>17.541666666666668</c:v>
                </c:pt>
                <c:pt idx="188">
                  <c:v>17.625</c:v>
                </c:pt>
                <c:pt idx="189">
                  <c:v>17.708333333333332</c:v>
                </c:pt>
                <c:pt idx="190">
                  <c:v>17.791666666666668</c:v>
                </c:pt>
                <c:pt idx="191">
                  <c:v>17.875</c:v>
                </c:pt>
                <c:pt idx="192">
                  <c:v>17.958333333333332</c:v>
                </c:pt>
                <c:pt idx="193">
                  <c:v>18.041666666666668</c:v>
                </c:pt>
                <c:pt idx="194">
                  <c:v>18.125</c:v>
                </c:pt>
                <c:pt idx="195">
                  <c:v>18.208333333333332</c:v>
                </c:pt>
                <c:pt idx="196">
                  <c:v>18.291666666666668</c:v>
                </c:pt>
                <c:pt idx="197">
                  <c:v>18.375</c:v>
                </c:pt>
                <c:pt idx="198">
                  <c:v>18.458333333333332</c:v>
                </c:pt>
                <c:pt idx="199">
                  <c:v>18.541666666666668</c:v>
                </c:pt>
                <c:pt idx="200">
                  <c:v>18.625</c:v>
                </c:pt>
                <c:pt idx="201">
                  <c:v>18.708333333333332</c:v>
                </c:pt>
                <c:pt idx="202">
                  <c:v>18.791666666666668</c:v>
                </c:pt>
                <c:pt idx="203">
                  <c:v>18.875</c:v>
                </c:pt>
                <c:pt idx="204">
                  <c:v>18.958333333333332</c:v>
                </c:pt>
                <c:pt idx="205">
                  <c:v>19.041666666666668</c:v>
                </c:pt>
                <c:pt idx="206">
                  <c:v>19.125</c:v>
                </c:pt>
                <c:pt idx="207">
                  <c:v>19.208333333333332</c:v>
                </c:pt>
                <c:pt idx="208">
                  <c:v>19.291666666666668</c:v>
                </c:pt>
                <c:pt idx="209">
                  <c:v>19.375</c:v>
                </c:pt>
                <c:pt idx="210">
                  <c:v>19.458333333333332</c:v>
                </c:pt>
                <c:pt idx="211">
                  <c:v>19.541666666666668</c:v>
                </c:pt>
                <c:pt idx="212">
                  <c:v>19.625</c:v>
                </c:pt>
                <c:pt idx="213">
                  <c:v>19.708333333333332</c:v>
                </c:pt>
                <c:pt idx="214">
                  <c:v>19.791666666666668</c:v>
                </c:pt>
                <c:pt idx="215">
                  <c:v>19.875</c:v>
                </c:pt>
                <c:pt idx="216">
                  <c:v>19.958333333333332</c:v>
                </c:pt>
                <c:pt idx="217">
                  <c:v>20</c:v>
                </c:pt>
                <c:pt idx="218">
                  <c:v>20.041666666666668</c:v>
                </c:pt>
              </c:numCache>
            </c:numRef>
          </c:xVal>
          <c:yVal>
            <c:numRef>
              <c:f>bmi4age!$L$2:$L$220</c:f>
              <c:numCache>
                <c:formatCode>General</c:formatCode>
                <c:ptCount val="219"/>
                <c:pt idx="0">
                  <c:v>18.609481276</c:v>
                </c:pt>
                <c:pt idx="1">
                  <c:v>18.561106337999998</c:v>
                </c:pt>
                <c:pt idx="2">
                  <c:v>18.467295932999999</c:v>
                </c:pt>
                <c:pt idx="3">
                  <c:v>18.377361906000001</c:v>
                </c:pt>
                <c:pt idx="4">
                  <c:v>18.291253449999999</c:v>
                </c:pt>
                <c:pt idx="5">
                  <c:v>18.208920408000001</c:v>
                </c:pt>
                <c:pt idx="6">
                  <c:v>18.130313101999999</c:v>
                </c:pt>
                <c:pt idx="7">
                  <c:v>18.055382141999999</c:v>
                </c:pt>
                <c:pt idx="8">
                  <c:v>17.984078115999999</c:v>
                </c:pt>
                <c:pt idx="9">
                  <c:v>17.916351977000001</c:v>
                </c:pt>
                <c:pt idx="10">
                  <c:v>17.852153835999999</c:v>
                </c:pt>
                <c:pt idx="11">
                  <c:v>17.791433588</c:v>
                </c:pt>
                <c:pt idx="12">
                  <c:v>17.734140533000001</c:v>
                </c:pt>
                <c:pt idx="13">
                  <c:v>17.680223246000001</c:v>
                </c:pt>
                <c:pt idx="14">
                  <c:v>17.629629649999998</c:v>
                </c:pt>
                <c:pt idx="15">
                  <c:v>17.582305866999999</c:v>
                </c:pt>
                <c:pt idx="16">
                  <c:v>17.538198876999999</c:v>
                </c:pt>
                <c:pt idx="17">
                  <c:v>17.497252885000002</c:v>
                </c:pt>
                <c:pt idx="18">
                  <c:v>17.459412066999999</c:v>
                </c:pt>
                <c:pt idx="19">
                  <c:v>17.424619345</c:v>
                </c:pt>
                <c:pt idx="20">
                  <c:v>17.392817585</c:v>
                </c:pt>
                <c:pt idx="21">
                  <c:v>17.363947847999999</c:v>
                </c:pt>
                <c:pt idx="22">
                  <c:v>17.337950949</c:v>
                </c:pt>
                <c:pt idx="23">
                  <c:v>17.314768223000002</c:v>
                </c:pt>
                <c:pt idx="24">
                  <c:v>17.294339986000001</c:v>
                </c:pt>
                <c:pt idx="25">
                  <c:v>17.276606838999999</c:v>
                </c:pt>
                <c:pt idx="26">
                  <c:v>17.261509659000001</c:v>
                </c:pt>
                <c:pt idx="27">
                  <c:v>17.24898984</c:v>
                </c:pt>
                <c:pt idx="28">
                  <c:v>17.238989524000001</c:v>
                </c:pt>
                <c:pt idx="29">
                  <c:v>17.231451423999999</c:v>
                </c:pt>
                <c:pt idx="30">
                  <c:v>17.226321050999999</c:v>
                </c:pt>
                <c:pt idx="31">
                  <c:v>17.223542857999998</c:v>
                </c:pt>
                <c:pt idx="32">
                  <c:v>17.223064431000001</c:v>
                </c:pt>
                <c:pt idx="33">
                  <c:v>17.224834583</c:v>
                </c:pt>
                <c:pt idx="34">
                  <c:v>17.228803834000001</c:v>
                </c:pt>
                <c:pt idx="35">
                  <c:v>17.234925021999999</c:v>
                </c:pt>
                <c:pt idx="36">
                  <c:v>17.243151475000001</c:v>
                </c:pt>
                <c:pt idx="37">
                  <c:v>17.253439085</c:v>
                </c:pt>
                <c:pt idx="38">
                  <c:v>17.265745146</c:v>
                </c:pt>
                <c:pt idx="39">
                  <c:v>17.280028455</c:v>
                </c:pt>
                <c:pt idx="40">
                  <c:v>17.296249804999999</c:v>
                </c:pt>
                <c:pt idx="41">
                  <c:v>17.314369537000001</c:v>
                </c:pt>
                <c:pt idx="42">
                  <c:v>17.334350627999999</c:v>
                </c:pt>
                <c:pt idx="43">
                  <c:v>17.356156524999999</c:v>
                </c:pt>
                <c:pt idx="44">
                  <c:v>17.379751483</c:v>
                </c:pt>
                <c:pt idx="45">
                  <c:v>17.405100424</c:v>
                </c:pt>
                <c:pt idx="46">
                  <c:v>17.432168819000001</c:v>
                </c:pt>
                <c:pt idx="47">
                  <c:v>17.460922576000002</c:v>
                </c:pt>
                <c:pt idx="48">
                  <c:v>17.491327945999998</c:v>
                </c:pt>
                <c:pt idx="49">
                  <c:v>17.523351443999999</c:v>
                </c:pt>
                <c:pt idx="50">
                  <c:v>17.556959782</c:v>
                </c:pt>
                <c:pt idx="51">
                  <c:v>17.592119816</c:v>
                </c:pt>
                <c:pt idx="52">
                  <c:v>17.628799139000002</c:v>
                </c:pt>
                <c:pt idx="53">
                  <c:v>17.666963770999999</c:v>
                </c:pt>
                <c:pt idx="54">
                  <c:v>17.706581285999999</c:v>
                </c:pt>
                <c:pt idx="55">
                  <c:v>17.747618852999999</c:v>
                </c:pt>
                <c:pt idx="56">
                  <c:v>17.790043699999998</c:v>
                </c:pt>
                <c:pt idx="57">
                  <c:v>17.833822753</c:v>
                </c:pt>
                <c:pt idx="58">
                  <c:v>17.878924338000001</c:v>
                </c:pt>
                <c:pt idx="59">
                  <c:v>17.925315202</c:v>
                </c:pt>
                <c:pt idx="60">
                  <c:v>17.972962856999999</c:v>
                </c:pt>
                <c:pt idx="61">
                  <c:v>18.021834930000001</c:v>
                </c:pt>
                <c:pt idx="62">
                  <c:v>18.071899184999999</c:v>
                </c:pt>
                <c:pt idx="63">
                  <c:v>18.123123533000001</c:v>
                </c:pt>
                <c:pt idx="64">
                  <c:v>18.175476054000001</c:v>
                </c:pt>
                <c:pt idx="65">
                  <c:v>18.228925008000001</c:v>
                </c:pt>
                <c:pt idx="66">
                  <c:v>18.283438818</c:v>
                </c:pt>
                <c:pt idx="67">
                  <c:v>18.338986254999998</c:v>
                </c:pt>
                <c:pt idx="68">
                  <c:v>18.395536110999998</c:v>
                </c:pt>
                <c:pt idx="69">
                  <c:v>18.453057555000001</c:v>
                </c:pt>
                <c:pt idx="70">
                  <c:v>18.511519977999999</c:v>
                </c:pt>
                <c:pt idx="71">
                  <c:v>18.570893040000001</c:v>
                </c:pt>
                <c:pt idx="72">
                  <c:v>18.631146689000001</c:v>
                </c:pt>
                <c:pt idx="73">
                  <c:v>18.692251172999999</c:v>
                </c:pt>
                <c:pt idx="74">
                  <c:v>18.754177052999999</c:v>
                </c:pt>
                <c:pt idx="75">
                  <c:v>18.816895369000001</c:v>
                </c:pt>
                <c:pt idx="76">
                  <c:v>18.880376895000001</c:v>
                </c:pt>
                <c:pt idx="77">
                  <c:v>18.944593572999999</c:v>
                </c:pt>
                <c:pt idx="78">
                  <c:v>19.009517329000001</c:v>
                </c:pt>
                <c:pt idx="79">
                  <c:v>19.075120191</c:v>
                </c:pt>
                <c:pt idx="80">
                  <c:v>19.141374852999999</c:v>
                </c:pt>
                <c:pt idx="81">
                  <c:v>19.208254620000002</c:v>
                </c:pt>
                <c:pt idx="82">
                  <c:v>19.275732051999999</c:v>
                </c:pt>
                <c:pt idx="83">
                  <c:v>19.343781354000001</c:v>
                </c:pt>
                <c:pt idx="84">
                  <c:v>19.412376306999999</c:v>
                </c:pt>
                <c:pt idx="85">
                  <c:v>19.481492476</c:v>
                </c:pt>
                <c:pt idx="86">
                  <c:v>19.551103293000001</c:v>
                </c:pt>
                <c:pt idx="87">
                  <c:v>19.621184427999999</c:v>
                </c:pt>
                <c:pt idx="88">
                  <c:v>19.691711629</c:v>
                </c:pt>
                <c:pt idx="89">
                  <c:v>19.762660826000001</c:v>
                </c:pt>
                <c:pt idx="90">
                  <c:v>19.834008406999999</c:v>
                </c:pt>
                <c:pt idx="91">
                  <c:v>19.905731151000001</c:v>
                </c:pt>
                <c:pt idx="92">
                  <c:v>19.977806230999999</c:v>
                </c:pt>
                <c:pt idx="93">
                  <c:v>20.050211213000001</c:v>
                </c:pt>
                <c:pt idx="94">
                  <c:v>20.122924058999999</c:v>
                </c:pt>
                <c:pt idx="95">
                  <c:v>20.195923127</c:v>
                </c:pt>
                <c:pt idx="96">
                  <c:v>20.269187170999999</c:v>
                </c:pt>
                <c:pt idx="97">
                  <c:v>20.342695337999999</c:v>
                </c:pt>
                <c:pt idx="98">
                  <c:v>20.416427091999999</c:v>
                </c:pt>
                <c:pt idx="99">
                  <c:v>20.490362624999999</c:v>
                </c:pt>
                <c:pt idx="100">
                  <c:v>20.564482024</c:v>
                </c:pt>
                <c:pt idx="101">
                  <c:v>20.638766109999999</c:v>
                </c:pt>
                <c:pt idx="102">
                  <c:v>20.713196016000001</c:v>
                </c:pt>
                <c:pt idx="103">
                  <c:v>20.787753272</c:v>
                </c:pt>
                <c:pt idx="104">
                  <c:v>20.862419806999998</c:v>
                </c:pt>
                <c:pt idx="105">
                  <c:v>20.937177950999999</c:v>
                </c:pt>
                <c:pt idx="106">
                  <c:v>21.01201043</c:v>
                </c:pt>
                <c:pt idx="107">
                  <c:v>21.086900370999999</c:v>
                </c:pt>
                <c:pt idx="108">
                  <c:v>21.161831304</c:v>
                </c:pt>
                <c:pt idx="109">
                  <c:v>21.236787156999998</c:v>
                </c:pt>
                <c:pt idx="110">
                  <c:v>21.311752257999999</c:v>
                </c:pt>
                <c:pt idx="111">
                  <c:v>21.386711339000001</c:v>
                </c:pt>
                <c:pt idx="112">
                  <c:v>21.461649529999999</c:v>
                </c:pt>
                <c:pt idx="113">
                  <c:v>21.536553648000002</c:v>
                </c:pt>
                <c:pt idx="114">
                  <c:v>21.611407641</c:v>
                </c:pt>
                <c:pt idx="115">
                  <c:v>21.686198596000001</c:v>
                </c:pt>
                <c:pt idx="116">
                  <c:v>21.760913228</c:v>
                </c:pt>
                <c:pt idx="117">
                  <c:v>21.835538651</c:v>
                </c:pt>
                <c:pt idx="118">
                  <c:v>21.910062371999999</c:v>
                </c:pt>
                <c:pt idx="119">
                  <c:v>21.984472294</c:v>
                </c:pt>
                <c:pt idx="120">
                  <c:v>22.058756716000001</c:v>
                </c:pt>
                <c:pt idx="121">
                  <c:v>22.132904326999999</c:v>
                </c:pt>
                <c:pt idx="122">
                  <c:v>22.206904214000001</c:v>
                </c:pt>
                <c:pt idx="123">
                  <c:v>22.280745853999999</c:v>
                </c:pt>
                <c:pt idx="124">
                  <c:v>22.354419118999999</c:v>
                </c:pt>
                <c:pt idx="125">
                  <c:v>22.427914270999999</c:v>
                </c:pt>
                <c:pt idx="126">
                  <c:v>22.501221964999999</c:v>
                </c:pt>
                <c:pt idx="127">
                  <c:v>22.574333244999998</c:v>
                </c:pt>
                <c:pt idx="128">
                  <c:v>22.647239548000002</c:v>
                </c:pt>
                <c:pt idx="129">
                  <c:v>22.719932699000001</c:v>
                </c:pt>
                <c:pt idx="130">
                  <c:v>22.792404911999999</c:v>
                </c:pt>
                <c:pt idx="131">
                  <c:v>22.864648792000001</c:v>
                </c:pt>
                <c:pt idx="132">
                  <c:v>22.936657329999999</c:v>
                </c:pt>
                <c:pt idx="133">
                  <c:v>23.008423904000001</c:v>
                </c:pt>
                <c:pt idx="134">
                  <c:v>23.079942282000001</c:v>
                </c:pt>
                <c:pt idx="135">
                  <c:v>23.151206617</c:v>
                </c:pt>
                <c:pt idx="136">
                  <c:v>23.222211446999999</c:v>
                </c:pt>
                <c:pt idx="137">
                  <c:v>23.292951696999999</c:v>
                </c:pt>
                <c:pt idx="138">
                  <c:v>23.363422677999999</c:v>
                </c:pt>
                <c:pt idx="139">
                  <c:v>23.433620084000001</c:v>
                </c:pt>
                <c:pt idx="140">
                  <c:v>23.503539993</c:v>
                </c:pt>
                <c:pt idx="141">
                  <c:v>23.57317887</c:v>
                </c:pt>
                <c:pt idx="142">
                  <c:v>23.64253356</c:v>
                </c:pt>
                <c:pt idx="143">
                  <c:v>23.711601294000001</c:v>
                </c:pt>
                <c:pt idx="144">
                  <c:v>23.780379685</c:v>
                </c:pt>
                <c:pt idx="145">
                  <c:v>23.848866729000001</c:v>
                </c:pt>
                <c:pt idx="146">
                  <c:v>23.917060805999999</c:v>
                </c:pt>
                <c:pt idx="147">
                  <c:v>23.984960677</c:v>
                </c:pt>
                <c:pt idx="148">
                  <c:v>24.052565485999999</c:v>
                </c:pt>
                <c:pt idx="149">
                  <c:v>24.119874761999998</c:v>
                </c:pt>
                <c:pt idx="150">
                  <c:v>24.186888412999998</c:v>
                </c:pt>
                <c:pt idx="151">
                  <c:v>24.253606735000002</c:v>
                </c:pt>
                <c:pt idx="152">
                  <c:v>24.320030402</c:v>
                </c:pt>
                <c:pt idx="153">
                  <c:v>24.386160475000001</c:v>
                </c:pt>
                <c:pt idx="154">
                  <c:v>24.451998399000001</c:v>
                </c:pt>
                <c:pt idx="155">
                  <c:v>24.517546003</c:v>
                </c:pt>
                <c:pt idx="156">
                  <c:v>24.582805500999999</c:v>
                </c:pt>
                <c:pt idx="157">
                  <c:v>24.647779492000002</c:v>
                </c:pt>
                <c:pt idx="158">
                  <c:v>24.712470965000001</c:v>
                </c:pt>
                <c:pt idx="159">
                  <c:v>24.776883292000001</c:v>
                </c:pt>
                <c:pt idx="160">
                  <c:v>24.841020236999999</c:v>
                </c:pt>
                <c:pt idx="161">
                  <c:v>24.904885952000001</c:v>
                </c:pt>
                <c:pt idx="162">
                  <c:v>24.968484979999999</c:v>
                </c:pt>
                <c:pt idx="163">
                  <c:v>25.031822257999998</c:v>
                </c:pt>
                <c:pt idx="164">
                  <c:v>25.094903112000001</c:v>
                </c:pt>
                <c:pt idx="165">
                  <c:v>25.157733267000001</c:v>
                </c:pt>
                <c:pt idx="166">
                  <c:v>25.220318842000001</c:v>
                </c:pt>
                <c:pt idx="167">
                  <c:v>25.282666355</c:v>
                </c:pt>
                <c:pt idx="168">
                  <c:v>25.344782724000002</c:v>
                </c:pt>
                <c:pt idx="169">
                  <c:v>25.406675267000001</c:v>
                </c:pt>
                <c:pt idx="170">
                  <c:v>25.468351706</c:v>
                </c:pt>
                <c:pt idx="171">
                  <c:v>25.529820168000001</c:v>
                </c:pt>
                <c:pt idx="172">
                  <c:v>25.591088482</c:v>
                </c:pt>
                <c:pt idx="173">
                  <c:v>25.652167072000001</c:v>
                </c:pt>
                <c:pt idx="174">
                  <c:v>25.713064506999999</c:v>
                </c:pt>
                <c:pt idx="175">
                  <c:v>25.773790554000001</c:v>
                </c:pt>
                <c:pt idx="176">
                  <c:v>25.834355393999999</c:v>
                </c:pt>
                <c:pt idx="177">
                  <c:v>25.894769624999999</c:v>
                </c:pt>
                <c:pt idx="178">
                  <c:v>25.955044263000001</c:v>
                </c:pt>
                <c:pt idx="179">
                  <c:v>26.015190744000002</c:v>
                </c:pt>
                <c:pt idx="180">
                  <c:v>26.075220925</c:v>
                </c:pt>
                <c:pt idx="181">
                  <c:v>26.135147086</c:v>
                </c:pt>
                <c:pt idx="182">
                  <c:v>26.194981933000001</c:v>
                </c:pt>
                <c:pt idx="183">
                  <c:v>26.254738596999999</c:v>
                </c:pt>
                <c:pt idx="184">
                  <c:v>26.314430634000001</c:v>
                </c:pt>
                <c:pt idx="185">
                  <c:v>26.374072030000001</c:v>
                </c:pt>
                <c:pt idx="186">
                  <c:v>26.433677198000002</c:v>
                </c:pt>
                <c:pt idx="187">
                  <c:v>26.493260979999999</c:v>
                </c:pt>
                <c:pt idx="188">
                  <c:v>26.552838649000002</c:v>
                </c:pt>
                <c:pt idx="189">
                  <c:v>26.612425902999998</c:v>
                </c:pt>
                <c:pt idx="190">
                  <c:v>26.672038872000002</c:v>
                </c:pt>
                <c:pt idx="191">
                  <c:v>26.731694113</c:v>
                </c:pt>
                <c:pt idx="192">
                  <c:v>26.791408704999998</c:v>
                </c:pt>
                <c:pt idx="193">
                  <c:v>26.851199912999999</c:v>
                </c:pt>
                <c:pt idx="194">
                  <c:v>26.911086259000001</c:v>
                </c:pt>
                <c:pt idx="195">
                  <c:v>26.971083943</c:v>
                </c:pt>
                <c:pt idx="196">
                  <c:v>27.031213333</c:v>
                </c:pt>
                <c:pt idx="197">
                  <c:v>27.091494342000001</c:v>
                </c:pt>
                <c:pt idx="198">
                  <c:v>27.151944818</c:v>
                </c:pt>
                <c:pt idx="199">
                  <c:v>27.212585281999999</c:v>
                </c:pt>
                <c:pt idx="200">
                  <c:v>27.273436078</c:v>
                </c:pt>
                <c:pt idx="201">
                  <c:v>27.334517957999999</c:v>
                </c:pt>
                <c:pt idx="202">
                  <c:v>27.395852082000001</c:v>
                </c:pt>
                <c:pt idx="203">
                  <c:v>27.457460008999998</c:v>
                </c:pt>
                <c:pt idx="204">
                  <c:v>27.519362827999998</c:v>
                </c:pt>
                <c:pt idx="205">
                  <c:v>27.581585158999999</c:v>
                </c:pt>
                <c:pt idx="206">
                  <c:v>27.644147851</c:v>
                </c:pt>
                <c:pt idx="207">
                  <c:v>27.707074586000001</c:v>
                </c:pt>
                <c:pt idx="208">
                  <c:v>27.770388909000001</c:v>
                </c:pt>
                <c:pt idx="209">
                  <c:v>27.834114754000002</c:v>
                </c:pt>
                <c:pt idx="210">
                  <c:v>27.898276446000001</c:v>
                </c:pt>
                <c:pt idx="211">
                  <c:v>27.962898694</c:v>
                </c:pt>
                <c:pt idx="212">
                  <c:v>28.028006597000001</c:v>
                </c:pt>
                <c:pt idx="213">
                  <c:v>28.093626973999999</c:v>
                </c:pt>
                <c:pt idx="214">
                  <c:v>28.159783362999999</c:v>
                </c:pt>
                <c:pt idx="215">
                  <c:v>28.226503126000001</c:v>
                </c:pt>
                <c:pt idx="216">
                  <c:v>28.293812943999999</c:v>
                </c:pt>
                <c:pt idx="217">
                  <c:v>28.327697528000002</c:v>
                </c:pt>
                <c:pt idx="218">
                  <c:v>28.361739896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0A3-475E-8102-308D7776DD13}"/>
            </c:ext>
          </c:extLst>
        </c:ser>
        <c:ser>
          <c:idx val="8"/>
          <c:order val="9"/>
          <c:tx>
            <c:v>P95 boys</c:v>
          </c:tx>
          <c:spPr>
            <a:ln w="6350" cap="rnd">
              <a:solidFill>
                <a:srgbClr val="00B0F0">
                  <a:alpha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bmi4age!$B$2:$B$220</c:f>
              <c:numCache>
                <c:formatCode>0.00</c:formatCode>
                <c:ptCount val="219"/>
                <c:pt idx="0">
                  <c:v>2</c:v>
                </c:pt>
                <c:pt idx="1">
                  <c:v>2.0416666666666665</c:v>
                </c:pt>
                <c:pt idx="2">
                  <c:v>2.125</c:v>
                </c:pt>
                <c:pt idx="3">
                  <c:v>2.2083333333333335</c:v>
                </c:pt>
                <c:pt idx="4">
                  <c:v>2.2916666666666665</c:v>
                </c:pt>
                <c:pt idx="5">
                  <c:v>2.375</c:v>
                </c:pt>
                <c:pt idx="6">
                  <c:v>2.4583333333333335</c:v>
                </c:pt>
                <c:pt idx="7">
                  <c:v>2.5416666666666665</c:v>
                </c:pt>
                <c:pt idx="8">
                  <c:v>2.625</c:v>
                </c:pt>
                <c:pt idx="9">
                  <c:v>2.7083333333333335</c:v>
                </c:pt>
                <c:pt idx="10">
                  <c:v>2.7916666666666665</c:v>
                </c:pt>
                <c:pt idx="11">
                  <c:v>2.875</c:v>
                </c:pt>
                <c:pt idx="12">
                  <c:v>2.9583333333333335</c:v>
                </c:pt>
                <c:pt idx="13">
                  <c:v>3.0416666666666665</c:v>
                </c:pt>
                <c:pt idx="14">
                  <c:v>3.125</c:v>
                </c:pt>
                <c:pt idx="15">
                  <c:v>3.2083333333333335</c:v>
                </c:pt>
                <c:pt idx="16">
                  <c:v>3.2916666666666665</c:v>
                </c:pt>
                <c:pt idx="17">
                  <c:v>3.375</c:v>
                </c:pt>
                <c:pt idx="18">
                  <c:v>3.4583333333333335</c:v>
                </c:pt>
                <c:pt idx="19">
                  <c:v>3.5416666666666665</c:v>
                </c:pt>
                <c:pt idx="20">
                  <c:v>3.625</c:v>
                </c:pt>
                <c:pt idx="21">
                  <c:v>3.7083333333333335</c:v>
                </c:pt>
                <c:pt idx="22">
                  <c:v>3.7916666666666665</c:v>
                </c:pt>
                <c:pt idx="23">
                  <c:v>3.875</c:v>
                </c:pt>
                <c:pt idx="24">
                  <c:v>3.9583333333333335</c:v>
                </c:pt>
                <c:pt idx="25">
                  <c:v>4.041666666666667</c:v>
                </c:pt>
                <c:pt idx="26">
                  <c:v>4.125</c:v>
                </c:pt>
                <c:pt idx="27">
                  <c:v>4.208333333333333</c:v>
                </c:pt>
                <c:pt idx="28">
                  <c:v>4.291666666666667</c:v>
                </c:pt>
                <c:pt idx="29">
                  <c:v>4.375</c:v>
                </c:pt>
                <c:pt idx="30">
                  <c:v>4.458333333333333</c:v>
                </c:pt>
                <c:pt idx="31">
                  <c:v>4.541666666666667</c:v>
                </c:pt>
                <c:pt idx="32">
                  <c:v>4.625</c:v>
                </c:pt>
                <c:pt idx="33">
                  <c:v>4.708333333333333</c:v>
                </c:pt>
                <c:pt idx="34">
                  <c:v>4.791666666666667</c:v>
                </c:pt>
                <c:pt idx="35">
                  <c:v>4.875</c:v>
                </c:pt>
                <c:pt idx="36">
                  <c:v>4.958333333333333</c:v>
                </c:pt>
                <c:pt idx="37">
                  <c:v>5.041666666666667</c:v>
                </c:pt>
                <c:pt idx="38">
                  <c:v>5.125</c:v>
                </c:pt>
                <c:pt idx="39">
                  <c:v>5.208333333333333</c:v>
                </c:pt>
                <c:pt idx="40">
                  <c:v>5.291666666666667</c:v>
                </c:pt>
                <c:pt idx="41">
                  <c:v>5.375</c:v>
                </c:pt>
                <c:pt idx="42">
                  <c:v>5.458333333333333</c:v>
                </c:pt>
                <c:pt idx="43">
                  <c:v>5.541666666666667</c:v>
                </c:pt>
                <c:pt idx="44">
                  <c:v>5.625</c:v>
                </c:pt>
                <c:pt idx="45">
                  <c:v>5.708333333333333</c:v>
                </c:pt>
                <c:pt idx="46">
                  <c:v>5.791666666666667</c:v>
                </c:pt>
                <c:pt idx="47">
                  <c:v>5.875</c:v>
                </c:pt>
                <c:pt idx="48">
                  <c:v>5.958333333333333</c:v>
                </c:pt>
                <c:pt idx="49">
                  <c:v>6.041666666666667</c:v>
                </c:pt>
                <c:pt idx="50">
                  <c:v>6.125</c:v>
                </c:pt>
                <c:pt idx="51">
                  <c:v>6.208333333333333</c:v>
                </c:pt>
                <c:pt idx="52">
                  <c:v>6.291666666666667</c:v>
                </c:pt>
                <c:pt idx="53">
                  <c:v>6.375</c:v>
                </c:pt>
                <c:pt idx="54">
                  <c:v>6.458333333333333</c:v>
                </c:pt>
                <c:pt idx="55">
                  <c:v>6.541666666666667</c:v>
                </c:pt>
                <c:pt idx="56">
                  <c:v>6.625</c:v>
                </c:pt>
                <c:pt idx="57">
                  <c:v>6.708333333333333</c:v>
                </c:pt>
                <c:pt idx="58">
                  <c:v>6.791666666666667</c:v>
                </c:pt>
                <c:pt idx="59">
                  <c:v>6.875</c:v>
                </c:pt>
                <c:pt idx="60">
                  <c:v>6.958333333333333</c:v>
                </c:pt>
                <c:pt idx="61">
                  <c:v>7.041666666666667</c:v>
                </c:pt>
                <c:pt idx="62">
                  <c:v>7.125</c:v>
                </c:pt>
                <c:pt idx="63">
                  <c:v>7.208333333333333</c:v>
                </c:pt>
                <c:pt idx="64">
                  <c:v>7.291666666666667</c:v>
                </c:pt>
                <c:pt idx="65">
                  <c:v>7.375</c:v>
                </c:pt>
                <c:pt idx="66">
                  <c:v>7.458333333333333</c:v>
                </c:pt>
                <c:pt idx="67">
                  <c:v>7.541666666666667</c:v>
                </c:pt>
                <c:pt idx="68">
                  <c:v>7.625</c:v>
                </c:pt>
                <c:pt idx="69">
                  <c:v>7.708333333333333</c:v>
                </c:pt>
                <c:pt idx="70">
                  <c:v>7.791666666666667</c:v>
                </c:pt>
                <c:pt idx="71">
                  <c:v>7.875</c:v>
                </c:pt>
                <c:pt idx="72">
                  <c:v>7.958333333333333</c:v>
                </c:pt>
                <c:pt idx="73">
                  <c:v>8.0416666666666661</c:v>
                </c:pt>
                <c:pt idx="74">
                  <c:v>8.125</c:v>
                </c:pt>
                <c:pt idx="75">
                  <c:v>8.2083333333333339</c:v>
                </c:pt>
                <c:pt idx="76">
                  <c:v>8.2916666666666661</c:v>
                </c:pt>
                <c:pt idx="77">
                  <c:v>8.375</c:v>
                </c:pt>
                <c:pt idx="78">
                  <c:v>8.4583333333333339</c:v>
                </c:pt>
                <c:pt idx="79">
                  <c:v>8.5416666666666661</c:v>
                </c:pt>
                <c:pt idx="80">
                  <c:v>8.625</c:v>
                </c:pt>
                <c:pt idx="81">
                  <c:v>8.7083333333333339</c:v>
                </c:pt>
                <c:pt idx="82">
                  <c:v>8.7916666666666661</c:v>
                </c:pt>
                <c:pt idx="83">
                  <c:v>8.875</c:v>
                </c:pt>
                <c:pt idx="84">
                  <c:v>8.9583333333333339</c:v>
                </c:pt>
                <c:pt idx="85">
                  <c:v>9.0416666666666661</c:v>
                </c:pt>
                <c:pt idx="86">
                  <c:v>9.125</c:v>
                </c:pt>
                <c:pt idx="87">
                  <c:v>9.2083333333333339</c:v>
                </c:pt>
                <c:pt idx="88">
                  <c:v>9.2916666666666661</c:v>
                </c:pt>
                <c:pt idx="89">
                  <c:v>9.375</c:v>
                </c:pt>
                <c:pt idx="90">
                  <c:v>9.4583333333333339</c:v>
                </c:pt>
                <c:pt idx="91">
                  <c:v>9.5416666666666661</c:v>
                </c:pt>
                <c:pt idx="92">
                  <c:v>9.625</c:v>
                </c:pt>
                <c:pt idx="93">
                  <c:v>9.7083333333333339</c:v>
                </c:pt>
                <c:pt idx="94">
                  <c:v>9.7916666666666661</c:v>
                </c:pt>
                <c:pt idx="95">
                  <c:v>9.875</c:v>
                </c:pt>
                <c:pt idx="96">
                  <c:v>9.9583333333333339</c:v>
                </c:pt>
                <c:pt idx="97">
                  <c:v>10.041666666666666</c:v>
                </c:pt>
                <c:pt idx="98">
                  <c:v>10.125</c:v>
                </c:pt>
                <c:pt idx="99">
                  <c:v>10.208333333333334</c:v>
                </c:pt>
                <c:pt idx="100">
                  <c:v>10.291666666666666</c:v>
                </c:pt>
                <c:pt idx="101">
                  <c:v>10.375</c:v>
                </c:pt>
                <c:pt idx="102">
                  <c:v>10.458333333333334</c:v>
                </c:pt>
                <c:pt idx="103">
                  <c:v>10.541666666666666</c:v>
                </c:pt>
                <c:pt idx="104">
                  <c:v>10.625</c:v>
                </c:pt>
                <c:pt idx="105">
                  <c:v>10.708333333333334</c:v>
                </c:pt>
                <c:pt idx="106">
                  <c:v>10.791666666666666</c:v>
                </c:pt>
                <c:pt idx="107">
                  <c:v>10.875</c:v>
                </c:pt>
                <c:pt idx="108">
                  <c:v>10.958333333333334</c:v>
                </c:pt>
                <c:pt idx="109">
                  <c:v>11.041666666666666</c:v>
                </c:pt>
                <c:pt idx="110">
                  <c:v>11.125</c:v>
                </c:pt>
                <c:pt idx="111">
                  <c:v>11.208333333333334</c:v>
                </c:pt>
                <c:pt idx="112">
                  <c:v>11.291666666666666</c:v>
                </c:pt>
                <c:pt idx="113">
                  <c:v>11.375</c:v>
                </c:pt>
                <c:pt idx="114">
                  <c:v>11.458333333333334</c:v>
                </c:pt>
                <c:pt idx="115">
                  <c:v>11.541666666666666</c:v>
                </c:pt>
                <c:pt idx="116">
                  <c:v>11.625</c:v>
                </c:pt>
                <c:pt idx="117">
                  <c:v>11.708333333333334</c:v>
                </c:pt>
                <c:pt idx="118">
                  <c:v>11.791666666666666</c:v>
                </c:pt>
                <c:pt idx="119">
                  <c:v>11.875</c:v>
                </c:pt>
                <c:pt idx="120">
                  <c:v>11.958333333333334</c:v>
                </c:pt>
                <c:pt idx="121">
                  <c:v>12.041666666666666</c:v>
                </c:pt>
                <c:pt idx="122">
                  <c:v>12.125</c:v>
                </c:pt>
                <c:pt idx="123">
                  <c:v>12.208333333333334</c:v>
                </c:pt>
                <c:pt idx="124">
                  <c:v>12.291666666666666</c:v>
                </c:pt>
                <c:pt idx="125">
                  <c:v>12.375</c:v>
                </c:pt>
                <c:pt idx="126">
                  <c:v>12.458333333333334</c:v>
                </c:pt>
                <c:pt idx="127">
                  <c:v>12.541666666666666</c:v>
                </c:pt>
                <c:pt idx="128">
                  <c:v>12.625</c:v>
                </c:pt>
                <c:pt idx="129">
                  <c:v>12.708333333333334</c:v>
                </c:pt>
                <c:pt idx="130">
                  <c:v>12.791666666666666</c:v>
                </c:pt>
                <c:pt idx="131">
                  <c:v>12.875</c:v>
                </c:pt>
                <c:pt idx="132">
                  <c:v>12.958333333333334</c:v>
                </c:pt>
                <c:pt idx="133">
                  <c:v>13.041666666666666</c:v>
                </c:pt>
                <c:pt idx="134">
                  <c:v>13.125</c:v>
                </c:pt>
                <c:pt idx="135">
                  <c:v>13.208333333333334</c:v>
                </c:pt>
                <c:pt idx="136">
                  <c:v>13.291666666666666</c:v>
                </c:pt>
                <c:pt idx="137">
                  <c:v>13.375</c:v>
                </c:pt>
                <c:pt idx="138">
                  <c:v>13.458333333333334</c:v>
                </c:pt>
                <c:pt idx="139">
                  <c:v>13.541666666666666</c:v>
                </c:pt>
                <c:pt idx="140">
                  <c:v>13.625</c:v>
                </c:pt>
                <c:pt idx="141">
                  <c:v>13.708333333333334</c:v>
                </c:pt>
                <c:pt idx="142">
                  <c:v>13.791666666666666</c:v>
                </c:pt>
                <c:pt idx="143">
                  <c:v>13.875</c:v>
                </c:pt>
                <c:pt idx="144">
                  <c:v>13.958333333333334</c:v>
                </c:pt>
                <c:pt idx="145">
                  <c:v>14.041666666666666</c:v>
                </c:pt>
                <c:pt idx="146">
                  <c:v>14.125</c:v>
                </c:pt>
                <c:pt idx="147">
                  <c:v>14.208333333333334</c:v>
                </c:pt>
                <c:pt idx="148">
                  <c:v>14.291666666666666</c:v>
                </c:pt>
                <c:pt idx="149">
                  <c:v>14.375</c:v>
                </c:pt>
                <c:pt idx="150">
                  <c:v>14.458333333333334</c:v>
                </c:pt>
                <c:pt idx="151">
                  <c:v>14.541666666666666</c:v>
                </c:pt>
                <c:pt idx="152">
                  <c:v>14.625</c:v>
                </c:pt>
                <c:pt idx="153">
                  <c:v>14.708333333333334</c:v>
                </c:pt>
                <c:pt idx="154">
                  <c:v>14.791666666666666</c:v>
                </c:pt>
                <c:pt idx="155">
                  <c:v>14.875</c:v>
                </c:pt>
                <c:pt idx="156">
                  <c:v>14.958333333333334</c:v>
                </c:pt>
                <c:pt idx="157">
                  <c:v>15.041666666666666</c:v>
                </c:pt>
                <c:pt idx="158">
                  <c:v>15.125</c:v>
                </c:pt>
                <c:pt idx="159">
                  <c:v>15.208333333333334</c:v>
                </c:pt>
                <c:pt idx="160">
                  <c:v>15.291666666666666</c:v>
                </c:pt>
                <c:pt idx="161">
                  <c:v>15.375</c:v>
                </c:pt>
                <c:pt idx="162">
                  <c:v>15.458333333333334</c:v>
                </c:pt>
                <c:pt idx="163">
                  <c:v>15.541666666666666</c:v>
                </c:pt>
                <c:pt idx="164">
                  <c:v>15.625</c:v>
                </c:pt>
                <c:pt idx="165">
                  <c:v>15.708333333333334</c:v>
                </c:pt>
                <c:pt idx="166">
                  <c:v>15.791666666666666</c:v>
                </c:pt>
                <c:pt idx="167">
                  <c:v>15.875</c:v>
                </c:pt>
                <c:pt idx="168">
                  <c:v>15.958333333333334</c:v>
                </c:pt>
                <c:pt idx="169">
                  <c:v>16.041666666666668</c:v>
                </c:pt>
                <c:pt idx="170">
                  <c:v>16.125</c:v>
                </c:pt>
                <c:pt idx="171">
                  <c:v>16.208333333333332</c:v>
                </c:pt>
                <c:pt idx="172">
                  <c:v>16.291666666666668</c:v>
                </c:pt>
                <c:pt idx="173">
                  <c:v>16.375</c:v>
                </c:pt>
                <c:pt idx="174">
                  <c:v>16.458333333333332</c:v>
                </c:pt>
                <c:pt idx="175">
                  <c:v>16.541666666666668</c:v>
                </c:pt>
                <c:pt idx="176">
                  <c:v>16.625</c:v>
                </c:pt>
                <c:pt idx="177">
                  <c:v>16.708333333333332</c:v>
                </c:pt>
                <c:pt idx="178">
                  <c:v>16.791666666666668</c:v>
                </c:pt>
                <c:pt idx="179">
                  <c:v>16.875</c:v>
                </c:pt>
                <c:pt idx="180">
                  <c:v>16.958333333333332</c:v>
                </c:pt>
                <c:pt idx="181">
                  <c:v>17.041666666666668</c:v>
                </c:pt>
                <c:pt idx="182">
                  <c:v>17.125</c:v>
                </c:pt>
                <c:pt idx="183">
                  <c:v>17.208333333333332</c:v>
                </c:pt>
                <c:pt idx="184">
                  <c:v>17.291666666666668</c:v>
                </c:pt>
                <c:pt idx="185">
                  <c:v>17.375</c:v>
                </c:pt>
                <c:pt idx="186">
                  <c:v>17.458333333333332</c:v>
                </c:pt>
                <c:pt idx="187">
                  <c:v>17.541666666666668</c:v>
                </c:pt>
                <c:pt idx="188">
                  <c:v>17.625</c:v>
                </c:pt>
                <c:pt idx="189">
                  <c:v>17.708333333333332</c:v>
                </c:pt>
                <c:pt idx="190">
                  <c:v>17.791666666666668</c:v>
                </c:pt>
                <c:pt idx="191">
                  <c:v>17.875</c:v>
                </c:pt>
                <c:pt idx="192">
                  <c:v>17.958333333333332</c:v>
                </c:pt>
                <c:pt idx="193">
                  <c:v>18.041666666666668</c:v>
                </c:pt>
                <c:pt idx="194">
                  <c:v>18.125</c:v>
                </c:pt>
                <c:pt idx="195">
                  <c:v>18.208333333333332</c:v>
                </c:pt>
                <c:pt idx="196">
                  <c:v>18.291666666666668</c:v>
                </c:pt>
                <c:pt idx="197">
                  <c:v>18.375</c:v>
                </c:pt>
                <c:pt idx="198">
                  <c:v>18.458333333333332</c:v>
                </c:pt>
                <c:pt idx="199">
                  <c:v>18.541666666666668</c:v>
                </c:pt>
                <c:pt idx="200">
                  <c:v>18.625</c:v>
                </c:pt>
                <c:pt idx="201">
                  <c:v>18.708333333333332</c:v>
                </c:pt>
                <c:pt idx="202">
                  <c:v>18.791666666666668</c:v>
                </c:pt>
                <c:pt idx="203">
                  <c:v>18.875</c:v>
                </c:pt>
                <c:pt idx="204">
                  <c:v>18.958333333333332</c:v>
                </c:pt>
                <c:pt idx="205">
                  <c:v>19.041666666666668</c:v>
                </c:pt>
                <c:pt idx="206">
                  <c:v>19.125</c:v>
                </c:pt>
                <c:pt idx="207">
                  <c:v>19.208333333333332</c:v>
                </c:pt>
                <c:pt idx="208">
                  <c:v>19.291666666666668</c:v>
                </c:pt>
                <c:pt idx="209">
                  <c:v>19.375</c:v>
                </c:pt>
                <c:pt idx="210">
                  <c:v>19.458333333333332</c:v>
                </c:pt>
                <c:pt idx="211">
                  <c:v>19.541666666666668</c:v>
                </c:pt>
                <c:pt idx="212">
                  <c:v>19.625</c:v>
                </c:pt>
                <c:pt idx="213">
                  <c:v>19.708333333333332</c:v>
                </c:pt>
                <c:pt idx="214">
                  <c:v>19.791666666666668</c:v>
                </c:pt>
                <c:pt idx="215">
                  <c:v>19.875</c:v>
                </c:pt>
                <c:pt idx="216">
                  <c:v>19.958333333333332</c:v>
                </c:pt>
                <c:pt idx="217">
                  <c:v>20</c:v>
                </c:pt>
                <c:pt idx="218">
                  <c:v>20.041666666666668</c:v>
                </c:pt>
              </c:numCache>
            </c:numRef>
          </c:xVal>
          <c:yVal>
            <c:numRef>
              <c:f>bmi4age!$M$2:$M$220</c:f>
              <c:numCache>
                <c:formatCode>General</c:formatCode>
                <c:ptCount val="219"/>
                <c:pt idx="0">
                  <c:v>19.338010617999998</c:v>
                </c:pt>
                <c:pt idx="1">
                  <c:v>19.278898128000002</c:v>
                </c:pt>
                <c:pt idx="2">
                  <c:v>19.164659645</c:v>
                </c:pt>
                <c:pt idx="3">
                  <c:v>19.055674233000001</c:v>
                </c:pt>
                <c:pt idx="4">
                  <c:v>18.951867496999999</c:v>
                </c:pt>
                <c:pt idx="5">
                  <c:v>18.853165291</c:v>
                </c:pt>
                <c:pt idx="6">
                  <c:v>18.759493592999998</c:v>
                </c:pt>
                <c:pt idx="7">
                  <c:v>18.670778406</c:v>
                </c:pt>
                <c:pt idx="8">
                  <c:v>18.586945885999999</c:v>
                </c:pt>
                <c:pt idx="9">
                  <c:v>18.507921309</c:v>
                </c:pt>
                <c:pt idx="10">
                  <c:v>18.433630719</c:v>
                </c:pt>
                <c:pt idx="11">
                  <c:v>18.363999601</c:v>
                </c:pt>
                <c:pt idx="12">
                  <c:v>18.298953228999999</c:v>
                </c:pt>
                <c:pt idx="13">
                  <c:v>18.238416661999999</c:v>
                </c:pt>
                <c:pt idx="14">
                  <c:v>18.182314400999999</c:v>
                </c:pt>
                <c:pt idx="15">
                  <c:v>18.130572441000002</c:v>
                </c:pt>
                <c:pt idx="16">
                  <c:v>18.083113111999999</c:v>
                </c:pt>
                <c:pt idx="17">
                  <c:v>18.039861981000001</c:v>
                </c:pt>
                <c:pt idx="18">
                  <c:v>18.00074262</c:v>
                </c:pt>
                <c:pt idx="19">
                  <c:v>17.965679031000001</c:v>
                </c:pt>
                <c:pt idx="20">
                  <c:v>17.934593498000002</c:v>
                </c:pt>
                <c:pt idx="21">
                  <c:v>17.907410074000001</c:v>
                </c:pt>
                <c:pt idx="22">
                  <c:v>17.884051832000001</c:v>
                </c:pt>
                <c:pt idx="23">
                  <c:v>17.864439827000002</c:v>
                </c:pt>
                <c:pt idx="24">
                  <c:v>17.848496221000001</c:v>
                </c:pt>
                <c:pt idx="25">
                  <c:v>17.836142297999999</c:v>
                </c:pt>
                <c:pt idx="26">
                  <c:v>17.827298904999999</c:v>
                </c:pt>
                <c:pt idx="27">
                  <c:v>17.821886501000002</c:v>
                </c:pt>
                <c:pt idx="28">
                  <c:v>17.819825228999999</c:v>
                </c:pt>
                <c:pt idx="29">
                  <c:v>17.821035591000001</c:v>
                </c:pt>
                <c:pt idx="30">
                  <c:v>17.825435775999999</c:v>
                </c:pt>
                <c:pt idx="31">
                  <c:v>17.832947441000002</c:v>
                </c:pt>
                <c:pt idx="32">
                  <c:v>17.843490284000001</c:v>
                </c:pt>
                <c:pt idx="33">
                  <c:v>17.856985049999999</c:v>
                </c:pt>
                <c:pt idx="34">
                  <c:v>17.873353183999999</c:v>
                </c:pt>
                <c:pt idx="35">
                  <c:v>17.892516422</c:v>
                </c:pt>
                <c:pt idx="36">
                  <c:v>17.914398943999998</c:v>
                </c:pt>
                <c:pt idx="37">
                  <c:v>17.938925239</c:v>
                </c:pt>
                <c:pt idx="38">
                  <c:v>17.966021440999999</c:v>
                </c:pt>
                <c:pt idx="39">
                  <c:v>17.995615230999999</c:v>
                </c:pt>
                <c:pt idx="40">
                  <c:v>18.027635434</c:v>
                </c:pt>
                <c:pt idx="41">
                  <c:v>18.062013961000002</c:v>
                </c:pt>
                <c:pt idx="42">
                  <c:v>18.098683166000001</c:v>
                </c:pt>
                <c:pt idx="43">
                  <c:v>18.137577537999999</c:v>
                </c:pt>
                <c:pt idx="44">
                  <c:v>18.178633272999999</c:v>
                </c:pt>
                <c:pt idx="45">
                  <c:v>18.221788237999998</c:v>
                </c:pt>
                <c:pt idx="46">
                  <c:v>18.266981906000002</c:v>
                </c:pt>
                <c:pt idx="47">
                  <c:v>18.314155287999998</c:v>
                </c:pt>
                <c:pt idx="48">
                  <c:v>18.363250846</c:v>
                </c:pt>
                <c:pt idx="49">
                  <c:v>18.414212415000001</c:v>
                </c:pt>
                <c:pt idx="50">
                  <c:v>18.46698511</c:v>
                </c:pt>
                <c:pt idx="51">
                  <c:v>18.521515239999999</c:v>
                </c:pt>
                <c:pt idx="52">
                  <c:v>18.577749955000002</c:v>
                </c:pt>
                <c:pt idx="53">
                  <c:v>18.635638155999999</c:v>
                </c:pt>
                <c:pt idx="54">
                  <c:v>18.695129036000001</c:v>
                </c:pt>
                <c:pt idx="55">
                  <c:v>18.756172877000001</c:v>
                </c:pt>
                <c:pt idx="56">
                  <c:v>18.818720783</c:v>
                </c:pt>
                <c:pt idx="57">
                  <c:v>18.882724739</c:v>
                </c:pt>
                <c:pt idx="58">
                  <c:v>18.948137003999999</c:v>
                </c:pt>
                <c:pt idx="59">
                  <c:v>19.014911065</c:v>
                </c:pt>
                <c:pt idx="60">
                  <c:v>19.083000810000001</c:v>
                </c:pt>
                <c:pt idx="61">
                  <c:v>19.152360731000002</c:v>
                </c:pt>
                <c:pt idx="62">
                  <c:v>19.222945889999998</c:v>
                </c:pt>
                <c:pt idx="63">
                  <c:v>19.294711907</c:v>
                </c:pt>
                <c:pt idx="64">
                  <c:v>19.367614932999999</c:v>
                </c:pt>
                <c:pt idx="65">
                  <c:v>19.441611646999998</c:v>
                </c:pt>
                <c:pt idx="66">
                  <c:v>19.516658938999999</c:v>
                </c:pt>
                <c:pt idx="67">
                  <c:v>19.592715390999999</c:v>
                </c:pt>
                <c:pt idx="68">
                  <c:v>19.669738303999999</c:v>
                </c:pt>
                <c:pt idx="69">
                  <c:v>19.747686658999999</c:v>
                </c:pt>
                <c:pt idx="70">
                  <c:v>19.826519632</c:v>
                </c:pt>
                <c:pt idx="71">
                  <c:v>19.906196889</c:v>
                </c:pt>
                <c:pt idx="72">
                  <c:v>19.986678588</c:v>
                </c:pt>
                <c:pt idx="73">
                  <c:v>20.067925378000002</c:v>
                </c:pt>
                <c:pt idx="74">
                  <c:v>20.149898403000002</c:v>
                </c:pt>
                <c:pt idx="75">
                  <c:v>20.232559281</c:v>
                </c:pt>
                <c:pt idx="76">
                  <c:v>20.315870259</c:v>
                </c:pt>
                <c:pt idx="77">
                  <c:v>20.399793794000001</c:v>
                </c:pt>
                <c:pt idx="78">
                  <c:v>20.484293233999999</c:v>
                </c:pt>
                <c:pt idx="79">
                  <c:v>20.569332162999999</c:v>
                </c:pt>
                <c:pt idx="80">
                  <c:v>20.654874798000002</c:v>
                </c:pt>
                <c:pt idx="81">
                  <c:v>20.740885842000001</c:v>
                </c:pt>
                <c:pt idx="82">
                  <c:v>20.827330584999999</c:v>
                </c:pt>
                <c:pt idx="83">
                  <c:v>20.914174799000001</c:v>
                </c:pt>
                <c:pt idx="84">
                  <c:v>21.001384828999999</c:v>
                </c:pt>
                <c:pt idx="85">
                  <c:v>21.088927460000001</c:v>
                </c:pt>
                <c:pt idx="86">
                  <c:v>21.176770224999999</c:v>
                </c:pt>
                <c:pt idx="87">
                  <c:v>21.264881065000001</c:v>
                </c:pt>
                <c:pt idx="88">
                  <c:v>21.353228504</c:v>
                </c:pt>
                <c:pt idx="89">
                  <c:v>21.441781644999999</c:v>
                </c:pt>
                <c:pt idx="90">
                  <c:v>21.530510151000001</c:v>
                </c:pt>
                <c:pt idx="91">
                  <c:v>21.619384256</c:v>
                </c:pt>
                <c:pt idx="92">
                  <c:v>21.708374768999999</c:v>
                </c:pt>
                <c:pt idx="93">
                  <c:v>21.797453077</c:v>
                </c:pt>
                <c:pt idx="94">
                  <c:v>21.886591146000001</c:v>
                </c:pt>
                <c:pt idx="95">
                  <c:v>21.975761529</c:v>
                </c:pt>
                <c:pt idx="96">
                  <c:v>22.064937364999999</c:v>
                </c:pt>
                <c:pt idx="97">
                  <c:v>22.154092382999998</c:v>
                </c:pt>
                <c:pt idx="98">
                  <c:v>22.243200912999999</c:v>
                </c:pt>
                <c:pt idx="99">
                  <c:v>22.332237857999999</c:v>
                </c:pt>
                <c:pt idx="100">
                  <c:v>22.421178749999999</c:v>
                </c:pt>
                <c:pt idx="101">
                  <c:v>22.509999702000002</c:v>
                </c:pt>
                <c:pt idx="102">
                  <c:v>22.598677435999999</c:v>
                </c:pt>
                <c:pt idx="103">
                  <c:v>22.687189277000002</c:v>
                </c:pt>
                <c:pt idx="104">
                  <c:v>22.775513157999999</c:v>
                </c:pt>
                <c:pt idx="105">
                  <c:v>22.863627619999999</c:v>
                </c:pt>
                <c:pt idx="106">
                  <c:v>22.951511816</c:v>
                </c:pt>
                <c:pt idx="107">
                  <c:v>23.039145509000001</c:v>
                </c:pt>
                <c:pt idx="108">
                  <c:v>23.126509077000001</c:v>
                </c:pt>
                <c:pt idx="109">
                  <c:v>23.213583513</c:v>
                </c:pt>
                <c:pt idx="110">
                  <c:v>23.300350425000001</c:v>
                </c:pt>
                <c:pt idx="111">
                  <c:v>23.38679204</c:v>
                </c:pt>
                <c:pt idx="112">
                  <c:v>23.472891203</c:v>
                </c:pt>
                <c:pt idx="113">
                  <c:v>23.558631287000001</c:v>
                </c:pt>
                <c:pt idx="114">
                  <c:v>23.643996517000001</c:v>
                </c:pt>
                <c:pt idx="115">
                  <c:v>23.728971547</c:v>
                </c:pt>
                <c:pt idx="116">
                  <c:v>23.813541708999999</c:v>
                </c:pt>
                <c:pt idx="117">
                  <c:v>23.897692958</c:v>
                </c:pt>
                <c:pt idx="118">
                  <c:v>23.981411873999999</c:v>
                </c:pt>
                <c:pt idx="119">
                  <c:v>24.064685663999999</c:v>
                </c:pt>
                <c:pt idx="120">
                  <c:v>24.147502158999998</c:v>
                </c:pt>
                <c:pt idx="121">
                  <c:v>24.229849819999998</c:v>
                </c:pt>
                <c:pt idx="122">
                  <c:v>24.311717734999998</c:v>
                </c:pt>
                <c:pt idx="123">
                  <c:v>24.39309562</c:v>
                </c:pt>
                <c:pt idx="124">
                  <c:v>24.473973823000001</c:v>
                </c:pt>
                <c:pt idx="125">
                  <c:v>24.554343318000001</c:v>
                </c:pt>
                <c:pt idx="126">
                  <c:v>24.634195716000001</c:v>
                </c:pt>
                <c:pt idx="127">
                  <c:v>24.713523253999998</c:v>
                </c:pt>
                <c:pt idx="128">
                  <c:v>24.792318805000001</c:v>
                </c:pt>
                <c:pt idx="129">
                  <c:v>24.870575873</c:v>
                </c:pt>
                <c:pt idx="130">
                  <c:v>24.948288599000001</c:v>
                </c:pt>
                <c:pt idx="131">
                  <c:v>25.025451753999999</c:v>
                </c:pt>
                <c:pt idx="132">
                  <c:v>25.10206075</c:v>
                </c:pt>
                <c:pt idx="133">
                  <c:v>25.17811163</c:v>
                </c:pt>
                <c:pt idx="134">
                  <c:v>25.253601076999999</c:v>
                </c:pt>
                <c:pt idx="135">
                  <c:v>25.328526411999999</c:v>
                </c:pt>
                <c:pt idx="136">
                  <c:v>25.402885595000001</c:v>
                </c:pt>
                <c:pt idx="137">
                  <c:v>25.476677222999999</c:v>
                </c:pt>
                <c:pt idx="138">
                  <c:v>25.549900537999999</c:v>
                </c:pt>
                <c:pt idx="139">
                  <c:v>25.622555420000001</c:v>
                </c:pt>
                <c:pt idx="140">
                  <c:v>25.694642394999999</c:v>
                </c:pt>
                <c:pt idx="141">
                  <c:v>25.766162632</c:v>
                </c:pt>
                <c:pt idx="142">
                  <c:v>25.837117942999999</c:v>
                </c:pt>
                <c:pt idx="143">
                  <c:v>25.90751079</c:v>
                </c:pt>
                <c:pt idx="144">
                  <c:v>25.977344281000001</c:v>
                </c:pt>
                <c:pt idx="145">
                  <c:v>26.046622171999999</c:v>
                </c:pt>
                <c:pt idx="146">
                  <c:v>26.115348871999998</c:v>
                </c:pt>
                <c:pt idx="147">
                  <c:v>26.183529439000001</c:v>
                </c:pt>
                <c:pt idx="148">
                  <c:v>26.251169587</c:v>
                </c:pt>
                <c:pt idx="149">
                  <c:v>26.318275685</c:v>
                </c:pt>
                <c:pt idx="150">
                  <c:v>26.384854754999999</c:v>
                </c:pt>
                <c:pt idx="151">
                  <c:v>26.450914482000002</c:v>
                </c:pt>
                <c:pt idx="152">
                  <c:v>26.516463208000001</c:v>
                </c:pt>
                <c:pt idx="153">
                  <c:v>26.581509939</c:v>
                </c:pt>
                <c:pt idx="154">
                  <c:v>26.646064341999999</c:v>
                </c:pt>
                <c:pt idx="155">
                  <c:v>26.71013675</c:v>
                </c:pt>
                <c:pt idx="156">
                  <c:v>26.773738166000001</c:v>
                </c:pt>
                <c:pt idx="157">
                  <c:v>26.836880260000001</c:v>
                </c:pt>
                <c:pt idx="158">
                  <c:v>26.899575372000001</c:v>
                </c:pt>
                <c:pt idx="159">
                  <c:v>26.961836517999998</c:v>
                </c:pt>
                <c:pt idx="160">
                  <c:v>27.023677385999999</c:v>
                </c:pt>
                <c:pt idx="161">
                  <c:v>27.085112341999999</c:v>
                </c:pt>
                <c:pt idx="162">
                  <c:v>27.146156433000002</c:v>
                </c:pt>
                <c:pt idx="163">
                  <c:v>27.206825382000002</c:v>
                </c:pt>
                <c:pt idx="164">
                  <c:v>27.267135597999999</c:v>
                </c:pt>
                <c:pt idx="165">
                  <c:v>27.327104172999999</c:v>
                </c:pt>
                <c:pt idx="166">
                  <c:v>27.386748883999999</c:v>
                </c:pt>
                <c:pt idx="167">
                  <c:v>27.446088197000002</c:v>
                </c:pt>
                <c:pt idx="168">
                  <c:v>27.505141263999999</c:v>
                </c:pt>
                <c:pt idx="169">
                  <c:v>27.563927928999998</c:v>
                </c:pt>
                <c:pt idx="170">
                  <c:v>27.622468728000001</c:v>
                </c:pt>
                <c:pt idx="171">
                  <c:v>27.680784887000002</c:v>
                </c:pt>
                <c:pt idx="172">
                  <c:v>27.738898541000001</c:v>
                </c:pt>
                <c:pt idx="173">
                  <c:v>27.796831854000001</c:v>
                </c:pt>
                <c:pt idx="174">
                  <c:v>27.854608369000001</c:v>
                </c:pt>
                <c:pt idx="175">
                  <c:v>27.912252087999999</c:v>
                </c:pt>
                <c:pt idx="176">
                  <c:v>27.969787706000002</c:v>
                </c:pt>
                <c:pt idx="177">
                  <c:v>28.027240611</c:v>
                </c:pt>
                <c:pt idx="178">
                  <c:v>28.084636884999998</c:v>
                </c:pt>
                <c:pt idx="179">
                  <c:v>28.142003299999999</c:v>
                </c:pt>
                <c:pt idx="180">
                  <c:v>28.199367319</c:v>
                </c:pt>
                <c:pt idx="181">
                  <c:v>28.256757094000001</c:v>
                </c:pt>
                <c:pt idx="182">
                  <c:v>28.314201462</c:v>
                </c:pt>
                <c:pt idx="183">
                  <c:v>28.371729944999998</c:v>
                </c:pt>
                <c:pt idx="184">
                  <c:v>28.429372743999998</c:v>
                </c:pt>
                <c:pt idx="185">
                  <c:v>28.487160738</c:v>
                </c:pt>
                <c:pt idx="186">
                  <c:v>28.545125478999999</c:v>
                </c:pt>
                <c:pt idx="187">
                  <c:v>28.603299190000001</c:v>
                </c:pt>
                <c:pt idx="188">
                  <c:v>28.661714755999999</c:v>
                </c:pt>
                <c:pt idx="189">
                  <c:v>28.720405722999999</c:v>
                </c:pt>
                <c:pt idx="190">
                  <c:v>28.779406289000001</c:v>
                </c:pt>
                <c:pt idx="191">
                  <c:v>28.838751301999999</c:v>
                </c:pt>
                <c:pt idx="192">
                  <c:v>28.898476210999998</c:v>
                </c:pt>
                <c:pt idx="193">
                  <c:v>28.958617196999999</c:v>
                </c:pt>
                <c:pt idx="194">
                  <c:v>29.019210795999999</c:v>
                </c:pt>
                <c:pt idx="195">
                  <c:v>29.080295026000002</c:v>
                </c:pt>
                <c:pt idx="196">
                  <c:v>29.141907344</c:v>
                </c:pt>
                <c:pt idx="197">
                  <c:v>29.204085990999999</c:v>
                </c:pt>
                <c:pt idx="198">
                  <c:v>29.266870787999999</c:v>
                </c:pt>
                <c:pt idx="199">
                  <c:v>29.330301267999999</c:v>
                </c:pt>
                <c:pt idx="200">
                  <c:v>29.394417774000001</c:v>
                </c:pt>
                <c:pt idx="201">
                  <c:v>29.459261215000001</c:v>
                </c:pt>
                <c:pt idx="202">
                  <c:v>29.524873058000001</c:v>
                </c:pt>
                <c:pt idx="203">
                  <c:v>29.591295323000001</c:v>
                </c:pt>
                <c:pt idx="204">
                  <c:v>29.658570911999998</c:v>
                </c:pt>
                <c:pt idx="205">
                  <c:v>29.726742037000001</c:v>
                </c:pt>
                <c:pt idx="206">
                  <c:v>29.79585303</c:v>
                </c:pt>
                <c:pt idx="207">
                  <c:v>29.865947818999999</c:v>
                </c:pt>
                <c:pt idx="208">
                  <c:v>29.937071029999998</c:v>
                </c:pt>
                <c:pt idx="209">
                  <c:v>30.009267782999999</c:v>
                </c:pt>
                <c:pt idx="210">
                  <c:v>30.082583688</c:v>
                </c:pt>
                <c:pt idx="211">
                  <c:v>30.157064835</c:v>
                </c:pt>
                <c:pt idx="212">
                  <c:v>30.232757788000001</c:v>
                </c:pt>
                <c:pt idx="213">
                  <c:v>30.309709008999999</c:v>
                </c:pt>
                <c:pt idx="214">
                  <c:v>30.387967</c:v>
                </c:pt>
                <c:pt idx="215">
                  <c:v>30.467579242999999</c:v>
                </c:pt>
                <c:pt idx="216">
                  <c:v>30.548594138999999</c:v>
                </c:pt>
                <c:pt idx="217">
                  <c:v>30.589642847</c:v>
                </c:pt>
                <c:pt idx="218">
                  <c:v>30.631060541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0A3-475E-8102-308D7776DD13}"/>
            </c:ext>
          </c:extLst>
        </c:ser>
        <c:ser>
          <c:idx val="9"/>
          <c:order val="10"/>
          <c:tx>
            <c:v>P97 boys</c:v>
          </c:tx>
          <c:spPr>
            <a:ln w="635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bmi4age!$B$2:$B$220</c:f>
              <c:numCache>
                <c:formatCode>0.00</c:formatCode>
                <c:ptCount val="219"/>
                <c:pt idx="0">
                  <c:v>2</c:v>
                </c:pt>
                <c:pt idx="1">
                  <c:v>2.0416666666666665</c:v>
                </c:pt>
                <c:pt idx="2">
                  <c:v>2.125</c:v>
                </c:pt>
                <c:pt idx="3">
                  <c:v>2.2083333333333335</c:v>
                </c:pt>
                <c:pt idx="4">
                  <c:v>2.2916666666666665</c:v>
                </c:pt>
                <c:pt idx="5">
                  <c:v>2.375</c:v>
                </c:pt>
                <c:pt idx="6">
                  <c:v>2.4583333333333335</c:v>
                </c:pt>
                <c:pt idx="7">
                  <c:v>2.5416666666666665</c:v>
                </c:pt>
                <c:pt idx="8">
                  <c:v>2.625</c:v>
                </c:pt>
                <c:pt idx="9">
                  <c:v>2.7083333333333335</c:v>
                </c:pt>
                <c:pt idx="10">
                  <c:v>2.7916666666666665</c:v>
                </c:pt>
                <c:pt idx="11">
                  <c:v>2.875</c:v>
                </c:pt>
                <c:pt idx="12">
                  <c:v>2.9583333333333335</c:v>
                </c:pt>
                <c:pt idx="13">
                  <c:v>3.0416666666666665</c:v>
                </c:pt>
                <c:pt idx="14">
                  <c:v>3.125</c:v>
                </c:pt>
                <c:pt idx="15">
                  <c:v>3.2083333333333335</c:v>
                </c:pt>
                <c:pt idx="16">
                  <c:v>3.2916666666666665</c:v>
                </c:pt>
                <c:pt idx="17">
                  <c:v>3.375</c:v>
                </c:pt>
                <c:pt idx="18">
                  <c:v>3.4583333333333335</c:v>
                </c:pt>
                <c:pt idx="19">
                  <c:v>3.5416666666666665</c:v>
                </c:pt>
                <c:pt idx="20">
                  <c:v>3.625</c:v>
                </c:pt>
                <c:pt idx="21">
                  <c:v>3.7083333333333335</c:v>
                </c:pt>
                <c:pt idx="22">
                  <c:v>3.7916666666666665</c:v>
                </c:pt>
                <c:pt idx="23">
                  <c:v>3.875</c:v>
                </c:pt>
                <c:pt idx="24">
                  <c:v>3.9583333333333335</c:v>
                </c:pt>
                <c:pt idx="25">
                  <c:v>4.041666666666667</c:v>
                </c:pt>
                <c:pt idx="26">
                  <c:v>4.125</c:v>
                </c:pt>
                <c:pt idx="27">
                  <c:v>4.208333333333333</c:v>
                </c:pt>
                <c:pt idx="28">
                  <c:v>4.291666666666667</c:v>
                </c:pt>
                <c:pt idx="29">
                  <c:v>4.375</c:v>
                </c:pt>
                <c:pt idx="30">
                  <c:v>4.458333333333333</c:v>
                </c:pt>
                <c:pt idx="31">
                  <c:v>4.541666666666667</c:v>
                </c:pt>
                <c:pt idx="32">
                  <c:v>4.625</c:v>
                </c:pt>
                <c:pt idx="33">
                  <c:v>4.708333333333333</c:v>
                </c:pt>
                <c:pt idx="34">
                  <c:v>4.791666666666667</c:v>
                </c:pt>
                <c:pt idx="35">
                  <c:v>4.875</c:v>
                </c:pt>
                <c:pt idx="36">
                  <c:v>4.958333333333333</c:v>
                </c:pt>
                <c:pt idx="37">
                  <c:v>5.041666666666667</c:v>
                </c:pt>
                <c:pt idx="38">
                  <c:v>5.125</c:v>
                </c:pt>
                <c:pt idx="39">
                  <c:v>5.208333333333333</c:v>
                </c:pt>
                <c:pt idx="40">
                  <c:v>5.291666666666667</c:v>
                </c:pt>
                <c:pt idx="41">
                  <c:v>5.375</c:v>
                </c:pt>
                <c:pt idx="42">
                  <c:v>5.458333333333333</c:v>
                </c:pt>
                <c:pt idx="43">
                  <c:v>5.541666666666667</c:v>
                </c:pt>
                <c:pt idx="44">
                  <c:v>5.625</c:v>
                </c:pt>
                <c:pt idx="45">
                  <c:v>5.708333333333333</c:v>
                </c:pt>
                <c:pt idx="46">
                  <c:v>5.791666666666667</c:v>
                </c:pt>
                <c:pt idx="47">
                  <c:v>5.875</c:v>
                </c:pt>
                <c:pt idx="48">
                  <c:v>5.958333333333333</c:v>
                </c:pt>
                <c:pt idx="49">
                  <c:v>6.041666666666667</c:v>
                </c:pt>
                <c:pt idx="50">
                  <c:v>6.125</c:v>
                </c:pt>
                <c:pt idx="51">
                  <c:v>6.208333333333333</c:v>
                </c:pt>
                <c:pt idx="52">
                  <c:v>6.291666666666667</c:v>
                </c:pt>
                <c:pt idx="53">
                  <c:v>6.375</c:v>
                </c:pt>
                <c:pt idx="54">
                  <c:v>6.458333333333333</c:v>
                </c:pt>
                <c:pt idx="55">
                  <c:v>6.541666666666667</c:v>
                </c:pt>
                <c:pt idx="56">
                  <c:v>6.625</c:v>
                </c:pt>
                <c:pt idx="57">
                  <c:v>6.708333333333333</c:v>
                </c:pt>
                <c:pt idx="58">
                  <c:v>6.791666666666667</c:v>
                </c:pt>
                <c:pt idx="59">
                  <c:v>6.875</c:v>
                </c:pt>
                <c:pt idx="60">
                  <c:v>6.958333333333333</c:v>
                </c:pt>
                <c:pt idx="61">
                  <c:v>7.041666666666667</c:v>
                </c:pt>
                <c:pt idx="62">
                  <c:v>7.125</c:v>
                </c:pt>
                <c:pt idx="63">
                  <c:v>7.208333333333333</c:v>
                </c:pt>
                <c:pt idx="64">
                  <c:v>7.291666666666667</c:v>
                </c:pt>
                <c:pt idx="65">
                  <c:v>7.375</c:v>
                </c:pt>
                <c:pt idx="66">
                  <c:v>7.458333333333333</c:v>
                </c:pt>
                <c:pt idx="67">
                  <c:v>7.541666666666667</c:v>
                </c:pt>
                <c:pt idx="68">
                  <c:v>7.625</c:v>
                </c:pt>
                <c:pt idx="69">
                  <c:v>7.708333333333333</c:v>
                </c:pt>
                <c:pt idx="70">
                  <c:v>7.791666666666667</c:v>
                </c:pt>
                <c:pt idx="71">
                  <c:v>7.875</c:v>
                </c:pt>
                <c:pt idx="72">
                  <c:v>7.958333333333333</c:v>
                </c:pt>
                <c:pt idx="73">
                  <c:v>8.0416666666666661</c:v>
                </c:pt>
                <c:pt idx="74">
                  <c:v>8.125</c:v>
                </c:pt>
                <c:pt idx="75">
                  <c:v>8.2083333333333339</c:v>
                </c:pt>
                <c:pt idx="76">
                  <c:v>8.2916666666666661</c:v>
                </c:pt>
                <c:pt idx="77">
                  <c:v>8.375</c:v>
                </c:pt>
                <c:pt idx="78">
                  <c:v>8.4583333333333339</c:v>
                </c:pt>
                <c:pt idx="79">
                  <c:v>8.5416666666666661</c:v>
                </c:pt>
                <c:pt idx="80">
                  <c:v>8.625</c:v>
                </c:pt>
                <c:pt idx="81">
                  <c:v>8.7083333333333339</c:v>
                </c:pt>
                <c:pt idx="82">
                  <c:v>8.7916666666666661</c:v>
                </c:pt>
                <c:pt idx="83">
                  <c:v>8.875</c:v>
                </c:pt>
                <c:pt idx="84">
                  <c:v>8.9583333333333339</c:v>
                </c:pt>
                <c:pt idx="85">
                  <c:v>9.0416666666666661</c:v>
                </c:pt>
                <c:pt idx="86">
                  <c:v>9.125</c:v>
                </c:pt>
                <c:pt idx="87">
                  <c:v>9.2083333333333339</c:v>
                </c:pt>
                <c:pt idx="88">
                  <c:v>9.2916666666666661</c:v>
                </c:pt>
                <c:pt idx="89">
                  <c:v>9.375</c:v>
                </c:pt>
                <c:pt idx="90">
                  <c:v>9.4583333333333339</c:v>
                </c:pt>
                <c:pt idx="91">
                  <c:v>9.5416666666666661</c:v>
                </c:pt>
                <c:pt idx="92">
                  <c:v>9.625</c:v>
                </c:pt>
                <c:pt idx="93">
                  <c:v>9.7083333333333339</c:v>
                </c:pt>
                <c:pt idx="94">
                  <c:v>9.7916666666666661</c:v>
                </c:pt>
                <c:pt idx="95">
                  <c:v>9.875</c:v>
                </c:pt>
                <c:pt idx="96">
                  <c:v>9.9583333333333339</c:v>
                </c:pt>
                <c:pt idx="97">
                  <c:v>10.041666666666666</c:v>
                </c:pt>
                <c:pt idx="98">
                  <c:v>10.125</c:v>
                </c:pt>
                <c:pt idx="99">
                  <c:v>10.208333333333334</c:v>
                </c:pt>
                <c:pt idx="100">
                  <c:v>10.291666666666666</c:v>
                </c:pt>
                <c:pt idx="101">
                  <c:v>10.375</c:v>
                </c:pt>
                <c:pt idx="102">
                  <c:v>10.458333333333334</c:v>
                </c:pt>
                <c:pt idx="103">
                  <c:v>10.541666666666666</c:v>
                </c:pt>
                <c:pt idx="104">
                  <c:v>10.625</c:v>
                </c:pt>
                <c:pt idx="105">
                  <c:v>10.708333333333334</c:v>
                </c:pt>
                <c:pt idx="106">
                  <c:v>10.791666666666666</c:v>
                </c:pt>
                <c:pt idx="107">
                  <c:v>10.875</c:v>
                </c:pt>
                <c:pt idx="108">
                  <c:v>10.958333333333334</c:v>
                </c:pt>
                <c:pt idx="109">
                  <c:v>11.041666666666666</c:v>
                </c:pt>
                <c:pt idx="110">
                  <c:v>11.125</c:v>
                </c:pt>
                <c:pt idx="111">
                  <c:v>11.208333333333334</c:v>
                </c:pt>
                <c:pt idx="112">
                  <c:v>11.291666666666666</c:v>
                </c:pt>
                <c:pt idx="113">
                  <c:v>11.375</c:v>
                </c:pt>
                <c:pt idx="114">
                  <c:v>11.458333333333334</c:v>
                </c:pt>
                <c:pt idx="115">
                  <c:v>11.541666666666666</c:v>
                </c:pt>
                <c:pt idx="116">
                  <c:v>11.625</c:v>
                </c:pt>
                <c:pt idx="117">
                  <c:v>11.708333333333334</c:v>
                </c:pt>
                <c:pt idx="118">
                  <c:v>11.791666666666666</c:v>
                </c:pt>
                <c:pt idx="119">
                  <c:v>11.875</c:v>
                </c:pt>
                <c:pt idx="120">
                  <c:v>11.958333333333334</c:v>
                </c:pt>
                <c:pt idx="121">
                  <c:v>12.041666666666666</c:v>
                </c:pt>
                <c:pt idx="122">
                  <c:v>12.125</c:v>
                </c:pt>
                <c:pt idx="123">
                  <c:v>12.208333333333334</c:v>
                </c:pt>
                <c:pt idx="124">
                  <c:v>12.291666666666666</c:v>
                </c:pt>
                <c:pt idx="125">
                  <c:v>12.375</c:v>
                </c:pt>
                <c:pt idx="126">
                  <c:v>12.458333333333334</c:v>
                </c:pt>
                <c:pt idx="127">
                  <c:v>12.541666666666666</c:v>
                </c:pt>
                <c:pt idx="128">
                  <c:v>12.625</c:v>
                </c:pt>
                <c:pt idx="129">
                  <c:v>12.708333333333334</c:v>
                </c:pt>
                <c:pt idx="130">
                  <c:v>12.791666666666666</c:v>
                </c:pt>
                <c:pt idx="131">
                  <c:v>12.875</c:v>
                </c:pt>
                <c:pt idx="132">
                  <c:v>12.958333333333334</c:v>
                </c:pt>
                <c:pt idx="133">
                  <c:v>13.041666666666666</c:v>
                </c:pt>
                <c:pt idx="134">
                  <c:v>13.125</c:v>
                </c:pt>
                <c:pt idx="135">
                  <c:v>13.208333333333334</c:v>
                </c:pt>
                <c:pt idx="136">
                  <c:v>13.291666666666666</c:v>
                </c:pt>
                <c:pt idx="137">
                  <c:v>13.375</c:v>
                </c:pt>
                <c:pt idx="138">
                  <c:v>13.458333333333334</c:v>
                </c:pt>
                <c:pt idx="139">
                  <c:v>13.541666666666666</c:v>
                </c:pt>
                <c:pt idx="140">
                  <c:v>13.625</c:v>
                </c:pt>
                <c:pt idx="141">
                  <c:v>13.708333333333334</c:v>
                </c:pt>
                <c:pt idx="142">
                  <c:v>13.791666666666666</c:v>
                </c:pt>
                <c:pt idx="143">
                  <c:v>13.875</c:v>
                </c:pt>
                <c:pt idx="144">
                  <c:v>13.958333333333334</c:v>
                </c:pt>
                <c:pt idx="145">
                  <c:v>14.041666666666666</c:v>
                </c:pt>
                <c:pt idx="146">
                  <c:v>14.125</c:v>
                </c:pt>
                <c:pt idx="147">
                  <c:v>14.208333333333334</c:v>
                </c:pt>
                <c:pt idx="148">
                  <c:v>14.291666666666666</c:v>
                </c:pt>
                <c:pt idx="149">
                  <c:v>14.375</c:v>
                </c:pt>
                <c:pt idx="150">
                  <c:v>14.458333333333334</c:v>
                </c:pt>
                <c:pt idx="151">
                  <c:v>14.541666666666666</c:v>
                </c:pt>
                <c:pt idx="152">
                  <c:v>14.625</c:v>
                </c:pt>
                <c:pt idx="153">
                  <c:v>14.708333333333334</c:v>
                </c:pt>
                <c:pt idx="154">
                  <c:v>14.791666666666666</c:v>
                </c:pt>
                <c:pt idx="155">
                  <c:v>14.875</c:v>
                </c:pt>
                <c:pt idx="156">
                  <c:v>14.958333333333334</c:v>
                </c:pt>
                <c:pt idx="157">
                  <c:v>15.041666666666666</c:v>
                </c:pt>
                <c:pt idx="158">
                  <c:v>15.125</c:v>
                </c:pt>
                <c:pt idx="159">
                  <c:v>15.208333333333334</c:v>
                </c:pt>
                <c:pt idx="160">
                  <c:v>15.291666666666666</c:v>
                </c:pt>
                <c:pt idx="161">
                  <c:v>15.375</c:v>
                </c:pt>
                <c:pt idx="162">
                  <c:v>15.458333333333334</c:v>
                </c:pt>
                <c:pt idx="163">
                  <c:v>15.541666666666666</c:v>
                </c:pt>
                <c:pt idx="164">
                  <c:v>15.625</c:v>
                </c:pt>
                <c:pt idx="165">
                  <c:v>15.708333333333334</c:v>
                </c:pt>
                <c:pt idx="166">
                  <c:v>15.791666666666666</c:v>
                </c:pt>
                <c:pt idx="167">
                  <c:v>15.875</c:v>
                </c:pt>
                <c:pt idx="168">
                  <c:v>15.958333333333334</c:v>
                </c:pt>
                <c:pt idx="169">
                  <c:v>16.041666666666668</c:v>
                </c:pt>
                <c:pt idx="170">
                  <c:v>16.125</c:v>
                </c:pt>
                <c:pt idx="171">
                  <c:v>16.208333333333332</c:v>
                </c:pt>
                <c:pt idx="172">
                  <c:v>16.291666666666668</c:v>
                </c:pt>
                <c:pt idx="173">
                  <c:v>16.375</c:v>
                </c:pt>
                <c:pt idx="174">
                  <c:v>16.458333333333332</c:v>
                </c:pt>
                <c:pt idx="175">
                  <c:v>16.541666666666668</c:v>
                </c:pt>
                <c:pt idx="176">
                  <c:v>16.625</c:v>
                </c:pt>
                <c:pt idx="177">
                  <c:v>16.708333333333332</c:v>
                </c:pt>
                <c:pt idx="178">
                  <c:v>16.791666666666668</c:v>
                </c:pt>
                <c:pt idx="179">
                  <c:v>16.875</c:v>
                </c:pt>
                <c:pt idx="180">
                  <c:v>16.958333333333332</c:v>
                </c:pt>
                <c:pt idx="181">
                  <c:v>17.041666666666668</c:v>
                </c:pt>
                <c:pt idx="182">
                  <c:v>17.125</c:v>
                </c:pt>
                <c:pt idx="183">
                  <c:v>17.208333333333332</c:v>
                </c:pt>
                <c:pt idx="184">
                  <c:v>17.291666666666668</c:v>
                </c:pt>
                <c:pt idx="185">
                  <c:v>17.375</c:v>
                </c:pt>
                <c:pt idx="186">
                  <c:v>17.458333333333332</c:v>
                </c:pt>
                <c:pt idx="187">
                  <c:v>17.541666666666668</c:v>
                </c:pt>
                <c:pt idx="188">
                  <c:v>17.625</c:v>
                </c:pt>
                <c:pt idx="189">
                  <c:v>17.708333333333332</c:v>
                </c:pt>
                <c:pt idx="190">
                  <c:v>17.791666666666668</c:v>
                </c:pt>
                <c:pt idx="191">
                  <c:v>17.875</c:v>
                </c:pt>
                <c:pt idx="192">
                  <c:v>17.958333333333332</c:v>
                </c:pt>
                <c:pt idx="193">
                  <c:v>18.041666666666668</c:v>
                </c:pt>
                <c:pt idx="194">
                  <c:v>18.125</c:v>
                </c:pt>
                <c:pt idx="195">
                  <c:v>18.208333333333332</c:v>
                </c:pt>
                <c:pt idx="196">
                  <c:v>18.291666666666668</c:v>
                </c:pt>
                <c:pt idx="197">
                  <c:v>18.375</c:v>
                </c:pt>
                <c:pt idx="198">
                  <c:v>18.458333333333332</c:v>
                </c:pt>
                <c:pt idx="199">
                  <c:v>18.541666666666668</c:v>
                </c:pt>
                <c:pt idx="200">
                  <c:v>18.625</c:v>
                </c:pt>
                <c:pt idx="201">
                  <c:v>18.708333333333332</c:v>
                </c:pt>
                <c:pt idx="202">
                  <c:v>18.791666666666668</c:v>
                </c:pt>
                <c:pt idx="203">
                  <c:v>18.875</c:v>
                </c:pt>
                <c:pt idx="204">
                  <c:v>18.958333333333332</c:v>
                </c:pt>
                <c:pt idx="205">
                  <c:v>19.041666666666668</c:v>
                </c:pt>
                <c:pt idx="206">
                  <c:v>19.125</c:v>
                </c:pt>
                <c:pt idx="207">
                  <c:v>19.208333333333332</c:v>
                </c:pt>
                <c:pt idx="208">
                  <c:v>19.291666666666668</c:v>
                </c:pt>
                <c:pt idx="209">
                  <c:v>19.375</c:v>
                </c:pt>
                <c:pt idx="210">
                  <c:v>19.458333333333332</c:v>
                </c:pt>
                <c:pt idx="211">
                  <c:v>19.541666666666668</c:v>
                </c:pt>
                <c:pt idx="212">
                  <c:v>19.625</c:v>
                </c:pt>
                <c:pt idx="213">
                  <c:v>19.708333333333332</c:v>
                </c:pt>
                <c:pt idx="214">
                  <c:v>19.791666666666668</c:v>
                </c:pt>
                <c:pt idx="215">
                  <c:v>19.875</c:v>
                </c:pt>
                <c:pt idx="216">
                  <c:v>19.958333333333332</c:v>
                </c:pt>
                <c:pt idx="217">
                  <c:v>20</c:v>
                </c:pt>
                <c:pt idx="218">
                  <c:v>20.041666666666668</c:v>
                </c:pt>
              </c:numCache>
            </c:numRef>
          </c:xVal>
          <c:yVal>
            <c:numRef>
              <c:f>bmi4age!$N$2:$N$220</c:f>
              <c:numCache>
                <c:formatCode>General</c:formatCode>
                <c:ptCount val="219"/>
                <c:pt idx="0">
                  <c:v>19.859858115000002</c:v>
                </c:pt>
                <c:pt idx="1">
                  <c:v>19.791940141000001</c:v>
                </c:pt>
                <c:pt idx="2">
                  <c:v>19.661023449999998</c:v>
                </c:pt>
                <c:pt idx="3">
                  <c:v>19.536575397</c:v>
                </c:pt>
                <c:pt idx="4">
                  <c:v>19.418488052000001</c:v>
                </c:pt>
                <c:pt idx="5">
                  <c:v>19.306654105</c:v>
                </c:pt>
                <c:pt idx="6">
                  <c:v>19.200966909000002</c:v>
                </c:pt>
                <c:pt idx="7">
                  <c:v>19.101320560000001</c:v>
                </c:pt>
                <c:pt idx="8">
                  <c:v>19.007610505999999</c:v>
                </c:pt>
                <c:pt idx="9">
                  <c:v>18.919731253999998</c:v>
                </c:pt>
                <c:pt idx="10">
                  <c:v>18.837580723999999</c:v>
                </c:pt>
                <c:pt idx="11">
                  <c:v>18.761057108999999</c:v>
                </c:pt>
                <c:pt idx="12">
                  <c:v>18.690059923</c:v>
                </c:pt>
                <c:pt idx="13">
                  <c:v>18.624490107</c:v>
                </c:pt>
                <c:pt idx="14">
                  <c:v>18.564249301</c:v>
                </c:pt>
                <c:pt idx="15">
                  <c:v>18.509244783</c:v>
                </c:pt>
                <c:pt idx="16">
                  <c:v>18.459377192000002</c:v>
                </c:pt>
                <c:pt idx="17">
                  <c:v>18.414556972</c:v>
                </c:pt>
                <c:pt idx="18">
                  <c:v>18.374691867999999</c:v>
                </c:pt>
                <c:pt idx="19">
                  <c:v>18.339692641999999</c:v>
                </c:pt>
                <c:pt idx="20">
                  <c:v>18.309467847000001</c:v>
                </c:pt>
                <c:pt idx="21">
                  <c:v>18.283932044</c:v>
                </c:pt>
                <c:pt idx="22">
                  <c:v>18.262999111999999</c:v>
                </c:pt>
                <c:pt idx="23">
                  <c:v>18.246579487000002</c:v>
                </c:pt>
                <c:pt idx="24">
                  <c:v>18.234587502</c:v>
                </c:pt>
                <c:pt idx="25">
                  <c:v>18.226936331000001</c:v>
                </c:pt>
                <c:pt idx="26">
                  <c:v>18.223538751</c:v>
                </c:pt>
                <c:pt idx="27">
                  <c:v>18.224306914</c:v>
                </c:pt>
                <c:pt idx="28">
                  <c:v>18.229152160000002</c:v>
                </c:pt>
                <c:pt idx="29">
                  <c:v>18.237986373999998</c:v>
                </c:pt>
                <c:pt idx="30">
                  <c:v>18.250714444</c:v>
                </c:pt>
                <c:pt idx="31">
                  <c:v>18.26724918</c:v>
                </c:pt>
                <c:pt idx="32">
                  <c:v>18.287496428000001</c:v>
                </c:pt>
                <c:pt idx="33">
                  <c:v>18.311362644999999</c:v>
                </c:pt>
                <c:pt idx="34">
                  <c:v>18.338753563000001</c:v>
                </c:pt>
                <c:pt idx="35">
                  <c:v>18.369572559000002</c:v>
                </c:pt>
                <c:pt idx="36">
                  <c:v>18.403726711000001</c:v>
                </c:pt>
                <c:pt idx="37">
                  <c:v>18.441120211000001</c:v>
                </c:pt>
                <c:pt idx="38">
                  <c:v>18.481658124999999</c:v>
                </c:pt>
                <c:pt idx="39">
                  <c:v>18.525245989999998</c:v>
                </c:pt>
                <c:pt idx="40">
                  <c:v>18.571788322</c:v>
                </c:pt>
                <c:pt idx="41">
                  <c:v>18.621195326999999</c:v>
                </c:pt>
                <c:pt idx="42">
                  <c:v>18.673373953999999</c:v>
                </c:pt>
                <c:pt idx="43">
                  <c:v>18.728233788000001</c:v>
                </c:pt>
                <c:pt idx="44">
                  <c:v>18.785685831999999</c:v>
                </c:pt>
                <c:pt idx="45">
                  <c:v>18.845642612999999</c:v>
                </c:pt>
                <c:pt idx="46">
                  <c:v>18.908018260999999</c:v>
                </c:pt>
                <c:pt idx="47">
                  <c:v>18.972728552</c:v>
                </c:pt>
                <c:pt idx="48">
                  <c:v>19.039690941</c:v>
                </c:pt>
                <c:pt idx="49">
                  <c:v>19.108824563999999</c:v>
                </c:pt>
                <c:pt idx="50">
                  <c:v>19.180050239</c:v>
                </c:pt>
                <c:pt idx="51">
                  <c:v>19.253290437</c:v>
                </c:pt>
                <c:pt idx="52">
                  <c:v>19.328467816</c:v>
                </c:pt>
                <c:pt idx="53">
                  <c:v>19.405510395</c:v>
                </c:pt>
                <c:pt idx="54">
                  <c:v>19.484344311000001</c:v>
                </c:pt>
                <c:pt idx="55">
                  <c:v>19.564898227</c:v>
                </c:pt>
                <c:pt idx="56">
                  <c:v>19.647102238999999</c:v>
                </c:pt>
                <c:pt idx="57">
                  <c:v>19.730888595</c:v>
                </c:pt>
                <c:pt idx="58">
                  <c:v>19.816187992</c:v>
                </c:pt>
                <c:pt idx="59">
                  <c:v>19.902936</c:v>
                </c:pt>
                <c:pt idx="60">
                  <c:v>19.991067966999999</c:v>
                </c:pt>
                <c:pt idx="61">
                  <c:v>20.080520423999999</c:v>
                </c:pt>
                <c:pt idx="62">
                  <c:v>20.171231040999999</c:v>
                </c:pt>
                <c:pt idx="63">
                  <c:v>20.263138602000001</c:v>
                </c:pt>
                <c:pt idx="64">
                  <c:v>20.356182970999999</c:v>
                </c:pt>
                <c:pt idx="65">
                  <c:v>20.450305072999999</c:v>
                </c:pt>
                <c:pt idx="66">
                  <c:v>20.545446242000001</c:v>
                </c:pt>
                <c:pt idx="67">
                  <c:v>20.641551322000002</c:v>
                </c:pt>
                <c:pt idx="68">
                  <c:v>20.738562414</c:v>
                </c:pt>
                <c:pt idx="69">
                  <c:v>20.836425088999999</c:v>
                </c:pt>
                <c:pt idx="70">
                  <c:v>20.935085251</c:v>
                </c:pt>
                <c:pt idx="71">
                  <c:v>21.034489745999998</c:v>
                </c:pt>
                <c:pt idx="72">
                  <c:v>21.134586339999998</c:v>
                </c:pt>
                <c:pt idx="73">
                  <c:v>21.235323699999999</c:v>
                </c:pt>
                <c:pt idx="74">
                  <c:v>21.336651376999999</c:v>
                </c:pt>
                <c:pt idx="75">
                  <c:v>21.438519498000002</c:v>
                </c:pt>
                <c:pt idx="76">
                  <c:v>21.540880323</c:v>
                </c:pt>
                <c:pt idx="77">
                  <c:v>21.643684933999999</c:v>
                </c:pt>
                <c:pt idx="78">
                  <c:v>21.746886771</c:v>
                </c:pt>
                <c:pt idx="79">
                  <c:v>21.850439866999999</c:v>
                </c:pt>
                <c:pt idx="80">
                  <c:v>21.954298870999999</c:v>
                </c:pt>
                <c:pt idx="81">
                  <c:v>22.058418781</c:v>
                </c:pt>
                <c:pt idx="82">
                  <c:v>22.162757422999999</c:v>
                </c:pt>
                <c:pt idx="83">
                  <c:v>22.267271226999998</c:v>
                </c:pt>
                <c:pt idx="84">
                  <c:v>22.371918872999998</c:v>
                </c:pt>
                <c:pt idx="85">
                  <c:v>22.476657289999999</c:v>
                </c:pt>
                <c:pt idx="86">
                  <c:v>22.581448926</c:v>
                </c:pt>
                <c:pt idx="87">
                  <c:v>22.686253625999999</c:v>
                </c:pt>
                <c:pt idx="88">
                  <c:v>22.791032645000001</c:v>
                </c:pt>
                <c:pt idx="89">
                  <c:v>22.895748466000001</c:v>
                </c:pt>
                <c:pt idx="90">
                  <c:v>23.00036429</c:v>
                </c:pt>
                <c:pt idx="91">
                  <c:v>23.104844158999999</c:v>
                </c:pt>
                <c:pt idx="92">
                  <c:v>23.209152956000001</c:v>
                </c:pt>
                <c:pt idx="93">
                  <c:v>23.313256408000001</c:v>
                </c:pt>
                <c:pt idx="94">
                  <c:v>23.417121085000002</c:v>
                </c:pt>
                <c:pt idx="95">
                  <c:v>23.520714401999999</c:v>
                </c:pt>
                <c:pt idx="96">
                  <c:v>23.624004623000001</c:v>
                </c:pt>
                <c:pt idx="97">
                  <c:v>23.726960857000002</c:v>
                </c:pt>
                <c:pt idx="98">
                  <c:v>23.829553219000001</c:v>
                </c:pt>
                <c:pt idx="99">
                  <c:v>23.931752057000001</c:v>
                </c:pt>
                <c:pt idx="100">
                  <c:v>24.033529496</c:v>
                </c:pt>
                <c:pt idx="101">
                  <c:v>24.134857897</c:v>
                </c:pt>
                <c:pt idx="102">
                  <c:v>24.235710627</c:v>
                </c:pt>
                <c:pt idx="103">
                  <c:v>24.336061908000001</c:v>
                </c:pt>
                <c:pt idx="104">
                  <c:v>24.435886814</c:v>
                </c:pt>
                <c:pt idx="105">
                  <c:v>24.535161274</c:v>
                </c:pt>
                <c:pt idx="106">
                  <c:v>24.633862066999999</c:v>
                </c:pt>
                <c:pt idx="107">
                  <c:v>24.731966828000001</c:v>
                </c:pt>
                <c:pt idx="108">
                  <c:v>24.829454042999998</c:v>
                </c:pt>
                <c:pt idx="109">
                  <c:v>24.926303052000002</c:v>
                </c:pt>
                <c:pt idx="110">
                  <c:v>25.022494045999998</c:v>
                </c:pt>
                <c:pt idx="111">
                  <c:v>25.118008071999999</c:v>
                </c:pt>
                <c:pt idx="112">
                  <c:v>25.21282703</c:v>
                </c:pt>
                <c:pt idx="113">
                  <c:v>25.306931297999999</c:v>
                </c:pt>
                <c:pt idx="114">
                  <c:v>25.400308150000001</c:v>
                </c:pt>
                <c:pt idx="115">
                  <c:v>25.492940658999999</c:v>
                </c:pt>
                <c:pt idx="116">
                  <c:v>25.584814176999998</c:v>
                </c:pt>
                <c:pt idx="117">
                  <c:v>25.675914917</c:v>
                </c:pt>
                <c:pt idx="118">
                  <c:v>25.76622996</c:v>
                </c:pt>
                <c:pt idx="119">
                  <c:v>25.855747252</c:v>
                </c:pt>
                <c:pt idx="120">
                  <c:v>25.944455605000002</c:v>
                </c:pt>
                <c:pt idx="121">
                  <c:v>26.032344701</c:v>
                </c:pt>
                <c:pt idx="122">
                  <c:v>26.119405091000001</c:v>
                </c:pt>
                <c:pt idx="123">
                  <c:v>26.205628193999999</c:v>
                </c:pt>
                <c:pt idx="124">
                  <c:v>26.291006302</c:v>
                </c:pt>
                <c:pt idx="125">
                  <c:v>26.375532577000001</c:v>
                </c:pt>
                <c:pt idx="126">
                  <c:v>26.459201057000001</c:v>
                </c:pt>
                <c:pt idx="127">
                  <c:v>26.542006651000001</c:v>
                </c:pt>
                <c:pt idx="128">
                  <c:v>26.623945145</c:v>
                </c:pt>
                <c:pt idx="129">
                  <c:v>26.705013199</c:v>
                </c:pt>
                <c:pt idx="130">
                  <c:v>26.785208353000002</c:v>
                </c:pt>
                <c:pt idx="131">
                  <c:v>26.864529022999999</c:v>
                </c:pt>
                <c:pt idx="132">
                  <c:v>26.942974504999999</c:v>
                </c:pt>
                <c:pt idx="133">
                  <c:v>27.020544975</c:v>
                </c:pt>
                <c:pt idx="134">
                  <c:v>27.097241492999999</c:v>
                </c:pt>
                <c:pt idx="135">
                  <c:v>27.173065997999998</c:v>
                </c:pt>
                <c:pt idx="136">
                  <c:v>27.248021315999999</c:v>
                </c:pt>
                <c:pt idx="137">
                  <c:v>27.322111154000002</c:v>
                </c:pt>
                <c:pt idx="138">
                  <c:v>27.395340109999999</c:v>
                </c:pt>
                <c:pt idx="139">
                  <c:v>27.467713664000001</c:v>
                </c:pt>
                <c:pt idx="140">
                  <c:v>27.539238187999999</c:v>
                </c:pt>
                <c:pt idx="141">
                  <c:v>27.609920940999999</c:v>
                </c:pt>
                <c:pt idx="142">
                  <c:v>27.679770074</c:v>
                </c:pt>
                <c:pt idx="143">
                  <c:v>27.748794626999999</c:v>
                </c:pt>
                <c:pt idx="144">
                  <c:v>27.817004533999999</c:v>
                </c:pt>
                <c:pt idx="145">
                  <c:v>27.884410623000001</c:v>
                </c:pt>
                <c:pt idx="146">
                  <c:v>27.951024616000002</c:v>
                </c:pt>
                <c:pt idx="147">
                  <c:v>28.016859129</c:v>
                </c:pt>
                <c:pt idx="148">
                  <c:v>28.081927676999999</c:v>
                </c:pt>
                <c:pt idx="149">
                  <c:v>28.146244670000002</c:v>
                </c:pt>
                <c:pt idx="150">
                  <c:v>28.209825418000001</c:v>
                </c:pt>
                <c:pt idx="151">
                  <c:v>28.27268613</c:v>
                </c:pt>
                <c:pt idx="152">
                  <c:v>28.334843913</c:v>
                </c:pt>
                <c:pt idx="153">
                  <c:v>28.396316775999999</c:v>
                </c:pt>
                <c:pt idx="154">
                  <c:v>28.457123629000002</c:v>
                </c:pt>
                <c:pt idx="155">
                  <c:v>28.517284283999999</c:v>
                </c:pt>
                <c:pt idx="156">
                  <c:v>28.576819454999999</c:v>
                </c:pt>
                <c:pt idx="157">
                  <c:v>28.635750759</c:v>
                </c:pt>
                <c:pt idx="158">
                  <c:v>28.694100716000001</c:v>
                </c:pt>
                <c:pt idx="159">
                  <c:v>28.751892748</c:v>
                </c:pt>
                <c:pt idx="160">
                  <c:v>28.809151183000001</c:v>
                </c:pt>
                <c:pt idx="161">
                  <c:v>28.86590125</c:v>
                </c:pt>
                <c:pt idx="162">
                  <c:v>28.922169082</c:v>
                </c:pt>
                <c:pt idx="163">
                  <c:v>28.977981715999999</c:v>
                </c:pt>
                <c:pt idx="164">
                  <c:v>29.033367088999999</c:v>
                </c:pt>
                <c:pt idx="165">
                  <c:v>29.088354043999999</c:v>
                </c:pt>
                <c:pt idx="166">
                  <c:v>29.142972320999998</c:v>
                </c:pt>
                <c:pt idx="167">
                  <c:v>29.197252562999999</c:v>
                </c:pt>
                <c:pt idx="168">
                  <c:v>29.251226312</c:v>
                </c:pt>
                <c:pt idx="169">
                  <c:v>29.304926007999999</c:v>
                </c:pt>
                <c:pt idx="170">
                  <c:v>29.358384987000001</c:v>
                </c:pt>
                <c:pt idx="171">
                  <c:v>29.411637482</c:v>
                </c:pt>
                <c:pt idx="172">
                  <c:v>29.464720073999999</c:v>
                </c:pt>
                <c:pt idx="173">
                  <c:v>29.517665722</c:v>
                </c:pt>
                <c:pt idx="174">
                  <c:v>29.570512949000001</c:v>
                </c:pt>
                <c:pt idx="175">
                  <c:v>29.623299546999998</c:v>
                </c:pt>
                <c:pt idx="176">
                  <c:v>29.676064192999998</c:v>
                </c:pt>
                <c:pt idx="177">
                  <c:v>29.728846442999998</c:v>
                </c:pt>
                <c:pt idx="178">
                  <c:v>29.781686736000001</c:v>
                </c:pt>
                <c:pt idx="179">
                  <c:v>29.834626382</c:v>
                </c:pt>
                <c:pt idx="180">
                  <c:v>29.887707567</c:v>
                </c:pt>
                <c:pt idx="181">
                  <c:v>29.940973346</c:v>
                </c:pt>
                <c:pt idx="182">
                  <c:v>29.994467636</c:v>
                </c:pt>
                <c:pt idx="183">
                  <c:v>30.048235217999999</c:v>
                </c:pt>
                <c:pt idx="184">
                  <c:v>30.102321732</c:v>
                </c:pt>
                <c:pt idx="185">
                  <c:v>30.156773669</c:v>
                </c:pt>
                <c:pt idx="186">
                  <c:v>30.211638370999999</c:v>
                </c:pt>
                <c:pt idx="187">
                  <c:v>30.266964025</c:v>
                </c:pt>
                <c:pt idx="188">
                  <c:v>30.322799658000001</c:v>
                </c:pt>
                <c:pt idx="189">
                  <c:v>30.379195135</c:v>
                </c:pt>
                <c:pt idx="190">
                  <c:v>30.436201151999999</c:v>
                </c:pt>
                <c:pt idx="191">
                  <c:v>30.493869233000002</c:v>
                </c:pt>
                <c:pt idx="192">
                  <c:v>30.552251517999998</c:v>
                </c:pt>
                <c:pt idx="193">
                  <c:v>30.611401484000002</c:v>
                </c:pt>
                <c:pt idx="194">
                  <c:v>30.671371758999999</c:v>
                </c:pt>
                <c:pt idx="195">
                  <c:v>30.732221215999999</c:v>
                </c:pt>
                <c:pt idx="196">
                  <c:v>30.794002112000001</c:v>
                </c:pt>
                <c:pt idx="197">
                  <c:v>30.856769055000001</c:v>
                </c:pt>
                <c:pt idx="198">
                  <c:v>30.920582776</c:v>
                </c:pt>
                <c:pt idx="199">
                  <c:v>30.985499998000002</c:v>
                </c:pt>
                <c:pt idx="200">
                  <c:v>31.051579489000002</c:v>
                </c:pt>
                <c:pt idx="201">
                  <c:v>31.118880803</c:v>
                </c:pt>
                <c:pt idx="202">
                  <c:v>31.187464273</c:v>
                </c:pt>
                <c:pt idx="203">
                  <c:v>31.257391016</c:v>
                </c:pt>
                <c:pt idx="204">
                  <c:v>31.328724775000001</c:v>
                </c:pt>
                <c:pt idx="205">
                  <c:v>31.401523440999998</c:v>
                </c:pt>
                <c:pt idx="206">
                  <c:v>31.475854413</c:v>
                </c:pt>
                <c:pt idx="207">
                  <c:v>31.551780780000001</c:v>
                </c:pt>
                <c:pt idx="208">
                  <c:v>31.629367478999999</c:v>
                </c:pt>
                <c:pt idx="209">
                  <c:v>31.708680201</c:v>
                </c:pt>
                <c:pt idx="210">
                  <c:v>31.789785391999999</c:v>
                </c:pt>
                <c:pt idx="211">
                  <c:v>31.872750248999999</c:v>
                </c:pt>
                <c:pt idx="212">
                  <c:v>31.957642717999999</c:v>
                </c:pt>
                <c:pt idx="213">
                  <c:v>32.044528528999997</c:v>
                </c:pt>
                <c:pt idx="214">
                  <c:v>32.133482319999999</c:v>
                </c:pt>
                <c:pt idx="215">
                  <c:v>32.224571824000002</c:v>
                </c:pt>
                <c:pt idx="216">
                  <c:v>32.317867911</c:v>
                </c:pt>
                <c:pt idx="217">
                  <c:v>32.365365859999997</c:v>
                </c:pt>
                <c:pt idx="218">
                  <c:v>32.413442177999997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0A3-475E-8102-308D7776D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691968"/>
        <c:axId val="1597695296"/>
      </c:scatterChart>
      <c:valAx>
        <c:axId val="1597691968"/>
        <c:scaling>
          <c:orientation val="minMax"/>
          <c:max val="20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yr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695296"/>
        <c:crosses val="autoZero"/>
        <c:crossBetween val="midCat"/>
        <c:majorUnit val="2"/>
        <c:minorUnit val="0.25"/>
      </c:valAx>
      <c:valAx>
        <c:axId val="1597695296"/>
        <c:scaling>
          <c:orientation val="minMax"/>
          <c:max val="24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691968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DDFBB79-8398-4FDB-8E7A-DBBC6D137BA5}">
  <sheetPr codeName="Chart2"/>
  <sheetViews>
    <sheetView zoomScale="13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3D73A5F-9E32-4DE9-BC65-5A5068D87C8C}">
  <sheetPr codeName="Chart1"/>
  <sheetViews>
    <sheetView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A332E3C-D0D2-42F8-B434-12C2D8B095BC}">
  <sheetPr codeName="Chart5"/>
  <sheetViews>
    <sheetView zoomScale="13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14B4BF5-80E7-4530-A22B-E5E6C5E63D77}">
  <sheetPr codeName="Chart4"/>
  <sheetViews>
    <sheetView zoomScale="11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05DE031-5664-443A-AE14-607E38429C7E}">
  <sheetPr codeName="Chart3"/>
  <sheetViews>
    <sheetView zoomScale="13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9525</xdr:rowOff>
    </xdr:from>
    <xdr:to>
      <xdr:col>1</xdr:col>
      <xdr:colOff>425450</xdr:colOff>
      <xdr:row>2</xdr:row>
      <xdr:rowOff>196850</xdr:rowOff>
    </xdr:to>
    <xdr:pic>
      <xdr:nvPicPr>
        <xdr:cNvPr id="9226" name="Picture 1" descr="baby carriage">
          <a:extLst>
            <a:ext uri="{FF2B5EF4-FFF2-40B4-BE49-F238E27FC236}">
              <a16:creationId xmlns:a16="http://schemas.microsoft.com/office/drawing/2014/main" id="{00000000-0008-0000-0500-00000A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"/>
          <a:ext cx="1216891" cy="9063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</xdr:rowOff>
    </xdr:from>
    <xdr:to>
      <xdr:col>1</xdr:col>
      <xdr:colOff>443811</xdr:colOff>
      <xdr:row>3</xdr:row>
      <xdr:rowOff>1905</xdr:rowOff>
    </xdr:to>
    <xdr:pic>
      <xdr:nvPicPr>
        <xdr:cNvPr id="3" name="Picture 2" descr="baby carriage">
          <a:extLst>
            <a:ext uri="{FF2B5EF4-FFF2-40B4-BE49-F238E27FC236}">
              <a16:creationId xmlns:a16="http://schemas.microsoft.com/office/drawing/2014/main" id="{DAE7B5E9-45A3-4BC6-B7E2-81C9436C0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"/>
          <a:ext cx="1232481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9525</xdr:rowOff>
    </xdr:from>
    <xdr:to>
      <xdr:col>1</xdr:col>
      <xdr:colOff>260931</xdr:colOff>
      <xdr:row>2</xdr:row>
      <xdr:rowOff>200025</xdr:rowOff>
    </xdr:to>
    <xdr:pic>
      <xdr:nvPicPr>
        <xdr:cNvPr id="2" name="Picture 1" descr="baby carriage">
          <a:extLst>
            <a:ext uri="{FF2B5EF4-FFF2-40B4-BE49-F238E27FC236}">
              <a16:creationId xmlns:a16="http://schemas.microsoft.com/office/drawing/2014/main" id="{71986AFD-62F0-407A-AF42-F0ACFB85FF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"/>
          <a:ext cx="1232481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492" cy="62835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6BC968-9CDD-315B-EDC4-F6FAE0E1081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6320" cy="627888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26A7CC-BCA0-4CA8-51D1-07FAA3B743A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7492" cy="62835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1550EB-D244-566C-46F6-37EB9D1FC07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2164" cy="627610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59D684-15A7-258B-A204-59910DA76CD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7492" cy="62835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04CE4-DEF0-DE3D-700D-4715B4481D6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1A5F2C-9434-4AED-89F3-4D99099D9603}" name="measurements1" displayName="measurements1" ref="A4:Q7" totalsRowShown="0" dataDxfId="44" tableBorderDxfId="43">
  <autoFilter ref="A4:Q7" xr:uid="{601A5F2C-9434-4AED-89F3-4D99099D9603}"/>
  <tableColumns count="17">
    <tableColumn id="1" xr3:uid="{B6EEA1BA-45D6-4B30-B15B-B826C6029339}" name="date" dataDxfId="42"/>
    <tableColumn id="2" xr3:uid="{4A1E53EB-C354-4E4E-A303-907186F66B61}" name="ymd" dataDxfId="41">
      <calculatedColumnFormula>IF(A5&gt;0,dmy(birthdate, A5, DAY(EOMONTH(A5, -1))),"")</calculatedColumnFormula>
    </tableColumn>
    <tableColumn id="3" xr3:uid="{D3F7893A-648D-4A0C-8F9C-2E88F9FC110C}" name="age" dataDxfId="40">
      <calculatedColumnFormula>IF(ISNUMBER(A5), ageInYears(birthdate, A5, DAY(EOMONTH(A5, -1))), "")</calculatedColumnFormula>
    </tableColumn>
    <tableColumn id="4" xr3:uid="{CD111728-9A02-4391-8F8F-A5E36F63E84F}" name="weight" dataDxfId="39"/>
    <tableColumn id="17" xr3:uid="{F3CAEDBF-59EF-48E4-8F18-190E75D28A91}" name="dWeight" dataDxfId="38">
      <calculatedColumnFormula>IF(AND(ISNUMBER(D4),ISNUMBER(measurements1[[#This Row],[weight]])),measurements1[[#This Row],[weight]]-D4,"")</calculatedColumnFormula>
    </tableColumn>
    <tableColumn id="5" xr3:uid="{C4247B94-9A72-488A-8A9F-87053CEFA141}" name="%weight" dataDxfId="37">
      <calculatedColumnFormula>calc_weight4age(1, C5, D5)</calculatedColumnFormula>
    </tableColumn>
    <tableColumn id="6" xr3:uid="{7C55CBA1-E1B6-4BDB-B657-148C0FEC655E}" name="length" dataDxfId="36"/>
    <tableColumn id="16" xr3:uid="{6E181C9C-A6B0-4E27-81C5-E3E701B90D1D}" name="dLength" dataDxfId="35">
      <calculatedColumnFormula>IF(AND(ISNUMBER(G4),ISNUMBER(measurements1[[#This Row],[length]])),measurements1[[#This Row],[length]]-G4,"")</calculatedColumnFormula>
    </tableColumn>
    <tableColumn id="7" xr3:uid="{E281599F-389B-4140-B300-E5FB0FD8F5FB}" name="%length" dataDxfId="34">
      <calculatedColumnFormula>calc_length4age(1, C5, G5)</calculatedColumnFormula>
    </tableColumn>
    <tableColumn id="8" xr3:uid="{5E815607-EE13-4444-8E96-351BEF0A3C0C}" name="w vs l" dataDxfId="33">
      <calculatedColumnFormula>calc_weight4length(1, $G5, $D5)</calculatedColumnFormula>
    </tableColumn>
    <tableColumn id="9" xr3:uid="{75D7FBF0-5BF0-4F42-92E1-21A360648800}" name="bmi" dataDxfId="32">
      <calculatedColumnFormula>IF(AND(ISNUMBER(D5),ISNUMBER(G5)), D5 / (G5/100)^2, "")</calculatedColumnFormula>
    </tableColumn>
    <tableColumn id="10" xr3:uid="{266F3381-798B-4DA2-A786-97D59DFE2ACD}" name="%bmi" dataDxfId="31">
      <calculatedColumnFormula>calc_bmi4age(1, C5, K5)</calculatedColumnFormula>
    </tableColumn>
    <tableColumn id="11" xr3:uid="{AD0A95B9-F92D-4145-AF7A-496BC555DC01}" name="head" dataDxfId="30"/>
    <tableColumn id="12" xr3:uid="{3B09B7D3-C4C7-4E2D-A245-23A4424B7A0B}" name="%head" dataDxfId="29">
      <calculatedColumnFormula>calc_head4age(1, C5, M5)</calculatedColumnFormula>
    </tableColumn>
    <tableColumn id="13" xr3:uid="{AFF63AF3-7164-44F3-8806-5BA9B00D4B01}" name="lb" dataDxfId="28">
      <calculatedColumnFormula>IF(D5&gt;0,ROUNDDOWN(CONVERT(D5,"kg","lbm"),0),"")</calculatedColumnFormula>
    </tableColumn>
    <tableColumn id="14" xr3:uid="{E0DC3E9B-E7F2-40FE-8433-58D48F14E39E}" name="oz" dataDxfId="27">
      <calculatedColumnFormula>IF(D5&gt;0,(CONVERT(D5,"kg","lbm")-O5)*16,"")</calculatedColumnFormula>
    </tableColumn>
    <tableColumn id="15" xr3:uid="{59D59DFC-3B8A-4979-8C14-347DBA91603E}" name="inch" dataDxfId="26">
      <calculatedColumnFormula>IF(G5&gt;0,CONVERT(G5, "cm", "in"),"")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05E771-FF0F-4FBE-B43D-D154EF02FDA1}" name="measurements2" displayName="measurements2" ref="A4:Q7" totalsRowShown="0" tableBorderDxfId="25">
  <autoFilter ref="A4:Q7" xr:uid="{9B05E771-FF0F-4FBE-B43D-D154EF02FDA1}"/>
  <tableColumns count="17">
    <tableColumn id="1" xr3:uid="{84737E56-DBE3-414D-B3B1-474B3DE820E9}" name="date" dataDxfId="24">
      <calculatedColumnFormula>birthdate</calculatedColumnFormula>
    </tableColumn>
    <tableColumn id="2" xr3:uid="{9AEE78AD-E64D-4801-B267-7F85619EA728}" name="ymd" dataDxfId="23">
      <calculatedColumnFormula>IF(A5&gt;0,dmy(birthdate, A5, DAY(EOMONTH(A5, -1))),"")</calculatedColumnFormula>
    </tableColumn>
    <tableColumn id="3" xr3:uid="{A5A5AB05-59D8-4696-B9E0-DD245E77263A}" name="age" dataDxfId="22">
      <calculatedColumnFormula>IF(ISNUMBER(A5), ageInYears(birthdate, A5, DAY(EOMONTH(A5, -1))), "")</calculatedColumnFormula>
    </tableColumn>
    <tableColumn id="4" xr3:uid="{9263D797-82FA-45A2-B9A1-DB53E3A02BD7}" name="weight" dataDxfId="21"/>
    <tableColumn id="17" xr3:uid="{226BEBE4-28FD-468D-983C-2E74C9EE68EC}" name="dWeight" dataDxfId="20">
      <calculatedColumnFormula>IF(AND(ISNUMBER(D4),ISNUMBER(measurements2[[#This Row],[weight]])),measurements2[[#This Row],[weight]]-D4,"")</calculatedColumnFormula>
    </tableColumn>
    <tableColumn id="5" xr3:uid="{E15A9250-EE3C-480D-9EFD-EAF82AD244E6}" name="%weight" dataDxfId="19">
      <calculatedColumnFormula>calc_weight4age(1, C5, D5)</calculatedColumnFormula>
    </tableColumn>
    <tableColumn id="6" xr3:uid="{8F58786B-CAD5-4CBF-ACB1-109AFCB33F4E}" name="length" dataDxfId="18"/>
    <tableColumn id="16" xr3:uid="{A534E93A-8274-422A-A367-6C8E34BEBEBE}" name="dLength" dataDxfId="17">
      <calculatedColumnFormula>IF(AND(ISNUMBER(G4),ISNUMBER(measurements2[[#This Row],[length]])),measurements2[[#This Row],[length]]-G4,"")</calculatedColumnFormula>
    </tableColumn>
    <tableColumn id="7" xr3:uid="{68E195E1-BDA9-4466-A36D-EAD2E8BCCD50}" name="%length" dataDxfId="16">
      <calculatedColumnFormula>calc_length4age(1, C5, G5)</calculatedColumnFormula>
    </tableColumn>
    <tableColumn id="8" xr3:uid="{C8388DC2-C342-4AD2-9A43-4494ED241090}" name="w vs l" dataDxfId="15">
      <calculatedColumnFormula>calc_weight4length(1, $G5, $D5)</calculatedColumnFormula>
    </tableColumn>
    <tableColumn id="9" xr3:uid="{C4536763-F1CF-4E7F-804B-2B8049BAF9E6}" name="bmi" dataDxfId="14">
      <calculatedColumnFormula>IF(AND(ISNUMBER(D5),ISNUMBER(G5)), D5 / (G5/100)^2, "")</calculatedColumnFormula>
    </tableColumn>
    <tableColumn id="10" xr3:uid="{545E2A7C-C575-428C-A06A-53C865B682D1}" name="%bmi" dataDxfId="13">
      <calculatedColumnFormula>calc_bmi4age(1, C5, K5)</calculatedColumnFormula>
    </tableColumn>
    <tableColumn id="11" xr3:uid="{225CABA1-328C-4CFC-A8B5-D87E3C604580}" name="head" dataDxfId="12"/>
    <tableColumn id="12" xr3:uid="{2F7C0D25-7A92-4DF1-A2B8-1C31766EFED9}" name="%head" dataDxfId="11">
      <calculatedColumnFormula>calc_head4age(1, C5, M5)</calculatedColumnFormula>
    </tableColumn>
    <tableColumn id="13" xr3:uid="{22AE0C84-AB9F-4827-958B-4B00F3E4CB82}" name="lb" dataDxfId="10">
      <calculatedColumnFormula>IF(D5&gt;0,ROUNDDOWN(CONVERT(D5,"kg","lbm"),0),"")</calculatedColumnFormula>
    </tableColumn>
    <tableColumn id="14" xr3:uid="{C05CE953-5913-40D6-8725-5CED240C1ED4}" name="oz" dataDxfId="9">
      <calculatedColumnFormula>IF(D5&gt;0,(CONVERT(D5,"kg","lbm")-O5)*16,"")</calculatedColumnFormula>
    </tableColumn>
    <tableColumn id="15" xr3:uid="{9E26DBC1-BED2-4FE6-A79B-2B6A960D10DA}" name="inch" dataDxfId="8">
      <calculatedColumnFormula>IF(G5&gt;0,CONVERT(G5, "cm", "in"),"")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2B2C5F3-CF5C-4FBD-A7AB-77217E2FF5BC}" name="weight4age_boys" displayName="weight4age_boys" ref="A1:N244" totalsRowShown="0">
  <autoFilter ref="A1:N244" xr:uid="{22B2C5F3-CF5C-4FBD-A7AB-77217E2FF5BC}"/>
  <tableColumns count="14">
    <tableColumn id="1" xr3:uid="{E9F92F83-6E7E-4CF4-BFA5-78687EC529F3}" name="Sex"/>
    <tableColumn id="16" xr3:uid="{B4D9ADDF-4E06-49A5-97FD-9E32CF332B5A}" name="X" dataDxfId="7"/>
    <tableColumn id="3" xr3:uid="{265529A3-84AB-4B4D-8E15-4385158F8220}" name="L"/>
    <tableColumn id="4" xr3:uid="{38C184C8-6F69-41FC-8B30-FB61947BE377}" name="M"/>
    <tableColumn id="5" xr3:uid="{623D3859-6E36-42FE-9E6B-D35175ACA0A0}" name="S"/>
    <tableColumn id="6" xr3:uid="{C87562B1-6E97-483D-B569-9E1FA7516302}" name="P3"/>
    <tableColumn id="7" xr3:uid="{D021AE16-C5A5-4315-8825-7EE93349C10E}" name="P5"/>
    <tableColumn id="8" xr3:uid="{B953E7C2-EB96-4C28-BFA9-2B9CD85EEE37}" name="P10"/>
    <tableColumn id="9" xr3:uid="{08C20E21-5E6D-4E80-A9E7-814F587BF523}" name="P25"/>
    <tableColumn id="10" xr3:uid="{0A604574-2941-4BA6-8BAF-45692160AA78}" name="P50"/>
    <tableColumn id="11" xr3:uid="{A435B750-9D37-4E38-A3B1-4D0C38AB0722}" name="P75"/>
    <tableColumn id="12" xr3:uid="{ABB62B44-55C7-4D54-B952-E9FEC29D5187}" name="P90"/>
    <tableColumn id="13" xr3:uid="{D309B914-0893-4514-8519-B4000C18A9B9}" name="P95"/>
    <tableColumn id="14" xr3:uid="{3EF8E212-E7B1-4ABF-943C-C80F49735156}" name="P9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D02DCF-8E32-4829-B56F-41C12DB9E6CC}" name="weight4age_girls" displayName="weight4age_girls" ref="A246:N489" totalsRowShown="0">
  <autoFilter ref="A246:N489" xr:uid="{CFD02DCF-8E32-4829-B56F-41C12DB9E6CC}"/>
  <tableColumns count="14">
    <tableColumn id="1" xr3:uid="{6D80E1D2-24A9-431F-B723-A161253CD4C7}" name="Sex"/>
    <tableColumn id="2" xr3:uid="{B7A79C70-8134-459C-BA9F-CF50A33C68C2}" name="X" dataDxfId="6"/>
    <tableColumn id="3" xr3:uid="{E1C6A8AA-7F89-4E40-9AB4-017135A3D963}" name="L"/>
    <tableColumn id="4" xr3:uid="{BD3BF16D-B799-4100-BAFE-6F0A1D335E87}" name="M"/>
    <tableColumn id="5" xr3:uid="{45ECC90A-D0B4-40AF-92B4-3039F5675373}" name="S"/>
    <tableColumn id="6" xr3:uid="{BB146E57-F4A3-4451-95A0-A9C7D365ECBA}" name="P3"/>
    <tableColumn id="7" xr3:uid="{666F6967-7C10-412A-B1AB-776BCE61C517}" name="P5"/>
    <tableColumn id="8" xr3:uid="{861C6455-27CA-48A6-9B95-4FEABF8BB4F9}" name="P10"/>
    <tableColumn id="9" xr3:uid="{7F0EFE02-3B32-4CB9-94A9-8F974CC313BD}" name="P25"/>
    <tableColumn id="10" xr3:uid="{EE30AF29-0EEB-4125-BF33-4EAE9974C976}" name="P50"/>
    <tableColumn id="11" xr3:uid="{AC95A5F1-67F4-406F-8FDB-E73F3B9CCE09}" name="P75"/>
    <tableColumn id="12" xr3:uid="{ABE03B8F-2DAC-4AFE-B2FF-01AB29F3EB3F}" name="P90"/>
    <tableColumn id="13" xr3:uid="{E6022AF2-A92C-440B-B197-9FB7ABA0FD82}" name="P95"/>
    <tableColumn id="14" xr3:uid="{DEDCE8E7-EA89-4AEF-8E0F-0CBC0C75FD71}" name="P9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1A92843-019A-42CB-8336-05C3844FAEB8}" name="length4age_boys" displayName="length4age_boys" ref="A1:N242" totalsRowShown="0">
  <autoFilter ref="A1:N242" xr:uid="{01A92843-019A-42CB-8336-05C3844FAEB8}"/>
  <tableColumns count="14">
    <tableColumn id="1" xr3:uid="{7DBF3244-2A44-47E1-8816-C8CB84038EE6}" name="Sex"/>
    <tableColumn id="2" xr3:uid="{98AED4D5-820C-48DC-81F2-748D7426712E}" name="X" dataDxfId="5"/>
    <tableColumn id="3" xr3:uid="{882B0838-EF32-4937-811A-2A2EDEDC4305}" name="L"/>
    <tableColumn id="4" xr3:uid="{13FD66B6-7351-4041-A55F-8A7671BBC937}" name="M"/>
    <tableColumn id="5" xr3:uid="{236CE828-B4B2-45D8-8923-44A6987A7590}" name="S"/>
    <tableColumn id="6" xr3:uid="{C8F26273-434B-4E9E-9D54-3BC444A65A9B}" name="P3"/>
    <tableColumn id="7" xr3:uid="{A213A740-3DB2-4810-8A38-62C3FE9B0B9D}" name="P5"/>
    <tableColumn id="8" xr3:uid="{DF22CC17-15DB-44EC-BDAA-12776B21E209}" name="P10"/>
    <tableColumn id="9" xr3:uid="{85DFC0CA-EAFF-44FE-9A1E-FB3CD9758F19}" name="P25"/>
    <tableColumn id="10" xr3:uid="{47F401E7-EB8B-4155-B2AD-C37A7FEFE929}" name="P50"/>
    <tableColumn id="11" xr3:uid="{58B68098-87FC-4173-BB55-BEDCFB4A6C4D}" name="P75"/>
    <tableColumn id="12" xr3:uid="{5A6D4606-A479-4507-BD71-F254CA2F7AE7}" name="P90"/>
    <tableColumn id="13" xr3:uid="{EC4394DA-FF32-4A46-AA10-93160165F455}" name="P95"/>
    <tableColumn id="14" xr3:uid="{58D92EC3-9F4F-492A-B327-AC3A0111183E}" name="P9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1A60DD0-0E9D-4819-8979-365FD9420A5E}" name="length4age_girls" displayName="length4age_girls" ref="A244:N487" totalsRowShown="0">
  <autoFilter ref="A244:N487" xr:uid="{F1A60DD0-0E9D-4819-8979-365FD9420A5E}"/>
  <tableColumns count="14">
    <tableColumn id="1" xr3:uid="{2DEE7419-F3F8-417C-9D70-6A9E19253A00}" name="Sex"/>
    <tableColumn id="2" xr3:uid="{7479DAEB-4D57-4612-AF45-61307332965F}" name="X" dataDxfId="4"/>
    <tableColumn id="3" xr3:uid="{E74C508B-7BCB-47F9-AEAA-F3195DD494C3}" name="L"/>
    <tableColumn id="4" xr3:uid="{1F693C1F-13D5-4A62-8CE3-C11169F42EB6}" name="M"/>
    <tableColumn id="5" xr3:uid="{B6FC9C2F-6803-4FB3-A9FF-6EB60AA98101}" name="S"/>
    <tableColumn id="6" xr3:uid="{22412BA2-2001-4675-A463-2E5126D660B0}" name="P3"/>
    <tableColumn id="7" xr3:uid="{DD4F809D-5E3C-428D-862C-20CFD93B709A}" name="P5"/>
    <tableColumn id="8" xr3:uid="{68C591B8-D532-4F63-B57A-5546F23AA342}" name="P10"/>
    <tableColumn id="9" xr3:uid="{830D2D05-494D-4F9A-B58E-9EE4B0441C13}" name="P25"/>
    <tableColumn id="10" xr3:uid="{59D2246E-8E8B-4F8E-89C6-A3339A277B48}" name="P50"/>
    <tableColumn id="11" xr3:uid="{BAB4BFF6-0629-4017-B21A-413A5615AD5E}" name="P75"/>
    <tableColumn id="12" xr3:uid="{95D4D1E4-361F-4D0D-BD94-A2D99C91A173}" name="P90"/>
    <tableColumn id="13" xr3:uid="{B8B15147-E9C3-4D09-A7AE-01B230DF753B}" name="P95"/>
    <tableColumn id="14" xr3:uid="{569E4E67-B1BE-4513-A8F8-BEC26AA65530}" name="P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A65613D-6028-4522-83F1-3B64A6B0EB8E}" name="bmi4age_boys" displayName="bmi4age_boys" ref="A1:N220" totalsRowShown="0" headerRowCellStyle="Normal 2" dataCellStyle="Normal 2">
  <autoFilter ref="A1:N220" xr:uid="{FA65613D-6028-4522-83F1-3B64A6B0EB8E}"/>
  <tableColumns count="14">
    <tableColumn id="1" xr3:uid="{4B23E0BF-B3A2-48B0-A808-4D61498C559F}" name="Sex" dataCellStyle="Normal 2"/>
    <tableColumn id="2" xr3:uid="{007674D8-F3F9-4E5C-9F1B-A6E39B0985DB}" name="X" dataDxfId="3" dataCellStyle="Normal 2"/>
    <tableColumn id="3" xr3:uid="{975216AD-17F5-45B7-85BA-FF85C3C9D6F3}" name="L" dataCellStyle="Normal 2"/>
    <tableColumn id="4" xr3:uid="{F0A49449-F639-4CF6-8CE6-0EBA85458640}" name="M" dataCellStyle="Normal 2"/>
    <tableColumn id="5" xr3:uid="{BB4DA0CA-B2A0-4D90-8C1E-D90A162288BD}" name="S" dataCellStyle="Normal 2"/>
    <tableColumn id="6" xr3:uid="{60F57ED8-70C9-4463-9FB7-BADB6CDE1601}" name="P3" dataCellStyle="Normal 2"/>
    <tableColumn id="7" xr3:uid="{388DF61E-9B85-43D9-88C1-F27E2B3112E8}" name="P5" dataCellStyle="Normal 2"/>
    <tableColumn id="8" xr3:uid="{C6DD8FB6-C0A4-4477-A587-000CD33D20AF}" name="P10" dataCellStyle="Normal 2"/>
    <tableColumn id="9" xr3:uid="{F91D7AB6-7A48-4291-96AD-DA92972C108B}" name="P25" dataCellStyle="Normal 2"/>
    <tableColumn id="10" xr3:uid="{E60DD5D3-29DA-49D4-8000-67820F267E18}" name="P50" dataCellStyle="Normal 2"/>
    <tableColumn id="11" xr3:uid="{8E464212-5825-4A1E-BE9C-1CDD1B91151C}" name="P75" dataCellStyle="Normal 2"/>
    <tableColumn id="12" xr3:uid="{02B1EBCE-0D9F-4333-BAE3-0750E62AB465}" name="P90" dataCellStyle="Normal 2"/>
    <tableColumn id="13" xr3:uid="{02F274E3-0466-40E0-9F75-B7F73710E397}" name="P95" dataCellStyle="Normal 2"/>
    <tableColumn id="14" xr3:uid="{9CA300A5-740A-438F-8230-AAC9CD2D309F}" name="P97" dataCellStyle="Normal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EAB15F9-6C41-4D59-A8D9-E32D18B801C1}" name="bmi4age_girls" displayName="bmi4age_girls" ref="A222:N441" totalsRowShown="0" headerRowCellStyle="Normal 2" dataCellStyle="Normal 2">
  <autoFilter ref="A222:N441" xr:uid="{2EAB15F9-6C41-4D59-A8D9-E32D18B801C1}"/>
  <tableColumns count="14">
    <tableColumn id="1" xr3:uid="{87DA3FE3-0EE6-4B32-9298-B2A210FA4B8C}" name="Sex" dataCellStyle="Normal 2"/>
    <tableColumn id="2" xr3:uid="{E075E246-2567-4E08-B44C-81AA395F5BB6}" name="X" dataDxfId="2" dataCellStyle="Normal 2"/>
    <tableColumn id="3" xr3:uid="{05D16629-B256-480F-AEA3-634D18D72BC1}" name="L" dataCellStyle="Normal 2"/>
    <tableColumn id="4" xr3:uid="{7E7C3FF6-0FEF-4BC6-A9BD-65B87CDC6ABB}" name="M" dataCellStyle="Normal 2"/>
    <tableColumn id="5" xr3:uid="{14905010-689F-4A2F-A1EC-951FE7DE3F5A}" name="S" dataCellStyle="Normal 2"/>
    <tableColumn id="6" xr3:uid="{C70AECF3-30B4-4A82-957B-425A5EBC5914}" name="P3" dataCellStyle="Normal 2"/>
    <tableColumn id="7" xr3:uid="{B60B1277-E545-4D34-98D1-55866800F1EC}" name="P5" dataCellStyle="Normal 2"/>
    <tableColumn id="8" xr3:uid="{C2C873C8-372D-4B9A-869E-7C697C67F962}" name="P10" dataCellStyle="Normal 2"/>
    <tableColumn id="9" xr3:uid="{15A531E8-EC03-4875-AD2C-7322D3B40F30}" name="P25" dataCellStyle="Normal 2"/>
    <tableColumn id="10" xr3:uid="{F77D38EE-A5DB-4566-8129-EBF1C5F9883F}" name="P50" dataCellStyle="Normal 2"/>
    <tableColumn id="11" xr3:uid="{1C909865-F17B-4A6C-B67A-11BCCA6E2BBD}" name="P75" dataCellStyle="Normal 2"/>
    <tableColumn id="12" xr3:uid="{F9EE60A1-AFE6-4DBE-B699-2F5A7980667E}" name="P90" dataCellStyle="Normal 2"/>
    <tableColumn id="13" xr3:uid="{82C4C056-9D7B-42B2-A88A-1AFCD2CB54E0}" name="P95" dataCellStyle="Normal 2"/>
    <tableColumn id="14" xr3:uid="{E3C5EDCE-D93D-4613-9DE0-14E8C7D5090E}" name="P97" dataCellStyle="Normal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61761A-94C9-4B27-B205-C62F8ED296A2}" name="weight4length_boys" displayName="weight4length_boys" ref="A1:N79" totalsRowShown="0" headerRowCellStyle="Normal 2" dataCellStyle="Normal 2">
  <autoFilter ref="A1:N79" xr:uid="{5161761A-94C9-4B27-B205-C62F8ED296A2}"/>
  <tableColumns count="14">
    <tableColumn id="1" xr3:uid="{DFD6DCD2-0118-403F-A542-FD4D621CBBE3}" name="Sex" dataCellStyle="Normal 2"/>
    <tableColumn id="2" xr3:uid="{5BDF48FF-3428-4B8B-AEBE-F10EC77C5AD5}" name="X" dataCellStyle="Normal 2"/>
    <tableColumn id="3" xr3:uid="{950897BF-1E00-4475-9673-CA4D6402744A}" name="L" dataCellStyle="Normal 2"/>
    <tableColumn id="4" xr3:uid="{74251749-3E15-4C79-87DE-21B8AA67AA37}" name="M" dataCellStyle="Normal 2"/>
    <tableColumn id="5" xr3:uid="{573AAECA-FB5F-488F-B681-98461B16DA62}" name="S" dataCellStyle="Normal 2"/>
    <tableColumn id="6" xr3:uid="{B8E42496-9C11-4F0A-881F-EBB4058A0AD6}" name="P3" dataCellStyle="Normal 2"/>
    <tableColumn id="7" xr3:uid="{6D0F184E-3CB3-4E7A-957A-AE45797F4615}" name="P5" dataCellStyle="Normal 2"/>
    <tableColumn id="8" xr3:uid="{68C352C9-CAF9-468C-AE02-AF454622A97E}" name="P10" dataCellStyle="Normal 2"/>
    <tableColumn id="9" xr3:uid="{FC346E81-1B52-4B7C-AE2F-57D34904849E}" name="P25" dataCellStyle="Normal 2"/>
    <tableColumn id="10" xr3:uid="{2766A112-3881-43AA-9A1D-A38CE8F6B72C}" name="P50" dataCellStyle="Normal 2"/>
    <tableColumn id="11" xr3:uid="{D733D7F7-F51A-47EC-A702-145F01ABA09E}" name="P75" dataCellStyle="Normal 2"/>
    <tableColumn id="12" xr3:uid="{B784AFF0-ACA7-468D-8425-559DD642CFBD}" name="P90" dataCellStyle="Normal 2"/>
    <tableColumn id="13" xr3:uid="{FD1491CA-FB86-4457-9459-DEDF655C9FD2}" name="P95" dataCellStyle="Normal 2"/>
    <tableColumn id="14" xr3:uid="{836C21E9-56A3-4A8A-90F6-1C4200515F68}" name="P97" dataCellStyle="Normal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3FE1C59-23BC-41CC-97D2-CB52C496F0E1}" name="weight4length_girls" displayName="weight4length_girls" ref="A81:N159" totalsRowShown="0" headerRowCellStyle="Normal 2" dataCellStyle="Normal 2">
  <autoFilter ref="A81:N159" xr:uid="{D3FE1C59-23BC-41CC-97D2-CB52C496F0E1}"/>
  <tableColumns count="14">
    <tableColumn id="1" xr3:uid="{89E732F0-00B0-40D1-961D-8665D80BD385}" name="Sex" dataCellStyle="Normal 2"/>
    <tableColumn id="2" xr3:uid="{FAD86717-4D8B-4966-BF90-9CB3B94F765B}" name="X" dataCellStyle="Normal 2"/>
    <tableColumn id="3" xr3:uid="{488F9F15-87F0-4851-B7E5-95D99EE475B7}" name="L" dataCellStyle="Normal 2"/>
    <tableColumn id="4" xr3:uid="{F99E98A7-2C7A-44B1-B093-C36173175156}" name="M" dataCellStyle="Normal 2"/>
    <tableColumn id="5" xr3:uid="{D868E435-D5EF-41A1-9570-7822D6C719A6}" name="S" dataCellStyle="Normal 2"/>
    <tableColumn id="6" xr3:uid="{36E41E64-9EF4-4B41-B929-4FB5ECB71F32}" name="P3" dataCellStyle="Normal 2"/>
    <tableColumn id="7" xr3:uid="{20D8746E-4249-49D1-AE0F-BCB9462A527C}" name="P5" dataCellStyle="Normal 2"/>
    <tableColumn id="8" xr3:uid="{B760A895-ECAF-4102-9F6D-8758CF06AB17}" name="P10" dataCellStyle="Normal 2"/>
    <tableColumn id="9" xr3:uid="{76449CC4-EA98-47FF-98CD-F9C5730B4D8F}" name="P25" dataCellStyle="Normal 2"/>
    <tableColumn id="10" xr3:uid="{3CCD22E4-71B7-4F50-A92E-F57578DE6A29}" name="P50" dataCellStyle="Normal 2"/>
    <tableColumn id="11" xr3:uid="{A227335C-A7E3-4C41-93D8-57CCADB7E33B}" name="P75" dataCellStyle="Normal 2"/>
    <tableColumn id="12" xr3:uid="{D2D658DF-F7C6-4D67-9601-DE9DF4AECA3F}" name="P90" dataCellStyle="Normal 2"/>
    <tableColumn id="13" xr3:uid="{A02BA404-7C42-463F-98FF-B6389A1B828D}" name="P95" dataCellStyle="Normal 2"/>
    <tableColumn id="14" xr3:uid="{5C9C8F8E-E2A4-48E4-9227-930A510A518C}" name="P97" dataCellStyle="Normal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AB1E74-73AF-4171-81D7-212CDE909F05}" name="head4age_boys" displayName="head4age_boys" ref="A1:N39" totalsRowShown="0" headerRowCellStyle="Normal 2" dataCellStyle="Normal 2">
  <autoFilter ref="A1:N39" xr:uid="{07AB1E74-73AF-4171-81D7-212CDE909F05}"/>
  <tableColumns count="14">
    <tableColumn id="1" xr3:uid="{85AABEFC-97C3-46DE-A74C-EAB9969C728B}" name="Sex" dataCellStyle="Normal 2"/>
    <tableColumn id="2" xr3:uid="{0AC5EC87-6B27-4408-83E9-ED93892670FB}" name="X" dataDxfId="1" dataCellStyle="Normal 2"/>
    <tableColumn id="3" xr3:uid="{C79EE9AF-2DB7-401D-B458-CFE66F3B2D40}" name="L" dataCellStyle="Normal 2"/>
    <tableColumn id="4" xr3:uid="{7CF0A14B-54AE-4C55-AD7A-99DA25A36F6C}" name="M" dataCellStyle="Normal 2"/>
    <tableColumn id="5" xr3:uid="{2ED4318A-F624-4A9C-A478-A0F5CC265451}" name="S" dataCellStyle="Normal 2"/>
    <tableColumn id="6" xr3:uid="{E87B3760-ACDF-4422-B541-EEA93B3BBEC6}" name="P3" dataCellStyle="Normal 2"/>
    <tableColumn id="7" xr3:uid="{F228ABE8-146B-42E6-84EF-4698E1EA6E2E}" name="P5" dataCellStyle="Normal 2"/>
    <tableColumn id="8" xr3:uid="{773D87BA-9149-4EB2-9923-9DEA9BC87347}" name="P10" dataCellStyle="Normal 2"/>
    <tableColumn id="9" xr3:uid="{A3FF9EAE-0EE7-4AF0-A667-662C46C4B291}" name="P25" dataCellStyle="Normal 2"/>
    <tableColumn id="10" xr3:uid="{C8C6F0C0-E5A2-4C16-8619-F5B0D68E81C8}" name="P50" dataCellStyle="Normal 2"/>
    <tableColumn id="11" xr3:uid="{1B1C641F-FFCF-42F3-B499-9FDC594DBF3D}" name="P75" dataCellStyle="Normal 2"/>
    <tableColumn id="12" xr3:uid="{917145F0-2684-4EC0-A6CB-B16CB47C33FF}" name="P90" dataCellStyle="Normal 2"/>
    <tableColumn id="13" xr3:uid="{E928B72F-63CE-4D35-9A90-EDB4483B4C55}" name="P95" dataCellStyle="Normal 2"/>
    <tableColumn id="14" xr3:uid="{0E2DBF68-30BE-4E06-8ED0-86DBA341F2AA}" name="P97" dataCellStyle="Normal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F650EF-A171-4B20-94D6-2BB8CD2C2E70}" name="head4age_girls" displayName="head4age_girls" ref="A41:N79" totalsRowShown="0" headerRowCellStyle="Normal 2" dataCellStyle="Normal 2">
  <autoFilter ref="A41:N79" xr:uid="{29F650EF-A171-4B20-94D6-2BB8CD2C2E70}"/>
  <tableColumns count="14">
    <tableColumn id="1" xr3:uid="{6D8F52AD-326A-45C9-BC1C-85DDD903A384}" name="Sex" dataCellStyle="Normal 2"/>
    <tableColumn id="2" xr3:uid="{DE204279-4429-475C-A52A-CF4E5104734B}" name="X" dataDxfId="0" dataCellStyle="Normal 2"/>
    <tableColumn id="3" xr3:uid="{8EAAEC81-FEB3-4470-9B06-C5BFF289074F}" name="L" dataCellStyle="Normal 2"/>
    <tableColumn id="4" xr3:uid="{7204E775-D129-48B9-9E85-23CC994DBB90}" name="M" dataCellStyle="Normal 2"/>
    <tableColumn id="5" xr3:uid="{240B7340-E3D3-41E2-8F1A-2AA2EB856C5D}" name="S" dataCellStyle="Normal 2"/>
    <tableColumn id="6" xr3:uid="{FF26AA24-0A2F-4324-8FFA-128502FC208D}" name="P3" dataCellStyle="Normal 2"/>
    <tableColumn id="7" xr3:uid="{1D64538A-B832-46FE-9FC5-BFF07AD20A3B}" name="P5" dataCellStyle="Normal 2"/>
    <tableColumn id="8" xr3:uid="{CB0E9877-4419-4003-8889-D219270626D7}" name="P10" dataCellStyle="Normal 2"/>
    <tableColumn id="9" xr3:uid="{D9B594E8-786E-4EE6-9524-C21E390C6809}" name="P25" dataCellStyle="Normal 2"/>
    <tableColumn id="10" xr3:uid="{041FC10D-0566-4B3D-B713-C9922F364C2D}" name="P50" dataCellStyle="Normal 2"/>
    <tableColumn id="11" xr3:uid="{C5C6F97F-E469-441F-AB7A-1BB97B84075A}" name="P75" dataCellStyle="Normal 2"/>
    <tableColumn id="12" xr3:uid="{7AC305D8-6D72-4C1B-B17C-95B82FF866A9}" name="P90" dataCellStyle="Normal 2"/>
    <tableColumn id="13" xr3:uid="{D376D94B-F954-4C91-83D8-F00C23A274EC}" name="P95" dataCellStyle="Normal 2"/>
    <tableColumn id="14" xr3:uid="{CF7EB711-042E-480B-A1AE-FA4549753E6E}" name="P97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A6F59-42AC-4670-AC70-F27480571CC1}">
  <sheetPr codeName="Sheet4"/>
  <dimension ref="A1:A42"/>
  <sheetViews>
    <sheetView tabSelected="1" workbookViewId="0">
      <selection activeCell="A41" sqref="A41"/>
    </sheetView>
  </sheetViews>
  <sheetFormatPr defaultRowHeight="13.2" x14ac:dyDescent="0.25"/>
  <sheetData>
    <row r="1" spans="1:1" s="44" customFormat="1" x14ac:dyDescent="0.25">
      <c r="A1" s="44" t="s">
        <v>57</v>
      </c>
    </row>
    <row r="2" spans="1:1" s="44" customFormat="1" x14ac:dyDescent="0.25">
      <c r="A2" s="44" t="s">
        <v>60</v>
      </c>
    </row>
    <row r="3" spans="1:1" s="44" customFormat="1" x14ac:dyDescent="0.25">
      <c r="A3" s="44" t="s">
        <v>58</v>
      </c>
    </row>
    <row r="4" spans="1:1" s="44" customFormat="1" x14ac:dyDescent="0.25">
      <c r="A4" s="44" t="s">
        <v>59</v>
      </c>
    </row>
    <row r="6" spans="1:1" ht="27.6" x14ac:dyDescent="0.45">
      <c r="A6" s="40" t="s">
        <v>35</v>
      </c>
    </row>
    <row r="8" spans="1:1" ht="20.399999999999999" x14ac:dyDescent="0.35">
      <c r="A8" s="41" t="s">
        <v>36</v>
      </c>
    </row>
    <row r="10" spans="1:1" x14ac:dyDescent="0.25">
      <c r="A10" s="11" t="s">
        <v>37</v>
      </c>
    </row>
    <row r="11" spans="1:1" x14ac:dyDescent="0.25">
      <c r="A11" s="11" t="s">
        <v>38</v>
      </c>
    </row>
    <row r="12" spans="1:1" x14ac:dyDescent="0.25">
      <c r="A12" s="11" t="s">
        <v>39</v>
      </c>
    </row>
    <row r="13" spans="1:1" x14ac:dyDescent="0.25">
      <c r="A13" s="11" t="s">
        <v>40</v>
      </c>
    </row>
    <row r="14" spans="1:1" s="26" customFormat="1" x14ac:dyDescent="0.25">
      <c r="A14" s="11" t="s">
        <v>61</v>
      </c>
    </row>
    <row r="15" spans="1:1" x14ac:dyDescent="0.25">
      <c r="A15" s="11" t="s">
        <v>41</v>
      </c>
    </row>
    <row r="16" spans="1:1" s="26" customFormat="1" x14ac:dyDescent="0.25">
      <c r="A16" s="11" t="s">
        <v>64</v>
      </c>
    </row>
    <row r="17" spans="1:1" s="26" customFormat="1" x14ac:dyDescent="0.25">
      <c r="A17" s="11" t="s">
        <v>50</v>
      </c>
    </row>
    <row r="18" spans="1:1" s="26" customFormat="1" ht="13.8" x14ac:dyDescent="0.3">
      <c r="A18" s="42" t="s">
        <v>51</v>
      </c>
    </row>
    <row r="19" spans="1:1" s="26" customFormat="1" x14ac:dyDescent="0.25">
      <c r="A19" s="11" t="s">
        <v>62</v>
      </c>
    </row>
    <row r="20" spans="1:1" s="26" customFormat="1" x14ac:dyDescent="0.25">
      <c r="A20" s="56" t="s">
        <v>63</v>
      </c>
    </row>
    <row r="22" spans="1:1" ht="20.399999999999999" x14ac:dyDescent="0.35">
      <c r="A22" s="41" t="s">
        <v>42</v>
      </c>
    </row>
    <row r="24" spans="1:1" x14ac:dyDescent="0.25">
      <c r="A24" s="11" t="s">
        <v>43</v>
      </c>
    </row>
    <row r="25" spans="1:1" s="26" customFormat="1" x14ac:dyDescent="0.25">
      <c r="A25" s="11" t="s">
        <v>45</v>
      </c>
    </row>
    <row r="26" spans="1:1" s="26" customFormat="1" x14ac:dyDescent="0.25">
      <c r="A26" s="11" t="s">
        <v>46</v>
      </c>
    </row>
    <row r="27" spans="1:1" s="26" customFormat="1" x14ac:dyDescent="0.25">
      <c r="A27" s="11" t="s">
        <v>47</v>
      </c>
    </row>
    <row r="28" spans="1:1" x14ac:dyDescent="0.25">
      <c r="A28" s="11" t="s">
        <v>44</v>
      </c>
    </row>
    <row r="30" spans="1:1" x14ac:dyDescent="0.25">
      <c r="A30" s="11" t="s">
        <v>48</v>
      </c>
    </row>
    <row r="31" spans="1:1" x14ac:dyDescent="0.25">
      <c r="A31" s="11" t="s">
        <v>49</v>
      </c>
    </row>
    <row r="32" spans="1:1" ht="13.8" x14ac:dyDescent="0.3">
      <c r="A32" s="43" t="s">
        <v>54</v>
      </c>
    </row>
    <row r="33" spans="1:1" ht="13.8" x14ac:dyDescent="0.3">
      <c r="A33" s="43" t="s">
        <v>52</v>
      </c>
    </row>
    <row r="34" spans="1:1" ht="13.8" x14ac:dyDescent="0.3">
      <c r="A34" s="43" t="s">
        <v>53</v>
      </c>
    </row>
    <row r="36" spans="1:1" s="26" customFormat="1" ht="20.399999999999999" x14ac:dyDescent="0.35">
      <c r="A36" s="41" t="s">
        <v>55</v>
      </c>
    </row>
    <row r="38" spans="1:1" x14ac:dyDescent="0.25">
      <c r="A38" s="11" t="s">
        <v>56</v>
      </c>
    </row>
    <row r="40" spans="1:1" x14ac:dyDescent="0.25">
      <c r="A40" t="s">
        <v>65</v>
      </c>
    </row>
    <row r="42" spans="1:1" x14ac:dyDescent="0.25">
      <c r="A42" s="1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CP3953"/>
  <sheetViews>
    <sheetView zoomScaleNormal="100" workbookViewId="0">
      <selection activeCell="D42" sqref="D42"/>
    </sheetView>
  </sheetViews>
  <sheetFormatPr defaultRowHeight="13.2" x14ac:dyDescent="0.25"/>
  <cols>
    <col min="1" max="1" width="11.77734375" style="2" customWidth="1"/>
    <col min="2" max="2" width="7.21875" customWidth="1"/>
    <col min="3" max="3" width="6.88671875" style="13" customWidth="1"/>
    <col min="4" max="5" width="9.109375" style="5" customWidth="1"/>
    <col min="6" max="6" width="10.44140625" style="4" customWidth="1"/>
    <col min="7" max="8" width="9.21875" style="3" customWidth="1"/>
    <col min="9" max="9" width="10.109375" style="4" customWidth="1"/>
    <col min="10" max="10" width="10.5546875" style="4" customWidth="1"/>
    <col min="11" max="11" width="8.21875" style="3" customWidth="1"/>
    <col min="12" max="12" width="7.77734375" style="4" customWidth="1"/>
    <col min="13" max="13" width="10.6640625" style="3" customWidth="1"/>
    <col min="14" max="14" width="8.88671875" style="4" customWidth="1"/>
    <col min="15" max="15" width="10.109375" customWidth="1"/>
    <col min="16" max="16" width="10.5546875" customWidth="1"/>
    <col min="17" max="17" width="10" style="6" customWidth="1"/>
    <col min="18" max="18" width="4" customWidth="1"/>
    <col min="19" max="19" width="11.21875" style="9" bestFit="1" customWidth="1"/>
    <col min="20" max="20" width="11.21875" style="7" bestFit="1" customWidth="1"/>
  </cols>
  <sheetData>
    <row r="1" spans="1:94" ht="34.5" customHeight="1" x14ac:dyDescent="0.8">
      <c r="A1" s="8"/>
      <c r="B1" s="57" t="s">
        <v>33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</row>
    <row r="2" spans="1:94" ht="22.5" customHeight="1" x14ac:dyDescent="0.6">
      <c r="A2" s="12" t="s">
        <v>0</v>
      </c>
      <c r="B2" s="59">
        <v>37622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94" ht="16.2" customHeight="1" x14ac:dyDescent="0.25">
      <c r="B3" s="4"/>
      <c r="D3"/>
      <c r="E3" s="16"/>
      <c r="F3" s="1"/>
      <c r="G3"/>
      <c r="H3" s="16"/>
      <c r="I3"/>
      <c r="K3"/>
      <c r="L3"/>
      <c r="M3" s="6"/>
      <c r="N3"/>
      <c r="Q3"/>
    </row>
    <row r="4" spans="1:94" x14ac:dyDescent="0.25">
      <c r="A4" s="21" t="s">
        <v>29</v>
      </c>
      <c r="B4" s="22" t="s">
        <v>15</v>
      </c>
      <c r="C4" s="21" t="s">
        <v>21</v>
      </c>
      <c r="D4" s="23" t="s">
        <v>22</v>
      </c>
      <c r="E4" s="21" t="s">
        <v>31</v>
      </c>
      <c r="F4" s="21" t="s">
        <v>20</v>
      </c>
      <c r="G4" s="23" t="s">
        <v>23</v>
      </c>
      <c r="H4" s="21" t="s">
        <v>30</v>
      </c>
      <c r="I4" s="21" t="s">
        <v>19</v>
      </c>
      <c r="J4" s="22" t="s">
        <v>24</v>
      </c>
      <c r="K4" s="23" t="s">
        <v>16</v>
      </c>
      <c r="L4" s="21" t="s">
        <v>18</v>
      </c>
      <c r="M4" s="23" t="s">
        <v>25</v>
      </c>
      <c r="N4" s="21" t="s">
        <v>17</v>
      </c>
      <c r="O4" s="22" t="s">
        <v>26</v>
      </c>
      <c r="P4" s="24" t="s">
        <v>27</v>
      </c>
      <c r="Q4" s="25" t="s">
        <v>28</v>
      </c>
    </row>
    <row r="5" spans="1:94" x14ac:dyDescent="0.25">
      <c r="A5" s="27">
        <f>birthdate</f>
        <v>37622</v>
      </c>
      <c r="B5" s="28" t="str">
        <f>IF(A5&gt;0,dmy(birthdate, A5, DAY(EOMONTH(A5, -1))),"")</f>
        <v>0d</v>
      </c>
      <c r="C5" s="29">
        <f>IF(ISNUMBER(A5), ageInYears(birthdate, A5, DAY(EOMONTH(A5, -1))), "")</f>
        <v>0</v>
      </c>
      <c r="D5" s="30">
        <v>3.5</v>
      </c>
      <c r="E5" s="31" t="str">
        <f>IF(AND(ISNUMBER(D4),ISNUMBER(measurements1[[#This Row],[weight]])),measurements1[[#This Row],[weight]]-D4,"")</f>
        <v/>
      </c>
      <c r="F5" s="32">
        <f>calc_weight4age(1, C5, D5)</f>
        <v>0.47769123800229635</v>
      </c>
      <c r="G5" s="33">
        <v>50</v>
      </c>
      <c r="H5" s="34" t="str">
        <f>IF(AND(ISNUMBER(G4),ISNUMBER(measurements1[[#This Row],[length]])),measurements1[[#This Row],[length]]-G4,"")</f>
        <v/>
      </c>
      <c r="I5" s="32">
        <f>calc_length4age(1, C5, G5)</f>
        <v>0.50167031923612293</v>
      </c>
      <c r="J5" s="32">
        <f t="shared" ref="J5:J7" si="0">calc_weight4length(1, $G5, $D5)</f>
        <v>0.63183074589354504</v>
      </c>
      <c r="K5" s="35">
        <f t="shared" ref="K5:K7" si="1">IF(AND(ISNUMBER(D5),ISNUMBER(G5)), D5 / (G5/100)^2, "")</f>
        <v>14</v>
      </c>
      <c r="L5" s="32" t="str">
        <f>calc_bmi4age(1, C5, K5)</f>
        <v/>
      </c>
      <c r="M5" s="33">
        <v>34</v>
      </c>
      <c r="N5" s="32">
        <f t="shared" ref="N5:N7" si="2">calc_head4age(1, C5, M5)</f>
        <v>0.18678624161043847</v>
      </c>
      <c r="O5" s="36">
        <f t="shared" ref="O5:O7" si="3">IF(D5&gt;0,ROUNDDOWN(CONVERT(D5,"kg","lbm"),0),"")</f>
        <v>7</v>
      </c>
      <c r="P5" s="37">
        <f t="shared" ref="P5:P7" si="4">IF(D5&gt;0,(CONVERT(D5,"kg","lbm")-O5)*16,"")</f>
        <v>11.458866823531437</v>
      </c>
      <c r="Q5" s="38">
        <f t="shared" ref="Q5:Q7" si="5">IF(G5&gt;0,CONVERT(G5, "cm", "in"),"")</f>
        <v>19.685039370078741</v>
      </c>
      <c r="AJ5">
        <v>1.4696908543127227</v>
      </c>
      <c r="AK5">
        <v>2.2226646790697879</v>
      </c>
      <c r="AL5">
        <v>2.5266512189569754</v>
      </c>
      <c r="AM5">
        <v>2.773685824924923</v>
      </c>
      <c r="AN5">
        <v>3.1507885061776171</v>
      </c>
      <c r="AO5">
        <v>3.5302032223366391</v>
      </c>
      <c r="AP5">
        <v>3.8752507384092088</v>
      </c>
      <c r="AQ5">
        <v>4.1534322147103682</v>
      </c>
      <c r="AR5">
        <v>4.2997077992374537</v>
      </c>
      <c r="AS5">
        <v>4.4396028737396573</v>
      </c>
      <c r="AT5">
        <v>4.6251177632678484</v>
      </c>
      <c r="BH5">
        <v>42.176721827041675</v>
      </c>
      <c r="BI5">
        <v>44.450731992860426</v>
      </c>
      <c r="BJ5">
        <v>45.567433597738983</v>
      </c>
      <c r="BK5">
        <v>46.553811447528858</v>
      </c>
      <c r="BL5">
        <v>48.19018143375277</v>
      </c>
      <c r="BM5">
        <v>49.988884348174658</v>
      </c>
      <c r="BN5">
        <v>51.751063007973599</v>
      </c>
      <c r="BO5">
        <v>53.255761107944885</v>
      </c>
      <c r="BP5">
        <v>54.076111178374823</v>
      </c>
      <c r="BQ5">
        <v>54.879037995072039</v>
      </c>
      <c r="BR5">
        <v>55.970966444328347</v>
      </c>
      <c r="CF5">
        <v>27.976453723194187</v>
      </c>
      <c r="CG5">
        <v>30.969503010073932</v>
      </c>
      <c r="CH5">
        <v>32.147843035205817</v>
      </c>
      <c r="CI5">
        <v>33.083460438086355</v>
      </c>
      <c r="CJ5">
        <v>34.470158392039139</v>
      </c>
      <c r="CK5">
        <v>35.813668538729978</v>
      </c>
      <c r="CL5">
        <v>36.99143173867018</v>
      </c>
      <c r="CM5">
        <v>37.911665069458763</v>
      </c>
      <c r="CN5">
        <v>38.385476334950233</v>
      </c>
      <c r="CO5">
        <v>38.832334368723068</v>
      </c>
      <c r="CP5">
        <v>39.415702559443112</v>
      </c>
    </row>
    <row r="6" spans="1:94" x14ac:dyDescent="0.25">
      <c r="A6" s="27">
        <v>37987</v>
      </c>
      <c r="B6" s="28" t="str">
        <f>IF(A6&gt;0,dmy(birthdate, A6, DAY(EOMONTH(A6, -1))),"")</f>
        <v>1y0d</v>
      </c>
      <c r="C6" s="29">
        <f>IF(ISNUMBER(A6), ageInYears(birthdate, A6, DAY(EOMONTH(A6, -1))), "")</f>
        <v>1</v>
      </c>
      <c r="D6" s="30">
        <v>10</v>
      </c>
      <c r="E6" s="31">
        <f>IF(AND(ISNUMBER(D5),ISNUMBER(measurements1[[#This Row],[weight]])),measurements1[[#This Row],[weight]]-D5,"")</f>
        <v>6.5</v>
      </c>
      <c r="F6" s="32">
        <f t="shared" ref="F6:F7" si="6">calc_weight4age(1, C6, D6)</f>
        <v>0.39180325818463752</v>
      </c>
      <c r="G6" s="33">
        <v>75</v>
      </c>
      <c r="H6" s="39">
        <f>IF(AND(ISNUMBER(G5),ISNUMBER(measurements1[[#This Row],[length]])),measurements1[[#This Row],[length]]-G5,"")</f>
        <v>25</v>
      </c>
      <c r="I6" s="32">
        <f t="shared" ref="I6:I7" si="7">calc_length4age(1, C6, G6)</f>
        <v>0.43055783232568284</v>
      </c>
      <c r="J6" s="32">
        <f t="shared" si="0"/>
        <v>0.68248277722616335</v>
      </c>
      <c r="K6" s="35">
        <f t="shared" si="1"/>
        <v>17.777777777777779</v>
      </c>
      <c r="L6" s="32" t="str">
        <f t="shared" ref="L6:L7" si="8">calc_bmi4age(1, C6, K6)</f>
        <v/>
      </c>
      <c r="M6" s="33">
        <v>46</v>
      </c>
      <c r="N6" s="32">
        <f t="shared" si="2"/>
        <v>0.39411338197449264</v>
      </c>
      <c r="O6" s="36">
        <f t="shared" si="3"/>
        <v>22</v>
      </c>
      <c r="P6" s="37">
        <f t="shared" si="4"/>
        <v>0.73961949580410646</v>
      </c>
      <c r="Q6" s="38">
        <f t="shared" si="5"/>
        <v>29.527559055118108</v>
      </c>
      <c r="AJ6">
        <v>1.7586821022112573</v>
      </c>
      <c r="AK6">
        <v>2.4483550472512716</v>
      </c>
      <c r="AL6">
        <v>2.7445496773495726</v>
      </c>
      <c r="AM6">
        <v>2.9905596134419352</v>
      </c>
      <c r="AN6">
        <v>3.3736262650041109</v>
      </c>
      <c r="AO6">
        <v>3.7666548527661838</v>
      </c>
      <c r="AP6">
        <v>4.1296101827139058</v>
      </c>
      <c r="AQ6">
        <v>4.4255407716724919</v>
      </c>
      <c r="AR6">
        <v>4.5822204513425522</v>
      </c>
      <c r="AS6">
        <v>4.7327103277825184</v>
      </c>
      <c r="AT6">
        <v>4.9331956580239718</v>
      </c>
      <c r="BH6">
        <v>43.883169588727647</v>
      </c>
      <c r="BI6">
        <v>46.005904682596949</v>
      </c>
      <c r="BJ6">
        <v>47.063155996513437</v>
      </c>
      <c r="BK6">
        <v>48.005016499661579</v>
      </c>
      <c r="BL6">
        <v>49.583849362606763</v>
      </c>
      <c r="BM6">
        <v>51.342429953976392</v>
      </c>
      <c r="BN6">
        <v>53.088366497971961</v>
      </c>
      <c r="BO6">
        <v>54.596961510229974</v>
      </c>
      <c r="BP6">
        <v>55.426238501111243</v>
      </c>
      <c r="BQ6">
        <v>56.24250493703817</v>
      </c>
      <c r="BR6">
        <v>57.359818703772383</v>
      </c>
      <c r="CF6">
        <v>29.158803271511726</v>
      </c>
      <c r="CG6">
        <v>31.885546685607206</v>
      </c>
      <c r="CH6">
        <v>32.990033963239618</v>
      </c>
      <c r="CI6">
        <v>33.876729578240692</v>
      </c>
      <c r="CJ6">
        <v>35.204370265991784</v>
      </c>
      <c r="CK6">
        <v>36.503639628307859</v>
      </c>
      <c r="CL6">
        <v>37.651449098046569</v>
      </c>
      <c r="CM6">
        <v>38.553222525204163</v>
      </c>
      <c r="CN6">
        <v>39.019045484723456</v>
      </c>
      <c r="CO6">
        <v>39.45924449046526</v>
      </c>
      <c r="CP6">
        <v>40.035121509680799</v>
      </c>
    </row>
    <row r="7" spans="1:94" x14ac:dyDescent="0.25">
      <c r="A7" s="27">
        <v>38353</v>
      </c>
      <c r="B7" s="28" t="str">
        <f>IF(A7&gt;0,dmy(birthdate, A7, DAY(EOMONTH(A7, -1))),"")</f>
        <v>2y0d</v>
      </c>
      <c r="C7" s="29">
        <f>IF(ISNUMBER(A7), ageInYears(birthdate, A7, DAY(EOMONTH(A7, -1))), "")</f>
        <v>2</v>
      </c>
      <c r="D7" s="30">
        <v>12.5</v>
      </c>
      <c r="E7" s="31">
        <f>IF(AND(ISNUMBER(D6),ISNUMBER(measurements1[[#This Row],[weight]])),measurements1[[#This Row],[weight]]-D6,"")</f>
        <v>2.5</v>
      </c>
      <c r="F7" s="32">
        <f t="shared" si="6"/>
        <v>0.44999870936918995</v>
      </c>
      <c r="G7" s="33">
        <v>88</v>
      </c>
      <c r="H7" s="39">
        <f>IF(AND(ISNUMBER(G6),ISNUMBER(measurements1[[#This Row],[length]])),measurements1[[#This Row],[length]]-G6,"")</f>
        <v>13</v>
      </c>
      <c r="I7" s="32">
        <f t="shared" si="7"/>
        <v>0.65012236396623835</v>
      </c>
      <c r="J7" s="32">
        <f t="shared" si="0"/>
        <v>0.3911182897878735</v>
      </c>
      <c r="K7" s="35">
        <f t="shared" si="1"/>
        <v>16.141528925619834</v>
      </c>
      <c r="L7" s="32">
        <f t="shared" si="8"/>
        <v>0.36777250737077338</v>
      </c>
      <c r="M7" s="33">
        <v>48</v>
      </c>
      <c r="N7" s="32">
        <f t="shared" si="2"/>
        <v>0.32119320203139151</v>
      </c>
      <c r="O7" s="36">
        <f t="shared" si="3"/>
        <v>27</v>
      </c>
      <c r="P7" s="37">
        <f t="shared" si="4"/>
        <v>8.9245243697551473</v>
      </c>
      <c r="Q7" s="38">
        <f t="shared" si="5"/>
        <v>34.645669291338585</v>
      </c>
      <c r="AJ7">
        <v>1.7586821022112573</v>
      </c>
      <c r="AK7">
        <v>2.4483550472512716</v>
      </c>
      <c r="AL7">
        <v>2.7445496773495726</v>
      </c>
      <c r="AM7">
        <v>2.9905596134419352</v>
      </c>
      <c r="AN7">
        <v>3.3736262650041109</v>
      </c>
      <c r="AO7">
        <v>3.7666548527661838</v>
      </c>
      <c r="AP7">
        <v>4.1296101827139058</v>
      </c>
      <c r="AQ7">
        <v>4.4255407716724919</v>
      </c>
      <c r="AR7">
        <v>4.5822204513425522</v>
      </c>
      <c r="AS7">
        <v>4.7327103277825184</v>
      </c>
      <c r="AT7">
        <v>4.9331956580239718</v>
      </c>
      <c r="BH7">
        <v>43.883169588727647</v>
      </c>
      <c r="BI7">
        <v>46.005904682596949</v>
      </c>
      <c r="BJ7">
        <v>47.063155996513437</v>
      </c>
      <c r="BK7">
        <v>48.005016499661579</v>
      </c>
      <c r="BL7">
        <v>49.583849362606763</v>
      </c>
      <c r="BM7">
        <v>51.342429953976392</v>
      </c>
      <c r="BN7">
        <v>53.088366497971961</v>
      </c>
      <c r="BO7">
        <v>54.596961510229974</v>
      </c>
      <c r="BP7">
        <v>55.426238501111243</v>
      </c>
      <c r="BQ7">
        <v>56.24250493703817</v>
      </c>
      <c r="BR7">
        <v>57.359818703772383</v>
      </c>
      <c r="CF7">
        <v>29.158803271511726</v>
      </c>
      <c r="CG7">
        <v>31.885546685607206</v>
      </c>
      <c r="CH7">
        <v>32.990033963239618</v>
      </c>
      <c r="CI7">
        <v>33.876729578240692</v>
      </c>
      <c r="CJ7">
        <v>35.204370265991784</v>
      </c>
      <c r="CK7">
        <v>36.503639628307859</v>
      </c>
      <c r="CL7">
        <v>37.651449098046569</v>
      </c>
      <c r="CM7">
        <v>38.553222525204163</v>
      </c>
      <c r="CN7">
        <v>39.019045484723456</v>
      </c>
      <c r="CO7">
        <v>39.45924449046526</v>
      </c>
      <c r="CP7">
        <v>40.035121509680799</v>
      </c>
    </row>
    <row r="3953" spans="1:1" x14ac:dyDescent="0.25">
      <c r="A3953" s="2" t="s">
        <v>1</v>
      </c>
    </row>
  </sheetData>
  <mergeCells count="2">
    <mergeCell ref="B1:Q1"/>
    <mergeCell ref="B2:Q2"/>
  </mergeCells>
  <phoneticPr fontId="2" type="noConversion"/>
  <conditionalFormatting sqref="H6:H7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{66860CC7-581F-4198-A69D-4DABB1A513C8}</x14:id>
        </ext>
      </extLst>
    </cfRule>
  </conditionalFormatting>
  <conditionalFormatting sqref="E5:E7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{8795ACEE-30F3-4D1A-85D7-19F7FA1DA9D7}</x14:id>
        </ext>
      </extLst>
    </cfRule>
  </conditionalFormatting>
  <pageMargins left="0.75" right="0.75" top="1" bottom="1" header="0.5" footer="0.5"/>
  <pageSetup scale="75" orientation="landscape" r:id="rId1"/>
  <headerFooter alignWithMargins="0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860CC7-581F-4198-A69D-4DABB1A513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H6:H7</xm:sqref>
        </x14:conditionalFormatting>
        <x14:conditionalFormatting xmlns:xm="http://schemas.microsoft.com/office/excel/2006/main">
          <x14:cfRule type="dataBar" id="{8795ACEE-30F3-4D1A-85D7-19F7FA1DA9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E5:E7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E5E31-49F5-444C-984F-8319C6CC7F42}">
  <sheetPr codeName="Sheet10"/>
  <dimension ref="A1:CR7"/>
  <sheetViews>
    <sheetView zoomScaleNormal="100" workbookViewId="0">
      <selection activeCell="M8" sqref="M8"/>
    </sheetView>
  </sheetViews>
  <sheetFormatPr defaultRowHeight="13.2" outlineLevelCol="1" x14ac:dyDescent="0.25"/>
  <cols>
    <col min="1" max="1" width="14.44140625" style="2" customWidth="1"/>
    <col min="2" max="2" width="7.77734375" customWidth="1"/>
    <col min="3" max="3" width="6.88671875" customWidth="1" outlineLevel="1"/>
    <col min="4" max="5" width="9.6640625" style="5" customWidth="1" outlineLevel="1"/>
    <col min="6" max="6" width="10.5546875" style="4" customWidth="1"/>
    <col min="7" max="8" width="9" style="3" customWidth="1"/>
    <col min="9" max="9" width="10.5546875" style="4" customWidth="1"/>
    <col min="10" max="10" width="9" style="4" customWidth="1"/>
    <col min="11" max="11" width="8.6640625" style="3" customWidth="1"/>
    <col min="12" max="12" width="10.5546875" style="4" customWidth="1"/>
    <col min="13" max="13" width="14.88671875" style="3" customWidth="1"/>
    <col min="14" max="14" width="10.5546875" style="4" customWidth="1"/>
    <col min="15" max="15" width="10.109375" customWidth="1"/>
    <col min="16" max="16" width="10.5546875" customWidth="1"/>
    <col min="17" max="17" width="10" style="6" customWidth="1"/>
    <col min="18" max="18" width="1.44140625" customWidth="1"/>
    <col min="20" max="20" width="11.44140625" style="7" bestFit="1" customWidth="1"/>
    <col min="21" max="21" width="13.44140625" style="7" bestFit="1" customWidth="1"/>
  </cols>
  <sheetData>
    <row r="1" spans="1:96" ht="34.799999999999997" customHeight="1" x14ac:dyDescent="0.8">
      <c r="A1" s="14"/>
      <c r="B1" s="57" t="s">
        <v>34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</row>
    <row r="2" spans="1:96" ht="22.5" customHeight="1" x14ac:dyDescent="0.6">
      <c r="A2" s="15" t="s">
        <v>0</v>
      </c>
      <c r="B2" s="59">
        <v>38353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96" ht="17.399999999999999" customHeight="1" x14ac:dyDescent="0.25">
      <c r="B3" s="4"/>
      <c r="C3" s="4"/>
      <c r="D3"/>
      <c r="E3" s="16"/>
      <c r="F3" s="1"/>
      <c r="G3"/>
      <c r="H3" s="16"/>
      <c r="I3"/>
      <c r="K3"/>
      <c r="L3"/>
      <c r="M3" s="6"/>
      <c r="N3"/>
      <c r="Q3"/>
    </row>
    <row r="4" spans="1:96" x14ac:dyDescent="0.25">
      <c r="A4" s="21" t="s">
        <v>29</v>
      </c>
      <c r="B4" s="22" t="s">
        <v>15</v>
      </c>
      <c r="C4" s="21" t="s">
        <v>21</v>
      </c>
      <c r="D4" s="23" t="s">
        <v>22</v>
      </c>
      <c r="E4" s="21" t="s">
        <v>31</v>
      </c>
      <c r="F4" s="21" t="s">
        <v>20</v>
      </c>
      <c r="G4" s="23" t="s">
        <v>23</v>
      </c>
      <c r="H4" s="21" t="s">
        <v>30</v>
      </c>
      <c r="I4" s="21" t="s">
        <v>19</v>
      </c>
      <c r="J4" s="22" t="s">
        <v>24</v>
      </c>
      <c r="K4" s="23" t="s">
        <v>16</v>
      </c>
      <c r="L4" s="21" t="s">
        <v>18</v>
      </c>
      <c r="M4" s="23" t="s">
        <v>25</v>
      </c>
      <c r="N4" s="21" t="s">
        <v>17</v>
      </c>
      <c r="O4" s="22" t="s">
        <v>26</v>
      </c>
      <c r="P4" s="24" t="s">
        <v>27</v>
      </c>
      <c r="Q4" s="25" t="s">
        <v>28</v>
      </c>
    </row>
    <row r="5" spans="1:96" x14ac:dyDescent="0.25">
      <c r="A5" s="17">
        <f>birthdate</f>
        <v>38353</v>
      </c>
      <c r="B5" s="45" t="str">
        <f>IF(A5&gt;0,dmy(birthdate, A5, DAY(EOMONTH(A5, -1))),"")</f>
        <v>0d</v>
      </c>
      <c r="C5" s="46">
        <f>IF(ISNUMBER(A5), ageInYears(birthdate, A5, DAY(EOMONTH(A5, -1))), "")</f>
        <v>0</v>
      </c>
      <c r="D5" s="30">
        <v>3.5</v>
      </c>
      <c r="E5" s="47" t="str">
        <f>IF(AND(ISNUMBER(D4),ISNUMBER(measurements2[[#This Row],[weight]])),measurements2[[#This Row],[weight]]-D4,"")</f>
        <v/>
      </c>
      <c r="F5" s="48">
        <f>calc_weight4age(1, C5, D5)</f>
        <v>0.47769123800229635</v>
      </c>
      <c r="G5" s="20">
        <v>48</v>
      </c>
      <c r="H5" s="49" t="str">
        <f>IF(AND(ISNUMBER(G4),ISNUMBER(measurements2[[#This Row],[length]])),measurements2[[#This Row],[length]]-G4,"")</f>
        <v/>
      </c>
      <c r="I5" s="50">
        <f>calc_length4age(1, C5, G5)</f>
        <v>0.22811011087065594</v>
      </c>
      <c r="J5" s="51">
        <f>calc_weight4length(1, $G5, $D5)</f>
        <v>0.93271156088390739</v>
      </c>
      <c r="K5" s="52">
        <f>IF(AND(ISNUMBER(D5),ISNUMBER(G5)), D5 / (G5/100)^2, "")</f>
        <v>15.190972222222223</v>
      </c>
      <c r="L5" s="50" t="str">
        <f>calc_bmi4age(1, C5, K5)</f>
        <v/>
      </c>
      <c r="M5" s="19">
        <v>35</v>
      </c>
      <c r="N5" s="50">
        <f>calc_head4age(1, C5, M5)</f>
        <v>0.33767354289802154</v>
      </c>
      <c r="O5" s="53">
        <f t="shared" ref="O5:O7" si="0">IF(D5&gt;0,ROUNDDOWN(CONVERT(D5,"kg","lbm"),0),"")</f>
        <v>7</v>
      </c>
      <c r="P5" s="54">
        <f t="shared" ref="P5:P7" si="1">IF(D5&gt;0,(CONVERT(D5,"kg","lbm")-O5)*16,"")</f>
        <v>11.458866823531437</v>
      </c>
      <c r="Q5" s="55">
        <f t="shared" ref="Q5:Q7" si="2">IF(G5&gt;0,CONVERT(G5, "cm", "in"),"")</f>
        <v>18.897637795275593</v>
      </c>
      <c r="R5" s="11"/>
    </row>
    <row r="6" spans="1:96" x14ac:dyDescent="0.25">
      <c r="A6" s="17">
        <v>38718</v>
      </c>
      <c r="B6" s="45" t="str">
        <f>IF(A6&gt;0,dmy(birthdate, A6, DAY(EOMONTH(A6, -1))),"")</f>
        <v>1y0d</v>
      </c>
      <c r="C6" s="46">
        <f>IF(ISNUMBER(A6), ageInYears(birthdate, A6, DAY(EOMONTH(A6, -1))), "")</f>
        <v>1</v>
      </c>
      <c r="D6" s="30">
        <v>10.5</v>
      </c>
      <c r="E6" s="47">
        <f>IF(AND(ISNUMBER(D5),ISNUMBER(measurements2[[#This Row],[weight]])),measurements2[[#This Row],[weight]]-D5,"")</f>
        <v>7</v>
      </c>
      <c r="F6" s="48">
        <f t="shared" ref="F6:F7" si="3">calc_weight4age(1, C6, D6)</f>
        <v>0.56514407779401077</v>
      </c>
      <c r="G6" s="20">
        <v>73</v>
      </c>
      <c r="H6" s="49">
        <f>IF(AND(ISNUMBER(G5),ISNUMBER(measurements2[[#This Row],[length]])),measurements2[[#This Row],[length]]-G5,"")</f>
        <v>25</v>
      </c>
      <c r="I6" s="50">
        <f t="shared" ref="I6:I7" si="4">calc_length4age(1, C6, G6)</f>
        <v>0.19206433368054018</v>
      </c>
      <c r="J6" s="51">
        <f t="shared" ref="J6:J7" si="5">calc_weight4length(1, $G6, $D6)</f>
        <v>0.94474566726784759</v>
      </c>
      <c r="K6" s="52">
        <f t="shared" ref="K6:K7" si="6">IF(AND(ISNUMBER(D6),ISNUMBER(G6)), D6 / (G6/100)^2, "")</f>
        <v>19.703509101144682</v>
      </c>
      <c r="L6" s="50" t="str">
        <f t="shared" ref="L6:L7" si="7">calc_bmi4age(1, C6, K6)</f>
        <v/>
      </c>
      <c r="M6" s="19">
        <v>47</v>
      </c>
      <c r="N6" s="50">
        <f t="shared" ref="N6:N7" si="8">calc_head4age(1, C6, M6)</f>
        <v>0.69282540114464386</v>
      </c>
      <c r="O6" s="53">
        <f t="shared" si="0"/>
        <v>23</v>
      </c>
      <c r="P6" s="54">
        <f t="shared" si="1"/>
        <v>2.376600470594326</v>
      </c>
      <c r="Q6" s="55">
        <f t="shared" si="2"/>
        <v>28.740157480314963</v>
      </c>
      <c r="R6" s="11"/>
      <c r="AL6">
        <v>1.7586821022112573</v>
      </c>
      <c r="AM6">
        <v>2.4483550472512716</v>
      </c>
      <c r="AN6">
        <v>2.7445496773495726</v>
      </c>
      <c r="AO6">
        <v>2.9905596134419352</v>
      </c>
      <c r="AP6">
        <v>3.3736262650041109</v>
      </c>
      <c r="AQ6">
        <v>3.7666548527661838</v>
      </c>
      <c r="AR6">
        <v>4.1296101827139058</v>
      </c>
      <c r="AS6">
        <v>4.4255407716724919</v>
      </c>
      <c r="AT6">
        <v>4.5822204513425522</v>
      </c>
      <c r="AU6">
        <v>4.7327103277825184</v>
      </c>
      <c r="AV6">
        <v>4.9331956580239718</v>
      </c>
      <c r="BJ6">
        <v>43.883169588727647</v>
      </c>
      <c r="BK6">
        <v>46.005904682596949</v>
      </c>
      <c r="BL6">
        <v>47.063155996513437</v>
      </c>
      <c r="BM6">
        <v>48.005016499661579</v>
      </c>
      <c r="BN6">
        <v>49.583849362606763</v>
      </c>
      <c r="BO6">
        <v>51.342429953976392</v>
      </c>
      <c r="BP6">
        <v>53.088366497971961</v>
      </c>
      <c r="BQ6">
        <v>54.596961510229974</v>
      </c>
      <c r="BR6">
        <v>55.426238501111243</v>
      </c>
      <c r="BS6">
        <v>56.24250493703817</v>
      </c>
      <c r="BT6">
        <v>57.359818703772383</v>
      </c>
      <c r="CH6">
        <v>29.158803271511726</v>
      </c>
      <c r="CI6">
        <v>31.885546685607206</v>
      </c>
      <c r="CJ6">
        <v>32.990033963239618</v>
      </c>
      <c r="CK6">
        <v>33.876729578240692</v>
      </c>
      <c r="CL6">
        <v>35.204370265991784</v>
      </c>
      <c r="CM6">
        <v>36.503639628307859</v>
      </c>
      <c r="CN6">
        <v>37.651449098046569</v>
      </c>
      <c r="CO6">
        <v>38.553222525204163</v>
      </c>
      <c r="CP6">
        <v>39.019045484723456</v>
      </c>
      <c r="CQ6">
        <v>39.45924449046526</v>
      </c>
      <c r="CR6">
        <v>40.035121509680799</v>
      </c>
    </row>
    <row r="7" spans="1:96" x14ac:dyDescent="0.25">
      <c r="A7" s="17">
        <v>39083</v>
      </c>
      <c r="B7" s="45" t="str">
        <f>IF(A7&gt;0,dmy(birthdate, A7, DAY(EOMONTH(A7, -1))),"")</f>
        <v>2y0d</v>
      </c>
      <c r="C7" s="46">
        <f>IF(ISNUMBER(A7), ageInYears(birthdate, A7, DAY(EOMONTH(A7, -1))), "")</f>
        <v>2</v>
      </c>
      <c r="D7" s="18">
        <v>13</v>
      </c>
      <c r="E7" s="47">
        <f>IF(AND(ISNUMBER(D6),ISNUMBER(measurements2[[#This Row],[weight]])),measurements2[[#This Row],[weight]]-D6,"")</f>
        <v>2.5</v>
      </c>
      <c r="F7" s="48">
        <f t="shared" si="3"/>
        <v>0.59352306080788542</v>
      </c>
      <c r="G7" s="20">
        <v>90</v>
      </c>
      <c r="H7" s="49">
        <f>IF(AND(ISNUMBER(G6),ISNUMBER(measurements2[[#This Row],[length]])),measurements2[[#This Row],[length]]-G6,"")</f>
        <v>17</v>
      </c>
      <c r="I7" s="50">
        <f t="shared" si="4"/>
        <v>0.8298200616762571</v>
      </c>
      <c r="J7" s="51">
        <f t="shared" si="5"/>
        <v>0.4105709785743078</v>
      </c>
      <c r="K7" s="52">
        <f t="shared" si="6"/>
        <v>16.049382716049383</v>
      </c>
      <c r="L7" s="50">
        <f t="shared" si="7"/>
        <v>0.33976041454183248</v>
      </c>
      <c r="M7" s="19">
        <v>50</v>
      </c>
      <c r="N7" s="50">
        <f t="shared" si="8"/>
        <v>0.82873895573197842</v>
      </c>
      <c r="O7" s="53">
        <f t="shared" si="0"/>
        <v>28</v>
      </c>
      <c r="P7" s="54">
        <f t="shared" si="1"/>
        <v>10.561505344545367</v>
      </c>
      <c r="Q7" s="55">
        <f t="shared" si="2"/>
        <v>35.433070866141733</v>
      </c>
      <c r="R7" s="11"/>
      <c r="AL7">
        <v>1.7586821022112573</v>
      </c>
      <c r="AM7">
        <v>2.4483550472512716</v>
      </c>
      <c r="AN7">
        <v>2.7445496773495726</v>
      </c>
      <c r="AO7">
        <v>2.9905596134419352</v>
      </c>
      <c r="AP7">
        <v>3.3736262650041109</v>
      </c>
      <c r="AQ7">
        <v>3.7666548527661838</v>
      </c>
      <c r="AR7">
        <v>4.1296101827139058</v>
      </c>
      <c r="AS7">
        <v>4.4255407716724919</v>
      </c>
      <c r="AT7">
        <v>4.5822204513425522</v>
      </c>
      <c r="AU7">
        <v>4.7327103277825184</v>
      </c>
      <c r="AV7">
        <v>4.9331956580239718</v>
      </c>
      <c r="BJ7">
        <v>43.883169588727647</v>
      </c>
      <c r="BK7">
        <v>46.005904682596949</v>
      </c>
      <c r="BL7">
        <v>47.063155996513437</v>
      </c>
      <c r="BM7">
        <v>48.005016499661579</v>
      </c>
      <c r="BN7">
        <v>49.583849362606763</v>
      </c>
      <c r="BO7">
        <v>51.342429953976392</v>
      </c>
      <c r="BP7">
        <v>53.088366497971961</v>
      </c>
      <c r="BQ7">
        <v>54.596961510229974</v>
      </c>
      <c r="BR7">
        <v>55.426238501111243</v>
      </c>
      <c r="BS7">
        <v>56.24250493703817</v>
      </c>
      <c r="BT7">
        <v>57.359818703772383</v>
      </c>
      <c r="CH7">
        <v>29.158803271511726</v>
      </c>
      <c r="CI7">
        <v>31.885546685607206</v>
      </c>
      <c r="CJ7">
        <v>32.990033963239618</v>
      </c>
      <c r="CK7">
        <v>33.876729578240692</v>
      </c>
      <c r="CL7">
        <v>35.204370265991784</v>
      </c>
      <c r="CM7">
        <v>36.503639628307859</v>
      </c>
      <c r="CN7">
        <v>37.651449098046569</v>
      </c>
      <c r="CO7">
        <v>38.553222525204163</v>
      </c>
      <c r="CP7">
        <v>39.019045484723456</v>
      </c>
      <c r="CQ7">
        <v>39.45924449046526</v>
      </c>
      <c r="CR7">
        <v>40.035121509680799</v>
      </c>
    </row>
  </sheetData>
  <mergeCells count="2">
    <mergeCell ref="B1:Q1"/>
    <mergeCell ref="B2:Q2"/>
  </mergeCells>
  <conditionalFormatting sqref="H6:H7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{80C7D615-7BCC-4D37-B0EA-1DF929A25B14}</x14:id>
        </ext>
      </extLst>
    </cfRule>
  </conditionalFormatting>
  <conditionalFormatting sqref="E5:E7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{177BD53C-77D3-43FB-A0D5-7020A2C1F491}</x14:id>
        </ext>
      </extLst>
    </cfRule>
  </conditionalFormatting>
  <pageMargins left="0.75" right="0.75" top="1" bottom="1" header="0.5" footer="0.5"/>
  <pageSetup orientation="landscape" r:id="rId1"/>
  <headerFooter alignWithMargins="0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C7D615-7BCC-4D37-B0EA-1DF929A25B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H6:H7</xm:sqref>
        </x14:conditionalFormatting>
        <x14:conditionalFormatting xmlns:xm="http://schemas.microsoft.com/office/excel/2006/main">
          <x14:cfRule type="dataBar" id="{177BD53C-77D3-43FB-A0D5-7020A2C1F4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E5:E7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366DF-1387-4FBF-80FC-969D609D4405}">
  <sheetPr codeName="Sheet5"/>
  <dimension ref="A1:O489"/>
  <sheetViews>
    <sheetView topLeftCell="A2" workbookViewId="0">
      <selection activeCell="C251" sqref="C251"/>
    </sheetView>
  </sheetViews>
  <sheetFormatPr defaultRowHeight="13.2" x14ac:dyDescent="0.25"/>
  <cols>
    <col min="2" max="2" width="9.88671875" customWidth="1"/>
    <col min="15" max="15" width="8.88671875" style="13"/>
  </cols>
  <sheetData>
    <row r="1" spans="1:15" x14ac:dyDescent="0.25">
      <c r="A1" t="s">
        <v>2</v>
      </c>
      <c r="B1" s="13" t="s">
        <v>32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/>
    </row>
    <row r="2" spans="1:15" x14ac:dyDescent="0.25">
      <c r="A2">
        <v>1</v>
      </c>
      <c r="B2" s="13">
        <v>0</v>
      </c>
      <c r="C2">
        <v>1.8151510749999999</v>
      </c>
      <c r="D2">
        <v>3.5302031679999999</v>
      </c>
      <c r="E2">
        <v>0.15238527299999999</v>
      </c>
      <c r="F2">
        <v>2.3554509860000001</v>
      </c>
      <c r="G2">
        <v>2.5269040199999999</v>
      </c>
      <c r="H2">
        <v>2.7738018480000002</v>
      </c>
      <c r="I2">
        <v>3.1506110820000002</v>
      </c>
      <c r="J2">
        <v>3.5302031679999999</v>
      </c>
      <c r="K2">
        <v>3.879076559</v>
      </c>
      <c r="L2">
        <v>4.1724933899999996</v>
      </c>
      <c r="M2">
        <v>4.3402927399999998</v>
      </c>
      <c r="N2">
        <v>4.4464883080000002</v>
      </c>
      <c r="O2"/>
    </row>
    <row r="3" spans="1:15" x14ac:dyDescent="0.25">
      <c r="A3">
        <v>1</v>
      </c>
      <c r="B3" s="13">
        <v>4.1666666666666664E-2</v>
      </c>
      <c r="C3">
        <v>1.5475231279999999</v>
      </c>
      <c r="D3">
        <v>4.0031064240000003</v>
      </c>
      <c r="E3">
        <v>0.146025021</v>
      </c>
      <c r="F3">
        <v>2.7995486409999999</v>
      </c>
      <c r="G3">
        <v>2.9646556550000001</v>
      </c>
      <c r="H3">
        <v>3.2095100169999999</v>
      </c>
      <c r="I3">
        <v>3.597395573</v>
      </c>
      <c r="J3">
        <v>4.0031064240000003</v>
      </c>
      <c r="K3">
        <v>4.3874225649999996</v>
      </c>
      <c r="L3">
        <v>4.7181612829999997</v>
      </c>
      <c r="M3">
        <v>4.9101301079999997</v>
      </c>
      <c r="N3">
        <v>5.0326249819999997</v>
      </c>
      <c r="O3"/>
    </row>
    <row r="4" spans="1:15" x14ac:dyDescent="0.25">
      <c r="A4">
        <v>1</v>
      </c>
      <c r="B4" s="13">
        <v>0.125</v>
      </c>
      <c r="C4">
        <v>1.068795548</v>
      </c>
      <c r="D4">
        <v>4.8795250829999999</v>
      </c>
      <c r="E4">
        <v>0.136478767</v>
      </c>
      <c r="F4">
        <v>3.6146880719999999</v>
      </c>
      <c r="G4">
        <v>3.7748488619999998</v>
      </c>
      <c r="H4">
        <v>4.0205614460000003</v>
      </c>
      <c r="I4">
        <v>4.4288729519999999</v>
      </c>
      <c r="J4">
        <v>4.8795250829999999</v>
      </c>
      <c r="K4">
        <v>5.3273275670000002</v>
      </c>
      <c r="L4">
        <v>5.7281527519999997</v>
      </c>
      <c r="M4">
        <v>5.9671016149999998</v>
      </c>
      <c r="N4">
        <v>6.1219291030000003</v>
      </c>
      <c r="O4"/>
    </row>
    <row r="5" spans="1:15" x14ac:dyDescent="0.25">
      <c r="A5">
        <v>1</v>
      </c>
      <c r="B5" s="13">
        <v>0.20833333333333334</v>
      </c>
      <c r="C5">
        <v>0.69597350499999999</v>
      </c>
      <c r="D5">
        <v>5.6728887649999997</v>
      </c>
      <c r="E5">
        <v>0.129677511</v>
      </c>
      <c r="F5">
        <v>4.3423414500000002</v>
      </c>
      <c r="G5">
        <v>4.5032553450000004</v>
      </c>
      <c r="H5">
        <v>4.7544793539999999</v>
      </c>
      <c r="I5">
        <v>5.1833775470000001</v>
      </c>
      <c r="J5">
        <v>5.6728887649999997</v>
      </c>
      <c r="K5">
        <v>6.1755981579999997</v>
      </c>
      <c r="L5">
        <v>6.6389791320000002</v>
      </c>
      <c r="M5">
        <v>6.9211191620000001</v>
      </c>
      <c r="N5">
        <v>7.1062501320000004</v>
      </c>
      <c r="O5"/>
    </row>
    <row r="6" spans="1:15" x14ac:dyDescent="0.25">
      <c r="A6">
        <v>1</v>
      </c>
      <c r="B6" s="13">
        <v>0.29166666666666669</v>
      </c>
      <c r="C6">
        <v>0.41981509</v>
      </c>
      <c r="D6">
        <v>6.391391982</v>
      </c>
      <c r="E6">
        <v>0.12471708500000001</v>
      </c>
      <c r="F6">
        <v>4.9928978959999997</v>
      </c>
      <c r="G6">
        <v>5.1574116529999996</v>
      </c>
      <c r="H6">
        <v>5.4168028560000003</v>
      </c>
      <c r="I6">
        <v>5.8668062540000001</v>
      </c>
      <c r="J6">
        <v>6.391391982</v>
      </c>
      <c r="K6">
        <v>6.9422171060000002</v>
      </c>
      <c r="L6">
        <v>7.4607023679999998</v>
      </c>
      <c r="M6">
        <v>7.7814011450000002</v>
      </c>
      <c r="N6">
        <v>7.9938780490000001</v>
      </c>
      <c r="O6"/>
    </row>
    <row r="7" spans="1:15" x14ac:dyDescent="0.25">
      <c r="A7">
        <v>1</v>
      </c>
      <c r="B7" s="13">
        <v>0.375</v>
      </c>
      <c r="C7">
        <v>0.219866801</v>
      </c>
      <c r="D7">
        <v>7.0418364320000002</v>
      </c>
      <c r="E7">
        <v>0.121040119</v>
      </c>
      <c r="F7">
        <v>5.575169066</v>
      </c>
      <c r="G7">
        <v>5.7447515659999997</v>
      </c>
      <c r="H7">
        <v>6.0137162399999999</v>
      </c>
      <c r="I7">
        <v>6.484969167</v>
      </c>
      <c r="J7">
        <v>7.0418364320000002</v>
      </c>
      <c r="K7">
        <v>7.6353230019999998</v>
      </c>
      <c r="L7">
        <v>8.2021932020000001</v>
      </c>
      <c r="M7">
        <v>8.5568133530000008</v>
      </c>
      <c r="N7">
        <v>8.7934436629999997</v>
      </c>
      <c r="O7"/>
    </row>
    <row r="8" spans="1:15" x14ac:dyDescent="0.25">
      <c r="A8">
        <v>1</v>
      </c>
      <c r="B8" s="13">
        <v>0.45833333333333331</v>
      </c>
      <c r="C8">
        <v>7.7505597999999995E-2</v>
      </c>
      <c r="D8">
        <v>7.6304251819999998</v>
      </c>
      <c r="E8">
        <v>0.11827120000000001</v>
      </c>
      <c r="F8">
        <v>6.0967752739999996</v>
      </c>
      <c r="G8">
        <v>6.2721752989999997</v>
      </c>
      <c r="H8">
        <v>6.5513792439999996</v>
      </c>
      <c r="I8">
        <v>7.0436269180000002</v>
      </c>
      <c r="J8">
        <v>7.6304251819999998</v>
      </c>
      <c r="K8">
        <v>8.2620329909999999</v>
      </c>
      <c r="L8">
        <v>8.8713841119999994</v>
      </c>
      <c r="M8">
        <v>9.2556145460000003</v>
      </c>
      <c r="N8">
        <v>9.5133065600000002</v>
      </c>
      <c r="O8"/>
    </row>
    <row r="9" spans="1:15" x14ac:dyDescent="0.25">
      <c r="A9">
        <v>1</v>
      </c>
      <c r="B9" s="13">
        <v>0.54166666666666663</v>
      </c>
      <c r="C9">
        <v>-2.1907610000000001E-2</v>
      </c>
      <c r="D9">
        <v>8.1629510350000007</v>
      </c>
      <c r="E9">
        <v>0.116153695</v>
      </c>
      <c r="F9">
        <v>6.564430346</v>
      </c>
      <c r="G9">
        <v>6.7459926650000002</v>
      </c>
      <c r="H9">
        <v>7.035656404</v>
      </c>
      <c r="I9">
        <v>7.548345716</v>
      </c>
      <c r="J9">
        <v>8.1629510350000007</v>
      </c>
      <c r="K9">
        <v>8.8287861589999999</v>
      </c>
      <c r="L9">
        <v>9.4754661599999999</v>
      </c>
      <c r="M9">
        <v>9.8854357430000004</v>
      </c>
      <c r="N9">
        <v>10.16135019</v>
      </c>
      <c r="O9"/>
    </row>
    <row r="10" spans="1:15" x14ac:dyDescent="0.25">
      <c r="A10">
        <v>1</v>
      </c>
      <c r="B10" s="13">
        <v>0.625</v>
      </c>
      <c r="C10">
        <v>-8.9440900000000004E-2</v>
      </c>
      <c r="D10">
        <v>8.6448324789999997</v>
      </c>
      <c r="E10">
        <v>0.114510349</v>
      </c>
      <c r="F10">
        <v>6.9841233379999998</v>
      </c>
      <c r="G10">
        <v>7.1719523929999998</v>
      </c>
      <c r="H10">
        <v>7.4720214379999996</v>
      </c>
      <c r="I10">
        <v>8.0043987750000003</v>
      </c>
      <c r="J10">
        <v>8.6448324789999997</v>
      </c>
      <c r="K10">
        <v>9.3414903799999998</v>
      </c>
      <c r="L10">
        <v>10.021013740000001</v>
      </c>
      <c r="M10">
        <v>10.45331433</v>
      </c>
      <c r="N10">
        <v>10.744923760000001</v>
      </c>
      <c r="O10"/>
    </row>
    <row r="11" spans="1:15" x14ac:dyDescent="0.25">
      <c r="A11">
        <v>1</v>
      </c>
      <c r="B11" s="13">
        <v>0.70833333333333337</v>
      </c>
      <c r="C11">
        <v>-0.1334091</v>
      </c>
      <c r="D11">
        <v>9.0811198169999994</v>
      </c>
      <c r="E11">
        <v>0.113217163</v>
      </c>
      <c r="F11">
        <v>7.3612361159999997</v>
      </c>
      <c r="G11">
        <v>7.5552867519999998</v>
      </c>
      <c r="H11">
        <v>7.8655329219999999</v>
      </c>
      <c r="I11">
        <v>8.4167187749999997</v>
      </c>
      <c r="J11">
        <v>9.0811198169999994</v>
      </c>
      <c r="K11">
        <v>9.8055933639999999</v>
      </c>
      <c r="L11">
        <v>10.514064210000001</v>
      </c>
      <c r="M11">
        <v>10.96573632</v>
      </c>
      <c r="N11">
        <v>11.27083843</v>
      </c>
      <c r="O11"/>
    </row>
    <row r="12" spans="1:15" x14ac:dyDescent="0.25">
      <c r="A12">
        <v>1</v>
      </c>
      <c r="B12" s="13">
        <v>0.79166666666666663</v>
      </c>
      <c r="C12">
        <v>-0.1600954</v>
      </c>
      <c r="D12">
        <v>9.4765003050000001</v>
      </c>
      <c r="E12">
        <v>0.11218624000000001</v>
      </c>
      <c r="F12">
        <v>7.7006244050000001</v>
      </c>
      <c r="G12">
        <v>7.9007551600000001</v>
      </c>
      <c r="H12">
        <v>8.2208392109999995</v>
      </c>
      <c r="I12">
        <v>8.7898818920000004</v>
      </c>
      <c r="J12">
        <v>9.4765003050000001</v>
      </c>
      <c r="K12">
        <v>10.22612395</v>
      </c>
      <c r="L12">
        <v>10.960172249999999</v>
      </c>
      <c r="M12">
        <v>11.428676230000001</v>
      </c>
      <c r="N12">
        <v>11.74538465</v>
      </c>
      <c r="O12"/>
    </row>
    <row r="13" spans="1:15" x14ac:dyDescent="0.25">
      <c r="A13">
        <v>1</v>
      </c>
      <c r="B13" s="13">
        <v>0.875</v>
      </c>
      <c r="C13">
        <v>-0.17429685</v>
      </c>
      <c r="D13">
        <v>9.8353077009999996</v>
      </c>
      <c r="E13">
        <v>0.111354536</v>
      </c>
      <c r="F13">
        <v>8.0066774469999995</v>
      </c>
      <c r="G13">
        <v>8.2126835380000003</v>
      </c>
      <c r="H13">
        <v>8.5421954840000005</v>
      </c>
      <c r="I13">
        <v>9.1281095229999991</v>
      </c>
      <c r="J13">
        <v>9.8353077009999996</v>
      </c>
      <c r="K13">
        <v>10.607721509999999</v>
      </c>
      <c r="L13">
        <v>11.36445045</v>
      </c>
      <c r="M13">
        <v>11.847632819999999</v>
      </c>
      <c r="N13">
        <v>12.17435729</v>
      </c>
      <c r="O13"/>
    </row>
    <row r="14" spans="1:15" x14ac:dyDescent="0.25">
      <c r="A14">
        <v>1</v>
      </c>
      <c r="B14" s="13">
        <v>0.95833333333333337</v>
      </c>
      <c r="C14">
        <v>-0.17971889999999999</v>
      </c>
      <c r="D14">
        <v>10.161535669999999</v>
      </c>
      <c r="E14">
        <v>0.110676413</v>
      </c>
      <c r="F14">
        <v>8.2833648550000003</v>
      </c>
      <c r="G14">
        <v>8.4949995549999997</v>
      </c>
      <c r="H14">
        <v>8.8334856229999996</v>
      </c>
      <c r="I14">
        <v>9.4352794099999997</v>
      </c>
      <c r="J14">
        <v>10.161535669999999</v>
      </c>
      <c r="K14">
        <v>10.9546603</v>
      </c>
      <c r="L14">
        <v>11.73160184</v>
      </c>
      <c r="M14">
        <v>12.2276612</v>
      </c>
      <c r="N14">
        <v>12.56308347</v>
      </c>
      <c r="O14"/>
    </row>
    <row r="15" spans="1:15" x14ac:dyDescent="0.25">
      <c r="A15">
        <v>1</v>
      </c>
      <c r="B15" s="13">
        <v>1.0416666666666667</v>
      </c>
      <c r="C15">
        <v>-0.179254</v>
      </c>
      <c r="D15">
        <v>10.45885399</v>
      </c>
      <c r="E15">
        <v>0.11011863500000001</v>
      </c>
      <c r="F15">
        <v>8.5342750279999997</v>
      </c>
      <c r="G15">
        <v>8.7512642520000004</v>
      </c>
      <c r="H15">
        <v>9.0982457090000004</v>
      </c>
      <c r="I15">
        <v>9.7149418010000002</v>
      </c>
      <c r="J15">
        <v>10.45885399</v>
      </c>
      <c r="K15">
        <v>11.270871469999999</v>
      </c>
      <c r="L15">
        <v>12.065947919999999</v>
      </c>
      <c r="M15">
        <v>12.573401929999999</v>
      </c>
      <c r="N15">
        <v>12.916450429999999</v>
      </c>
      <c r="O15"/>
    </row>
    <row r="16" spans="1:15" x14ac:dyDescent="0.25">
      <c r="A16">
        <v>1</v>
      </c>
      <c r="B16" s="13">
        <v>1.125</v>
      </c>
      <c r="C16">
        <v>-0.17518447000000001</v>
      </c>
      <c r="D16">
        <v>10.7306256</v>
      </c>
      <c r="E16">
        <v>0.10965694099999999</v>
      </c>
      <c r="F16">
        <v>8.7626485820000006</v>
      </c>
      <c r="G16">
        <v>8.9847011109999997</v>
      </c>
      <c r="H16">
        <v>9.3396876730000002</v>
      </c>
      <c r="I16">
        <v>9.9703375960000002</v>
      </c>
      <c r="J16">
        <v>10.7306256</v>
      </c>
      <c r="K16">
        <v>11.55996332</v>
      </c>
      <c r="L16">
        <v>12.37145331</v>
      </c>
      <c r="M16">
        <v>12.889108090000001</v>
      </c>
      <c r="N16">
        <v>13.238933380000001</v>
      </c>
      <c r="O16"/>
    </row>
    <row r="17" spans="1:15" x14ac:dyDescent="0.25">
      <c r="A17">
        <v>1</v>
      </c>
      <c r="B17" s="13">
        <v>1.2083333333333333</v>
      </c>
      <c r="C17">
        <v>-0.16932268</v>
      </c>
      <c r="D17">
        <v>10.979924820000001</v>
      </c>
      <c r="E17">
        <v>0.109273653</v>
      </c>
      <c r="F17">
        <v>8.9714072869999999</v>
      </c>
      <c r="G17">
        <v>9.1982224289999994</v>
      </c>
      <c r="H17">
        <v>9.5607223690000005</v>
      </c>
      <c r="I17">
        <v>10.20441778</v>
      </c>
      <c r="J17">
        <v>10.979924820000001</v>
      </c>
      <c r="K17">
        <v>11.825240989999999</v>
      </c>
      <c r="L17">
        <v>12.651748639999999</v>
      </c>
      <c r="M17">
        <v>13.17867019</v>
      </c>
      <c r="N17">
        <v>13.53462171</v>
      </c>
      <c r="O17"/>
    </row>
    <row r="18" spans="1:15" x14ac:dyDescent="0.25">
      <c r="A18">
        <v>1</v>
      </c>
      <c r="B18" s="13">
        <v>1.2916666666666667</v>
      </c>
      <c r="C18">
        <v>-0.16311390000000001</v>
      </c>
      <c r="D18">
        <v>11.209555290000001</v>
      </c>
      <c r="E18">
        <v>0.10895596</v>
      </c>
      <c r="F18">
        <v>9.1631803170000001</v>
      </c>
      <c r="G18">
        <v>9.3944538309999999</v>
      </c>
      <c r="H18">
        <v>9.7639817509999993</v>
      </c>
      <c r="I18">
        <v>10.419862759999999</v>
      </c>
      <c r="J18">
        <v>11.209555290000001</v>
      </c>
      <c r="K18">
        <v>12.06972515</v>
      </c>
      <c r="L18">
        <v>12.91015164</v>
      </c>
      <c r="M18">
        <v>13.445639630000001</v>
      </c>
      <c r="N18">
        <v>13.80724431</v>
      </c>
      <c r="O18"/>
    </row>
    <row r="19" spans="1:15" x14ac:dyDescent="0.25">
      <c r="A19">
        <v>1</v>
      </c>
      <c r="B19" s="13">
        <v>1.375</v>
      </c>
      <c r="C19">
        <v>-0.15770998999999999</v>
      </c>
      <c r="D19">
        <v>11.422067699999999</v>
      </c>
      <c r="E19">
        <v>0.108694678</v>
      </c>
      <c r="F19">
        <v>9.3403280679999998</v>
      </c>
      <c r="G19">
        <v>9.5757569680000003</v>
      </c>
      <c r="H19">
        <v>9.9518399980000005</v>
      </c>
      <c r="I19">
        <v>10.61910138</v>
      </c>
      <c r="J19">
        <v>11.422067699999999</v>
      </c>
      <c r="K19">
        <v>12.29616991</v>
      </c>
      <c r="L19">
        <v>13.149687070000001</v>
      </c>
      <c r="M19">
        <v>13.6932508</v>
      </c>
      <c r="N19">
        <v>14.0601935</v>
      </c>
      <c r="O19"/>
    </row>
    <row r="20" spans="1:15" x14ac:dyDescent="0.25">
      <c r="A20">
        <v>1</v>
      </c>
      <c r="B20" s="13">
        <v>1.4583333333333333</v>
      </c>
      <c r="C20">
        <v>-0.15402278999999999</v>
      </c>
      <c r="D20">
        <v>11.619776979999999</v>
      </c>
      <c r="E20">
        <v>0.10848332400000001</v>
      </c>
      <c r="F20">
        <v>9.5049640140000005</v>
      </c>
      <c r="G20">
        <v>9.7442506259999995</v>
      </c>
      <c r="H20">
        <v>10.126433520000001</v>
      </c>
      <c r="I20">
        <v>10.80432929</v>
      </c>
      <c r="J20">
        <v>11.619776979999999</v>
      </c>
      <c r="K20">
        <v>12.50708008</v>
      </c>
      <c r="L20">
        <v>13.373105580000001</v>
      </c>
      <c r="M20">
        <v>13.92444193</v>
      </c>
      <c r="N20">
        <v>14.296547739999999</v>
      </c>
      <c r="O20"/>
    </row>
    <row r="21" spans="1:15" x14ac:dyDescent="0.25">
      <c r="A21">
        <v>1</v>
      </c>
      <c r="B21" s="13">
        <v>1.5416666666666667</v>
      </c>
      <c r="C21">
        <v>-0.15276213999999999</v>
      </c>
      <c r="D21">
        <v>11.80477902</v>
      </c>
      <c r="E21">
        <v>0.108317416</v>
      </c>
      <c r="F21">
        <v>9.658974787</v>
      </c>
      <c r="G21">
        <v>9.901830339</v>
      </c>
      <c r="H21">
        <v>10.28967982</v>
      </c>
      <c r="I21">
        <v>10.977526620000001</v>
      </c>
      <c r="J21">
        <v>11.80477902</v>
      </c>
      <c r="K21">
        <v>12.70472779</v>
      </c>
      <c r="L21">
        <v>13.58290165</v>
      </c>
      <c r="M21">
        <v>14.141874809999999</v>
      </c>
      <c r="N21">
        <v>14.51909298</v>
      </c>
      <c r="O21"/>
    </row>
    <row r="22" spans="1:15" x14ac:dyDescent="0.25">
      <c r="A22">
        <v>1</v>
      </c>
      <c r="B22" s="13">
        <v>1.625</v>
      </c>
      <c r="C22">
        <v>-0.15446657999999999</v>
      </c>
      <c r="D22">
        <v>11.9789663</v>
      </c>
      <c r="E22">
        <v>0.108193944</v>
      </c>
      <c r="F22">
        <v>9.8040391089999996</v>
      </c>
      <c r="G22">
        <v>10.05018686</v>
      </c>
      <c r="H22">
        <v>10.443295239999999</v>
      </c>
      <c r="I22">
        <v>11.14047457</v>
      </c>
      <c r="J22">
        <v>11.9789663</v>
      </c>
      <c r="K22">
        <v>12.891168049999999</v>
      </c>
      <c r="L22">
        <v>13.781330580000001</v>
      </c>
      <c r="M22">
        <v>14.34795358</v>
      </c>
      <c r="N22">
        <v>14.730343120000001</v>
      </c>
      <c r="O22"/>
    </row>
    <row r="23" spans="1:15" x14ac:dyDescent="0.25">
      <c r="A23">
        <v>1</v>
      </c>
      <c r="B23" s="13">
        <v>1.7083333333333333</v>
      </c>
      <c r="C23">
        <v>-0.15952201999999999</v>
      </c>
      <c r="D23">
        <v>12.14404334</v>
      </c>
      <c r="E23">
        <v>0.108110954</v>
      </c>
      <c r="F23">
        <v>9.941644878</v>
      </c>
      <c r="G23">
        <v>10.190823079999999</v>
      </c>
      <c r="H23">
        <v>10.588811550000001</v>
      </c>
      <c r="I23">
        <v>11.2947714</v>
      </c>
      <c r="J23">
        <v>12.14404334</v>
      </c>
      <c r="K23">
        <v>13.06825426</v>
      </c>
      <c r="L23">
        <v>13.970424899999999</v>
      </c>
      <c r="M23">
        <v>14.54484233</v>
      </c>
      <c r="N23">
        <v>14.932558780000001</v>
      </c>
      <c r="O23"/>
    </row>
    <row r="24" spans="1:15" x14ac:dyDescent="0.25">
      <c r="A24">
        <v>1</v>
      </c>
      <c r="B24" s="13">
        <v>1.7916666666666667</v>
      </c>
      <c r="C24">
        <v>-0.16817926</v>
      </c>
      <c r="D24">
        <v>12.301541029999999</v>
      </c>
      <c r="E24">
        <v>0.108067236</v>
      </c>
      <c r="F24">
        <v>10.07310549</v>
      </c>
      <c r="G24">
        <v>10.32507004</v>
      </c>
      <c r="H24">
        <v>10.72759156</v>
      </c>
      <c r="I24">
        <v>11.44184727</v>
      </c>
      <c r="J24">
        <v>12.301541029999999</v>
      </c>
      <c r="K24">
        <v>13.237652580000001</v>
      </c>
      <c r="L24">
        <v>14.15200982</v>
      </c>
      <c r="M24">
        <v>14.73448194</v>
      </c>
      <c r="N24">
        <v>15.127765419999999</v>
      </c>
      <c r="O24"/>
    </row>
    <row r="25" spans="1:15" x14ac:dyDescent="0.25">
      <c r="A25">
        <v>1</v>
      </c>
      <c r="B25" s="13">
        <v>1.875</v>
      </c>
      <c r="C25">
        <v>-0.1805668</v>
      </c>
      <c r="D25">
        <v>12.452830280000001</v>
      </c>
      <c r="E25">
        <v>0.10806207800000001</v>
      </c>
      <c r="F25">
        <v>10.19957488</v>
      </c>
      <c r="G25">
        <v>10.454101809999999</v>
      </c>
      <c r="H25">
        <v>10.86084353</v>
      </c>
      <c r="I25">
        <v>11.58297823</v>
      </c>
      <c r="J25">
        <v>12.452830280000001</v>
      </c>
      <c r="K25">
        <v>13.40085582</v>
      </c>
      <c r="L25">
        <v>14.3277181</v>
      </c>
      <c r="M25">
        <v>14.91860604</v>
      </c>
      <c r="N25">
        <v>15.317770230000001</v>
      </c>
      <c r="O25"/>
    </row>
    <row r="26" spans="1:15" x14ac:dyDescent="0.25">
      <c r="A26">
        <v>1</v>
      </c>
      <c r="B26" s="13">
        <v>1.9583333333333333</v>
      </c>
      <c r="C26">
        <v>-0.19670196000000001</v>
      </c>
      <c r="D26">
        <v>12.599134940000001</v>
      </c>
      <c r="E26">
        <v>0.108095077</v>
      </c>
      <c r="F26">
        <v>10.32206165</v>
      </c>
      <c r="G26">
        <v>10.578949250000001</v>
      </c>
      <c r="H26">
        <v>10.98963476</v>
      </c>
      <c r="I26">
        <v>11.719299299999999</v>
      </c>
      <c r="J26">
        <v>12.599134940000001</v>
      </c>
      <c r="K26">
        <v>13.55919667</v>
      </c>
      <c r="L26">
        <v>14.49900418</v>
      </c>
      <c r="M26">
        <v>15.098756059999999</v>
      </c>
      <c r="N26">
        <v>15.50417803</v>
      </c>
      <c r="O26"/>
    </row>
    <row r="27" spans="1:15" x14ac:dyDescent="0.25">
      <c r="A27">
        <v>1</v>
      </c>
      <c r="B27" s="13">
        <v>2</v>
      </c>
      <c r="C27">
        <v>-0.20615244999999999</v>
      </c>
      <c r="D27">
        <v>12.670763300000001</v>
      </c>
      <c r="E27">
        <v>0.108125811</v>
      </c>
      <c r="F27">
        <v>10.382090249999999</v>
      </c>
      <c r="G27">
        <v>10.64009004</v>
      </c>
      <c r="H27">
        <v>11.05265567</v>
      </c>
      <c r="I27">
        <v>11.785975280000001</v>
      </c>
      <c r="J27">
        <v>12.670763300000001</v>
      </c>
      <c r="K27">
        <v>13.63691949</v>
      </c>
      <c r="L27">
        <v>14.58339799</v>
      </c>
      <c r="M27">
        <v>15.18777349</v>
      </c>
      <c r="N27">
        <v>15.59648294</v>
      </c>
      <c r="O27"/>
    </row>
    <row r="28" spans="1:15" x14ac:dyDescent="0.25">
      <c r="A28">
        <v>1</v>
      </c>
      <c r="B28" s="13">
        <v>2.0416666666666665</v>
      </c>
      <c r="C28">
        <v>-0.216501213</v>
      </c>
      <c r="D28">
        <v>12.74154396</v>
      </c>
      <c r="E28">
        <v>0.108166006</v>
      </c>
      <c r="F28">
        <v>10.441442199999999</v>
      </c>
      <c r="G28">
        <v>10.700512979999999</v>
      </c>
      <c r="H28">
        <v>11.114904060000001</v>
      </c>
      <c r="I28">
        <v>11.851816660000001</v>
      </c>
      <c r="J28">
        <v>12.74154396</v>
      </c>
      <c r="K28">
        <v>13.71386029</v>
      </c>
      <c r="L28">
        <v>14.667157700000001</v>
      </c>
      <c r="M28">
        <v>15.276295620000001</v>
      </c>
      <c r="N28">
        <v>15.68840631</v>
      </c>
      <c r="O28"/>
    </row>
    <row r="29" spans="1:15" x14ac:dyDescent="0.25">
      <c r="A29">
        <v>1</v>
      </c>
      <c r="B29" s="13">
        <v>2.125</v>
      </c>
      <c r="C29">
        <v>-0.239790488</v>
      </c>
      <c r="D29">
        <v>12.88102276</v>
      </c>
      <c r="E29">
        <v>0.108274706</v>
      </c>
      <c r="F29">
        <v>10.55847309</v>
      </c>
      <c r="G29">
        <v>10.81957536</v>
      </c>
      <c r="H29">
        <v>11.23747341</v>
      </c>
      <c r="I29">
        <v>11.981418919999999</v>
      </c>
      <c r="J29">
        <v>12.88102276</v>
      </c>
      <c r="K29">
        <v>13.86589625</v>
      </c>
      <c r="L29">
        <v>14.83331632</v>
      </c>
      <c r="M29">
        <v>15.452424049999999</v>
      </c>
      <c r="N29">
        <v>15.87169941</v>
      </c>
      <c r="O29"/>
    </row>
    <row r="30" spans="1:15" x14ac:dyDescent="0.25">
      <c r="A30">
        <v>1</v>
      </c>
      <c r="B30" s="13">
        <v>2.2083333333333335</v>
      </c>
      <c r="C30">
        <v>-0.26631585299999999</v>
      </c>
      <c r="D30">
        <v>13.018423820000001</v>
      </c>
      <c r="E30">
        <v>0.108421025</v>
      </c>
      <c r="F30">
        <v>10.673802609999999</v>
      </c>
      <c r="G30">
        <v>10.936811710000001</v>
      </c>
      <c r="H30">
        <v>11.35805876</v>
      </c>
      <c r="I30">
        <v>12.10888759</v>
      </c>
      <c r="J30">
        <v>13.018423820000001</v>
      </c>
      <c r="K30">
        <v>14.0162298</v>
      </c>
      <c r="L30">
        <v>14.998477940000001</v>
      </c>
      <c r="M30">
        <v>15.62818936</v>
      </c>
      <c r="N30">
        <v>16.055141880000001</v>
      </c>
      <c r="O30"/>
    </row>
    <row r="31" spans="1:15" x14ac:dyDescent="0.25">
      <c r="A31">
        <v>1</v>
      </c>
      <c r="B31" s="13">
        <v>2.2916666666666665</v>
      </c>
      <c r="C31">
        <v>-0.29575496899999998</v>
      </c>
      <c r="D31">
        <v>13.1544966</v>
      </c>
      <c r="E31">
        <v>0.10860477</v>
      </c>
      <c r="F31">
        <v>10.787981569999999</v>
      </c>
      <c r="G31">
        <v>11.05280067</v>
      </c>
      <c r="H31">
        <v>11.477279940000001</v>
      </c>
      <c r="I31">
        <v>12.234906710000001</v>
      </c>
      <c r="J31">
        <v>13.1544966</v>
      </c>
      <c r="K31">
        <v>14.165672499999999</v>
      </c>
      <c r="L31">
        <v>15.16351231</v>
      </c>
      <c r="M31">
        <v>15.804500429999999</v>
      </c>
      <c r="N31">
        <v>16.239671139999999</v>
      </c>
      <c r="O31"/>
    </row>
    <row r="32" spans="1:15" x14ac:dyDescent="0.25">
      <c r="A32">
        <v>1</v>
      </c>
      <c r="B32" s="13">
        <v>2.375</v>
      </c>
      <c r="C32">
        <v>-0.32772936800000002</v>
      </c>
      <c r="D32">
        <v>13.289896669999999</v>
      </c>
      <c r="E32">
        <v>0.10882568099999999</v>
      </c>
      <c r="F32">
        <v>10.90147346</v>
      </c>
      <c r="G32">
        <v>11.168034</v>
      </c>
      <c r="H32">
        <v>11.595669940000001</v>
      </c>
      <c r="I32">
        <v>12.360071749999999</v>
      </c>
      <c r="J32">
        <v>13.289896669999999</v>
      </c>
      <c r="K32">
        <v>14.31493214</v>
      </c>
      <c r="L32">
        <v>15.32917196</v>
      </c>
      <c r="M32">
        <v>15.98213866</v>
      </c>
      <c r="N32">
        <v>16.426089569999998</v>
      </c>
      <c r="O32"/>
    </row>
    <row r="33" spans="1:15" x14ac:dyDescent="0.25">
      <c r="A33">
        <v>1</v>
      </c>
      <c r="B33" s="13">
        <v>2.4583333333333335</v>
      </c>
      <c r="C33">
        <v>-0.36181746799999998</v>
      </c>
      <c r="D33">
        <v>13.425194080000001</v>
      </c>
      <c r="E33">
        <v>0.109083424</v>
      </c>
      <c r="F33">
        <v>11.014663949999999</v>
      </c>
      <c r="G33">
        <v>11.28292555</v>
      </c>
      <c r="H33">
        <v>11.713683400000001</v>
      </c>
      <c r="I33">
        <v>12.484897719999999</v>
      </c>
      <c r="J33">
        <v>13.425194080000001</v>
      </c>
      <c r="K33">
        <v>14.46462206</v>
      </c>
      <c r="L33">
        <v>15.496102609999999</v>
      </c>
      <c r="M33">
        <v>16.16176896</v>
      </c>
      <c r="N33">
        <v>16.615075839999999</v>
      </c>
      <c r="O33"/>
    </row>
    <row r="34" spans="1:15" x14ac:dyDescent="0.25">
      <c r="A34">
        <v>1</v>
      </c>
      <c r="B34" s="13">
        <v>2.5416666666666665</v>
      </c>
      <c r="C34">
        <v>-0.39756808700000001</v>
      </c>
      <c r="D34">
        <v>13.56088113</v>
      </c>
      <c r="E34">
        <v>0.109377581</v>
      </c>
      <c r="F34">
        <v>11.12786972</v>
      </c>
      <c r="G34">
        <v>11.397819699999999</v>
      </c>
      <c r="H34">
        <v>11.83170451</v>
      </c>
      <c r="I34">
        <v>12.60982671</v>
      </c>
      <c r="J34">
        <v>13.56088113</v>
      </c>
      <c r="K34">
        <v>14.61526973</v>
      </c>
      <c r="L34">
        <v>15.66485286</v>
      </c>
      <c r="M34">
        <v>16.343950249999999</v>
      </c>
      <c r="N34">
        <v>16.807195830000001</v>
      </c>
      <c r="O34"/>
    </row>
    <row r="35" spans="1:15" x14ac:dyDescent="0.25">
      <c r="A35">
        <v>1</v>
      </c>
      <c r="B35" s="13">
        <v>2.625</v>
      </c>
      <c r="C35">
        <v>-0.434520252</v>
      </c>
      <c r="D35">
        <v>13.697378580000001</v>
      </c>
      <c r="E35">
        <v>0.10970764600000001</v>
      </c>
      <c r="F35">
        <v>11.24134752</v>
      </c>
      <c r="G35">
        <v>11.51299966</v>
      </c>
      <c r="H35">
        <v>11.95005435</v>
      </c>
      <c r="I35">
        <v>12.73523417</v>
      </c>
      <c r="J35">
        <v>13.697378580000001</v>
      </c>
      <c r="K35">
        <v>14.76732387</v>
      </c>
      <c r="L35">
        <v>15.835883089999999</v>
      </c>
      <c r="M35">
        <v>16.529145620000001</v>
      </c>
      <c r="N35">
        <v>17.00291386</v>
      </c>
      <c r="O35"/>
    </row>
    <row r="36" spans="1:15" x14ac:dyDescent="0.25">
      <c r="A36">
        <v>1</v>
      </c>
      <c r="B36" s="13">
        <v>2.7083333333333335</v>
      </c>
      <c r="C36">
        <v>-0.47218875599999999</v>
      </c>
      <c r="D36">
        <v>13.835046220000001</v>
      </c>
      <c r="E36">
        <v>0.110073084</v>
      </c>
      <c r="F36">
        <v>11.3552982</v>
      </c>
      <c r="G36">
        <v>11.62869248</v>
      </c>
      <c r="H36">
        <v>12.06899744</v>
      </c>
      <c r="I36">
        <v>12.861437759999999</v>
      </c>
      <c r="J36">
        <v>13.835046220000001</v>
      </c>
      <c r="K36">
        <v>14.9211657</v>
      </c>
      <c r="L36">
        <v>16.009575259999998</v>
      </c>
      <c r="M36">
        <v>16.717730169999999</v>
      </c>
      <c r="N36">
        <v>17.202598399999999</v>
      </c>
      <c r="O36"/>
    </row>
    <row r="37" spans="1:15" x14ac:dyDescent="0.25">
      <c r="A37">
        <v>1</v>
      </c>
      <c r="B37" s="13">
        <v>2.7916666666666665</v>
      </c>
      <c r="C37">
        <v>-0.51011662700000004</v>
      </c>
      <c r="D37">
        <v>13.974182989999999</v>
      </c>
      <c r="E37">
        <v>0.11047325400000001</v>
      </c>
      <c r="F37">
        <v>11.46987889</v>
      </c>
      <c r="G37">
        <v>11.745078919999999</v>
      </c>
      <c r="H37">
        <v>12.18874828</v>
      </c>
      <c r="I37">
        <v>12.98869962</v>
      </c>
      <c r="J37">
        <v>13.974182989999999</v>
      </c>
      <c r="K37">
        <v>15.07711012</v>
      </c>
      <c r="L37">
        <v>16.186239069999999</v>
      </c>
      <c r="M37">
        <v>16.910002039999998</v>
      </c>
      <c r="N37">
        <v>17.40653734</v>
      </c>
      <c r="O37"/>
    </row>
    <row r="38" spans="1:15" x14ac:dyDescent="0.25">
      <c r="A38">
        <v>1</v>
      </c>
      <c r="B38" s="13">
        <v>2.875</v>
      </c>
      <c r="C38">
        <v>-0.54788557900000001</v>
      </c>
      <c r="D38">
        <v>14.1150324</v>
      </c>
      <c r="E38">
        <v>0.1109074</v>
      </c>
      <c r="F38">
        <v>11.58520959</v>
      </c>
      <c r="G38">
        <v>11.86229971</v>
      </c>
      <c r="H38">
        <v>12.309477230000001</v>
      </c>
      <c r="I38">
        <v>13.117231869999999</v>
      </c>
      <c r="J38">
        <v>14.1150324</v>
      </c>
      <c r="K38">
        <v>15.235411790000001</v>
      </c>
      <c r="L38">
        <v>16.366119170000001</v>
      </c>
      <c r="M38">
        <v>17.106190659999999</v>
      </c>
      <c r="N38">
        <v>17.614946979999999</v>
      </c>
      <c r="O38"/>
    </row>
    <row r="39" spans="1:15" x14ac:dyDescent="0.25">
      <c r="A39">
        <v>1</v>
      </c>
      <c r="B39" s="13">
        <v>2.9583333333333335</v>
      </c>
      <c r="C39">
        <v>-0.58507010999999998</v>
      </c>
      <c r="D39">
        <v>14.25779618</v>
      </c>
      <c r="E39">
        <v>0.111374787</v>
      </c>
      <c r="F39">
        <v>11.70137143</v>
      </c>
      <c r="G39">
        <v>11.980456439999999</v>
      </c>
      <c r="H39">
        <v>12.431315209999999</v>
      </c>
      <c r="I39">
        <v>13.247206569999999</v>
      </c>
      <c r="J39">
        <v>14.25779618</v>
      </c>
      <c r="K39">
        <v>15.396279099999999</v>
      </c>
      <c r="L39">
        <v>16.549404939999999</v>
      </c>
      <c r="M39">
        <v>17.30646132</v>
      </c>
      <c r="N39">
        <v>17.827971699999999</v>
      </c>
      <c r="O39"/>
    </row>
    <row r="40" spans="1:15" x14ac:dyDescent="0.25">
      <c r="A40">
        <v>1</v>
      </c>
      <c r="B40" s="13">
        <v>3.0416666666666665</v>
      </c>
      <c r="C40">
        <v>-0.62131972599999996</v>
      </c>
      <c r="D40">
        <v>14.40262749</v>
      </c>
      <c r="E40">
        <v>0.11187451399999999</v>
      </c>
      <c r="F40">
        <v>11.818422139999999</v>
      </c>
      <c r="G40">
        <v>12.099623080000001</v>
      </c>
      <c r="H40">
        <v>12.554359529999999</v>
      </c>
      <c r="I40">
        <v>13.378753740000001</v>
      </c>
      <c r="J40">
        <v>14.40262749</v>
      </c>
      <c r="K40">
        <v>15.5598683</v>
      </c>
      <c r="L40">
        <v>16.736232869999998</v>
      </c>
      <c r="M40">
        <v>17.510926659999999</v>
      </c>
      <c r="N40">
        <v>18.045703629999998</v>
      </c>
      <c r="O40"/>
    </row>
    <row r="41" spans="1:15" x14ac:dyDescent="0.25">
      <c r="A41">
        <v>1</v>
      </c>
      <c r="B41" s="13">
        <v>3.125</v>
      </c>
      <c r="C41">
        <v>-0.65629598600000005</v>
      </c>
      <c r="D41">
        <v>14.54964614</v>
      </c>
      <c r="E41">
        <v>0.112405687</v>
      </c>
      <c r="F41">
        <v>11.93639129</v>
      </c>
      <c r="G41">
        <v>12.21984466</v>
      </c>
      <c r="H41">
        <v>12.678677520000001</v>
      </c>
      <c r="I41">
        <v>13.511971969999999</v>
      </c>
      <c r="J41">
        <v>14.54964614</v>
      </c>
      <c r="K41">
        <v>15.726298890000001</v>
      </c>
      <c r="L41">
        <v>16.926696190000001</v>
      </c>
      <c r="M41">
        <v>17.719649400000002</v>
      </c>
      <c r="N41">
        <v>18.268178930000001</v>
      </c>
      <c r="O41"/>
    </row>
    <row r="42" spans="1:15" x14ac:dyDescent="0.25">
      <c r="A42">
        <v>1</v>
      </c>
      <c r="B42" s="13">
        <v>3.2083333333333335</v>
      </c>
      <c r="C42">
        <v>-0.68973502900000005</v>
      </c>
      <c r="D42">
        <v>14.69893326</v>
      </c>
      <c r="E42">
        <v>0.112967254</v>
      </c>
      <c r="F42">
        <v>12.055292769999999</v>
      </c>
      <c r="G42">
        <v>12.341146719999999</v>
      </c>
      <c r="H42">
        <v>12.80431149</v>
      </c>
      <c r="I42">
        <v>13.64692711</v>
      </c>
      <c r="J42">
        <v>14.69893326</v>
      </c>
      <c r="K42">
        <v>15.895648919999999</v>
      </c>
      <c r="L42">
        <v>17.12084685</v>
      </c>
      <c r="M42">
        <v>17.932652019999999</v>
      </c>
      <c r="N42">
        <v>18.495394449999999</v>
      </c>
      <c r="O42"/>
    </row>
    <row r="43" spans="1:15" x14ac:dyDescent="0.25">
      <c r="A43">
        <v>1</v>
      </c>
      <c r="B43" s="13">
        <v>3.2916666666666665</v>
      </c>
      <c r="C43">
        <v>-0.72141038800000001</v>
      </c>
      <c r="D43">
        <v>14.850541509999999</v>
      </c>
      <c r="E43">
        <v>0.11355811</v>
      </c>
      <c r="F43">
        <v>12.17512305</v>
      </c>
      <c r="G43">
        <v>12.463535540000001</v>
      </c>
      <c r="H43">
        <v>12.931282039999999</v>
      </c>
      <c r="I43">
        <v>13.783659650000001</v>
      </c>
      <c r="J43">
        <v>14.850541509999999</v>
      </c>
      <c r="K43">
        <v>16.067965319999999</v>
      </c>
      <c r="L43">
        <v>17.318702810000001</v>
      </c>
      <c r="M43">
        <v>18.14992024</v>
      </c>
      <c r="N43">
        <v>18.727307629999999</v>
      </c>
      <c r="O43"/>
    </row>
    <row r="44" spans="1:15" x14ac:dyDescent="0.25">
      <c r="A44">
        <v>1</v>
      </c>
      <c r="B44" s="13">
        <v>3.375</v>
      </c>
      <c r="C44">
        <v>-0.75117522299999995</v>
      </c>
      <c r="D44">
        <v>15.00449143</v>
      </c>
      <c r="E44">
        <v>0.114176956</v>
      </c>
      <c r="F44">
        <v>12.29587074</v>
      </c>
      <c r="G44">
        <v>12.587005599999999</v>
      </c>
      <c r="H44">
        <v>13.059592139999999</v>
      </c>
      <c r="I44">
        <v>13.92218431</v>
      </c>
      <c r="J44">
        <v>15.00449143</v>
      </c>
      <c r="K44">
        <v>16.243260630000002</v>
      </c>
      <c r="L44">
        <v>17.520249740000001</v>
      </c>
      <c r="M44">
        <v>18.371410869999998</v>
      </c>
      <c r="N44">
        <v>18.963850090000001</v>
      </c>
      <c r="O44"/>
    </row>
    <row r="45" spans="1:15" x14ac:dyDescent="0.25">
      <c r="A45">
        <v>1</v>
      </c>
      <c r="B45" s="13">
        <v>3.4583333333333335</v>
      </c>
      <c r="C45">
        <v>-0.77890427900000003</v>
      </c>
      <c r="D45">
        <v>15.16078454</v>
      </c>
      <c r="E45">
        <v>0.114822482</v>
      </c>
      <c r="F45">
        <v>12.417511019999999</v>
      </c>
      <c r="G45">
        <v>12.711537140000001</v>
      </c>
      <c r="H45">
        <v>13.189229409999999</v>
      </c>
      <c r="I45">
        <v>14.062498590000001</v>
      </c>
      <c r="J45">
        <v>15.16078454</v>
      </c>
      <c r="K45">
        <v>16.421526199999999</v>
      </c>
      <c r="L45">
        <v>17.725448979999999</v>
      </c>
      <c r="M45">
        <v>18.59705318</v>
      </c>
      <c r="N45">
        <v>19.204922920000001</v>
      </c>
      <c r="O45"/>
    </row>
    <row r="46" spans="1:15" x14ac:dyDescent="0.25">
      <c r="A46">
        <v>1</v>
      </c>
      <c r="B46" s="13">
        <v>3.5416666666666665</v>
      </c>
      <c r="C46">
        <v>-0.804515498</v>
      </c>
      <c r="D46">
        <v>15.319402459999999</v>
      </c>
      <c r="E46">
        <v>0.115493292</v>
      </c>
      <c r="F46">
        <v>12.540011610000001</v>
      </c>
      <c r="G46">
        <v>12.837100980000001</v>
      </c>
      <c r="H46">
        <v>13.320169180000001</v>
      </c>
      <c r="I46">
        <v>14.204583599999999</v>
      </c>
      <c r="J46">
        <v>15.319402459999999</v>
      </c>
      <c r="K46">
        <v>16.602731670000001</v>
      </c>
      <c r="L46">
        <v>17.93423997</v>
      </c>
      <c r="M46">
        <v>18.826754900000001</v>
      </c>
      <c r="N46">
        <v>19.450405839999998</v>
      </c>
      <c r="O46"/>
    </row>
    <row r="47" spans="1:15" x14ac:dyDescent="0.25">
      <c r="A47">
        <v>1</v>
      </c>
      <c r="B47" s="13">
        <v>3.625</v>
      </c>
      <c r="C47">
        <v>-0.82800325500000005</v>
      </c>
      <c r="D47">
        <v>15.480303129999999</v>
      </c>
      <c r="E47">
        <v>0.11618777700000001</v>
      </c>
      <c r="F47">
        <v>12.663340910000001</v>
      </c>
      <c r="G47">
        <v>12.96366474</v>
      </c>
      <c r="H47">
        <v>13.45237788</v>
      </c>
      <c r="I47">
        <v>14.34840318</v>
      </c>
      <c r="J47">
        <v>15.480303129999999</v>
      </c>
      <c r="K47">
        <v>16.78682117</v>
      </c>
      <c r="L47">
        <v>18.146540909999999</v>
      </c>
      <c r="M47">
        <v>19.060408590000002</v>
      </c>
      <c r="N47">
        <v>19.70016918</v>
      </c>
      <c r="O47"/>
    </row>
    <row r="48" spans="1:15" x14ac:dyDescent="0.25">
      <c r="A48">
        <v>1</v>
      </c>
      <c r="B48" s="13">
        <v>3.7083333333333335</v>
      </c>
      <c r="C48">
        <v>-0.84938037200000005</v>
      </c>
      <c r="D48">
        <v>15.64343309</v>
      </c>
      <c r="E48">
        <v>0.116904306</v>
      </c>
      <c r="F48">
        <v>12.787461370000001</v>
      </c>
      <c r="G48">
        <v>13.091189379999999</v>
      </c>
      <c r="H48">
        <v>13.5858142</v>
      </c>
      <c r="I48">
        <v>14.493911629999999</v>
      </c>
      <c r="J48">
        <v>15.64343309</v>
      </c>
      <c r="K48">
        <v>16.973725940000001</v>
      </c>
      <c r="L48">
        <v>18.362255940000001</v>
      </c>
      <c r="M48">
        <v>19.29789203</v>
      </c>
      <c r="N48">
        <v>19.954067739999999</v>
      </c>
      <c r="O48"/>
    </row>
    <row r="49" spans="1:15" x14ac:dyDescent="0.25">
      <c r="A49">
        <v>1</v>
      </c>
      <c r="B49" s="13">
        <v>3.7916666666666665</v>
      </c>
      <c r="C49">
        <v>-0.86869965000000005</v>
      </c>
      <c r="D49">
        <v>15.80872535</v>
      </c>
      <c r="E49">
        <v>0.117641148</v>
      </c>
      <c r="F49">
        <v>12.91233523</v>
      </c>
      <c r="G49">
        <v>13.21963362</v>
      </c>
      <c r="H49">
        <v>13.720431550000001</v>
      </c>
      <c r="I49">
        <v>14.641053429999999</v>
      </c>
      <c r="J49">
        <v>15.80872535</v>
      </c>
      <c r="K49">
        <v>17.163362289999998</v>
      </c>
      <c r="L49">
        <v>18.58127627</v>
      </c>
      <c r="M49">
        <v>19.53907323</v>
      </c>
      <c r="N49">
        <v>20.211949629999999</v>
      </c>
      <c r="O49"/>
    </row>
    <row r="50" spans="1:15" x14ac:dyDescent="0.25">
      <c r="A50">
        <v>1</v>
      </c>
      <c r="B50" s="13">
        <v>3.875</v>
      </c>
      <c r="C50">
        <v>-0.88603399199999999</v>
      </c>
      <c r="D50">
        <v>15.97610456</v>
      </c>
      <c r="E50">
        <v>0.11839654099999999</v>
      </c>
      <c r="F50">
        <v>13.037923279999999</v>
      </c>
      <c r="G50">
        <v>13.348953760000001</v>
      </c>
      <c r="H50">
        <v>13.856179470000001</v>
      </c>
      <c r="I50">
        <v>14.78976688</v>
      </c>
      <c r="J50">
        <v>15.97610456</v>
      </c>
      <c r="K50">
        <v>17.355637099999999</v>
      </c>
      <c r="L50">
        <v>18.803484180000002</v>
      </c>
      <c r="M50">
        <v>19.783812510000001</v>
      </c>
      <c r="N50">
        <v>20.473656550000001</v>
      </c>
      <c r="O50"/>
    </row>
    <row r="51" spans="1:15" x14ac:dyDescent="0.25">
      <c r="A51">
        <v>1</v>
      </c>
      <c r="B51" s="13">
        <v>3.9583333333333335</v>
      </c>
      <c r="C51">
        <v>-0.90150787799999998</v>
      </c>
      <c r="D51">
        <v>16.14548194</v>
      </c>
      <c r="E51">
        <v>0.119168555</v>
      </c>
      <c r="F51">
        <v>13.164192310000001</v>
      </c>
      <c r="G51">
        <v>13.479109149999999</v>
      </c>
      <c r="H51">
        <v>13.99300607</v>
      </c>
      <c r="I51">
        <v>14.93998212</v>
      </c>
      <c r="J51">
        <v>16.14548194</v>
      </c>
      <c r="K51">
        <v>17.550442589999999</v>
      </c>
      <c r="L51">
        <v>19.02875229</v>
      </c>
      <c r="M51">
        <v>20.031967760000001</v>
      </c>
      <c r="N51">
        <v>20.73903469</v>
      </c>
      <c r="O51"/>
    </row>
    <row r="52" spans="1:15" x14ac:dyDescent="0.25">
      <c r="A52">
        <v>1</v>
      </c>
      <c r="B52" s="13">
        <v>4.041666666666667</v>
      </c>
      <c r="C52">
        <v>-0.91524158899999997</v>
      </c>
      <c r="D52">
        <v>16.31676727</v>
      </c>
      <c r="E52">
        <v>0.11995532</v>
      </c>
      <c r="F52">
        <v>13.29110715</v>
      </c>
      <c r="G52">
        <v>13.61005739</v>
      </c>
      <c r="H52">
        <v>14.13085804</v>
      </c>
      <c r="I52">
        <v>15.091628099999999</v>
      </c>
      <c r="J52">
        <v>16.31676727</v>
      </c>
      <c r="K52">
        <v>17.747668959999999</v>
      </c>
      <c r="L52">
        <v>19.256950410000002</v>
      </c>
      <c r="M52">
        <v>20.283393480000001</v>
      </c>
      <c r="N52">
        <v>21.007926479999998</v>
      </c>
      <c r="O52"/>
    </row>
    <row r="53" spans="1:15" x14ac:dyDescent="0.25">
      <c r="A53">
        <v>1</v>
      </c>
      <c r="B53" s="13">
        <v>4.125</v>
      </c>
      <c r="C53">
        <v>-0.92737777200000004</v>
      </c>
      <c r="D53">
        <v>16.489864600000001</v>
      </c>
      <c r="E53">
        <v>0.120754916</v>
      </c>
      <c r="F53">
        <v>13.41863676</v>
      </c>
      <c r="G53">
        <v>13.74175874</v>
      </c>
      <c r="H53">
        <v>14.269682469999999</v>
      </c>
      <c r="I53">
        <v>15.244630770000001</v>
      </c>
      <c r="J53">
        <v>16.489864600000001</v>
      </c>
      <c r="K53">
        <v>17.947200070000001</v>
      </c>
      <c r="L53">
        <v>19.487944949999999</v>
      </c>
      <c r="M53">
        <v>20.53794512</v>
      </c>
      <c r="N53">
        <v>21.280179530000002</v>
      </c>
      <c r="O53"/>
    </row>
    <row r="54" spans="1:15" x14ac:dyDescent="0.25">
      <c r="A54">
        <v>1</v>
      </c>
      <c r="B54" s="13">
        <v>4.208333333333333</v>
      </c>
      <c r="C54">
        <v>-0.93806981899999997</v>
      </c>
      <c r="D54">
        <v>16.664675290000002</v>
      </c>
      <c r="E54">
        <v>0.12156542100000001</v>
      </c>
      <c r="F54">
        <v>13.54675344</v>
      </c>
      <c r="G54">
        <v>13.87417598</v>
      </c>
      <c r="H54">
        <v>14.40942768</v>
      </c>
      <c r="I54">
        <v>15.39891519</v>
      </c>
      <c r="J54">
        <v>16.664675290000002</v>
      </c>
      <c r="K54">
        <v>18.148916719999999</v>
      </c>
      <c r="L54">
        <v>19.72160147</v>
      </c>
      <c r="M54">
        <v>20.79548054</v>
      </c>
      <c r="N54">
        <v>21.55564717</v>
      </c>
      <c r="O54"/>
    </row>
    <row r="55" spans="1:15" x14ac:dyDescent="0.25">
      <c r="A55">
        <v>1</v>
      </c>
      <c r="B55" s="13">
        <v>4.291666666666667</v>
      </c>
      <c r="C55">
        <v>-0.94747793999999996</v>
      </c>
      <c r="D55">
        <v>16.84109948</v>
      </c>
      <c r="E55">
        <v>0.122384927</v>
      </c>
      <c r="F55">
        <v>13.67543322</v>
      </c>
      <c r="G55">
        <v>14.007274900000001</v>
      </c>
      <c r="H55">
        <v>14.550043909999999</v>
      </c>
      <c r="I55">
        <v>15.554406650000001</v>
      </c>
      <c r="J55">
        <v>16.84109948</v>
      </c>
      <c r="K55">
        <v>18.352698409999999</v>
      </c>
      <c r="L55">
        <v>19.95778649</v>
      </c>
      <c r="M55">
        <v>21.05586181</v>
      </c>
      <c r="N55">
        <v>21.834190110000002</v>
      </c>
      <c r="O55"/>
    </row>
    <row r="56" spans="1:15" x14ac:dyDescent="0.25">
      <c r="A56">
        <v>1</v>
      </c>
      <c r="B56" s="13">
        <v>4.375</v>
      </c>
      <c r="C56">
        <v>-0.955765694</v>
      </c>
      <c r="D56">
        <v>17.01903746</v>
      </c>
      <c r="E56">
        <v>0.123211562</v>
      </c>
      <c r="F56">
        <v>13.804656100000001</v>
      </c>
      <c r="G56">
        <v>14.14102471</v>
      </c>
      <c r="H56">
        <v>14.69148397</v>
      </c>
      <c r="I56">
        <v>15.71103166</v>
      </c>
      <c r="J56">
        <v>17.01903746</v>
      </c>
      <c r="K56">
        <v>18.558424850000002</v>
      </c>
      <c r="L56">
        <v>20.196369050000001</v>
      </c>
      <c r="M56">
        <v>21.318956709999998</v>
      </c>
      <c r="N56">
        <v>22.115677989999998</v>
      </c>
      <c r="O56"/>
    </row>
    <row r="57" spans="1:15" x14ac:dyDescent="0.25">
      <c r="A57">
        <v>1</v>
      </c>
      <c r="B57" s="13">
        <v>4.458333333333333</v>
      </c>
      <c r="C57">
        <v>-0.963096972</v>
      </c>
      <c r="D57">
        <v>17.198390799999999</v>
      </c>
      <c r="E57">
        <v>0.124043503</v>
      </c>
      <c r="F57">
        <v>13.934406170000001</v>
      </c>
      <c r="G57">
        <v>14.275398320000001</v>
      </c>
      <c r="H57">
        <v>14.83370375</v>
      </c>
      <c r="I57">
        <v>15.868718769999999</v>
      </c>
      <c r="J57">
        <v>17.198390799999999</v>
      </c>
      <c r="K57">
        <v>18.765977360000001</v>
      </c>
      <c r="L57">
        <v>20.43722215</v>
      </c>
      <c r="M57">
        <v>21.584640109999999</v>
      </c>
      <c r="N57">
        <v>22.399990590000002</v>
      </c>
      <c r="O57"/>
    </row>
    <row r="58" spans="1:15" x14ac:dyDescent="0.25">
      <c r="A58">
        <v>1</v>
      </c>
      <c r="B58" s="13">
        <v>4.541666666666667</v>
      </c>
      <c r="C58">
        <v>-0.96963343400000002</v>
      </c>
      <c r="D58">
        <v>17.379063410000001</v>
      </c>
      <c r="E58">
        <v>0.12487899199999999</v>
      </c>
      <c r="F58">
        <v>14.064671649999999</v>
      </c>
      <c r="G58">
        <v>14.410372519999999</v>
      </c>
      <c r="H58">
        <v>14.976662559999999</v>
      </c>
      <c r="I58">
        <v>16.027399299999999</v>
      </c>
      <c r="J58">
        <v>17.379063410000001</v>
      </c>
      <c r="K58">
        <v>18.975240100000001</v>
      </c>
      <c r="L58">
        <v>20.680223990000002</v>
      </c>
      <c r="M58">
        <v>21.85279508</v>
      </c>
      <c r="N58">
        <v>22.68701888</v>
      </c>
      <c r="O58"/>
    </row>
    <row r="59" spans="1:15" x14ac:dyDescent="0.25">
      <c r="A59">
        <v>1</v>
      </c>
      <c r="B59" s="13">
        <v>4.625</v>
      </c>
      <c r="C59">
        <v>-0.97553235500000002</v>
      </c>
      <c r="D59">
        <v>17.560962450000002</v>
      </c>
      <c r="E59">
        <v>0.12571634800000001</v>
      </c>
      <c r="F59">
        <v>14.195444849999999</v>
      </c>
      <c r="G59">
        <v>14.545928010000001</v>
      </c>
      <c r="H59">
        <v>15.120323450000001</v>
      </c>
      <c r="I59">
        <v>16.187007950000002</v>
      </c>
      <c r="J59">
        <v>17.560962450000002</v>
      </c>
      <c r="K59">
        <v>19.186101189999999</v>
      </c>
      <c r="L59">
        <v>20.92525904</v>
      </c>
      <c r="M59">
        <v>22.12331387</v>
      </c>
      <c r="N59">
        <v>22.976665830000002</v>
      </c>
      <c r="O59"/>
    </row>
    <row r="60" spans="1:15" x14ac:dyDescent="0.25">
      <c r="A60">
        <v>1</v>
      </c>
      <c r="B60" s="13">
        <v>4.708333333333333</v>
      </c>
      <c r="C60">
        <v>-0.98093791500000005</v>
      </c>
      <c r="D60">
        <v>17.74400082</v>
      </c>
      <c r="E60">
        <v>0.12655402199999999</v>
      </c>
      <c r="F60">
        <v>14.3267205</v>
      </c>
      <c r="G60">
        <v>14.682048419999999</v>
      </c>
      <c r="H60">
        <v>15.26465308</v>
      </c>
      <c r="I60">
        <v>16.347484120000001</v>
      </c>
      <c r="J60">
        <v>17.74400082</v>
      </c>
      <c r="K60">
        <v>19.398455559999999</v>
      </c>
      <c r="L60">
        <v>21.172219930000001</v>
      </c>
      <c r="M60">
        <v>22.396098200000001</v>
      </c>
      <c r="N60">
        <v>23.268845120000002</v>
      </c>
      <c r="O60"/>
    </row>
    <row r="61" spans="1:15" x14ac:dyDescent="0.25">
      <c r="A61">
        <v>1</v>
      </c>
      <c r="B61" s="13">
        <v>4.791666666666667</v>
      </c>
      <c r="C61">
        <v>-0.98600651800000005</v>
      </c>
      <c r="D61">
        <v>17.928091210000002</v>
      </c>
      <c r="E61">
        <v>0.12739045299999999</v>
      </c>
      <c r="F61">
        <v>14.45850147</v>
      </c>
      <c r="G61">
        <v>14.81872422</v>
      </c>
      <c r="H61">
        <v>15.40962296</v>
      </c>
      <c r="I61">
        <v>16.508769090000001</v>
      </c>
      <c r="J61">
        <v>17.928091210000002</v>
      </c>
      <c r="K61">
        <v>19.61219848</v>
      </c>
      <c r="L61">
        <v>21.42100482</v>
      </c>
      <c r="M61">
        <v>22.671062039999999</v>
      </c>
      <c r="N61">
        <v>23.56348925</v>
      </c>
      <c r="O61"/>
    </row>
    <row r="62" spans="1:15" x14ac:dyDescent="0.25">
      <c r="A62">
        <v>1</v>
      </c>
      <c r="B62" s="13">
        <v>4.875</v>
      </c>
      <c r="C62">
        <v>-0.99086693999999997</v>
      </c>
      <c r="D62">
        <v>18.113156249999999</v>
      </c>
      <c r="E62">
        <v>0.12822429399999999</v>
      </c>
      <c r="F62">
        <v>14.590790050000001</v>
      </c>
      <c r="G62">
        <v>14.955946819999999</v>
      </c>
      <c r="H62">
        <v>15.555207879999999</v>
      </c>
      <c r="I62">
        <v>16.670811</v>
      </c>
      <c r="J62">
        <v>18.113156249999999</v>
      </c>
      <c r="K62">
        <v>19.82723683</v>
      </c>
      <c r="L62">
        <v>21.671522939999999</v>
      </c>
      <c r="M62">
        <v>22.948128990000001</v>
      </c>
      <c r="N62">
        <v>23.860538859999998</v>
      </c>
      <c r="O62"/>
    </row>
    <row r="63" spans="1:15" x14ac:dyDescent="0.25">
      <c r="A63">
        <v>1</v>
      </c>
      <c r="B63" s="13">
        <v>4.958333333333333</v>
      </c>
      <c r="C63">
        <v>-0.99564440200000004</v>
      </c>
      <c r="D63">
        <v>18.299122860000001</v>
      </c>
      <c r="E63">
        <v>0.129054277</v>
      </c>
      <c r="F63">
        <v>14.7235931</v>
      </c>
      <c r="G63">
        <v>15.09371211</v>
      </c>
      <c r="H63">
        <v>15.701386960000001</v>
      </c>
      <c r="I63">
        <v>16.833562090000001</v>
      </c>
      <c r="J63">
        <v>18.299122860000001</v>
      </c>
      <c r="K63">
        <v>20.043482919999999</v>
      </c>
      <c r="L63">
        <v>21.923692039999999</v>
      </c>
      <c r="M63">
        <v>23.22723469</v>
      </c>
      <c r="N63">
        <v>24.159950030000001</v>
      </c>
      <c r="O63"/>
    </row>
    <row r="64" spans="1:15" x14ac:dyDescent="0.25">
      <c r="A64">
        <v>1</v>
      </c>
      <c r="B64" s="13">
        <v>5.041666666666667</v>
      </c>
      <c r="C64">
        <v>-1.0004538860000001</v>
      </c>
      <c r="D64">
        <v>18.485924130000001</v>
      </c>
      <c r="E64">
        <v>0.129879257</v>
      </c>
      <c r="F64">
        <v>14.85692044</v>
      </c>
      <c r="G64">
        <v>15.23201937</v>
      </c>
      <c r="H64">
        <v>15.8481433</v>
      </c>
      <c r="I64">
        <v>16.996979629999998</v>
      </c>
      <c r="J64">
        <v>18.485924130000001</v>
      </c>
      <c r="K64">
        <v>20.26085668</v>
      </c>
      <c r="L64">
        <v>22.177439540000002</v>
      </c>
      <c r="M64">
        <v>23.50832656</v>
      </c>
      <c r="N64">
        <v>24.461692549999999</v>
      </c>
      <c r="O64"/>
    </row>
    <row r="65" spans="1:15" x14ac:dyDescent="0.25">
      <c r="A65">
        <v>1</v>
      </c>
      <c r="B65" s="13">
        <v>5.125</v>
      </c>
      <c r="C65">
        <v>-1.0053996679999999</v>
      </c>
      <c r="D65">
        <v>18.67349965</v>
      </c>
      <c r="E65">
        <v>0.13069821200000001</v>
      </c>
      <c r="F65">
        <v>14.99078448</v>
      </c>
      <c r="G65">
        <v>15.37087094</v>
      </c>
      <c r="H65">
        <v>15.995463900000001</v>
      </c>
      <c r="I65">
        <v>17.16102601</v>
      </c>
      <c r="J65">
        <v>18.67349965</v>
      </c>
      <c r="K65">
        <v>20.479286049999999</v>
      </c>
      <c r="L65">
        <v>22.432702880000001</v>
      </c>
      <c r="M65">
        <v>23.791363910000001</v>
      </c>
      <c r="N65">
        <v>24.76574995</v>
      </c>
      <c r="O65"/>
    </row>
    <row r="66" spans="1:15" x14ac:dyDescent="0.25">
      <c r="A66">
        <v>1</v>
      </c>
      <c r="B66" s="13">
        <v>5.208333333333333</v>
      </c>
      <c r="C66">
        <v>-1.010575003</v>
      </c>
      <c r="D66">
        <v>18.86179576</v>
      </c>
      <c r="E66">
        <v>0.131510245</v>
      </c>
      <c r="F66">
        <v>15.12519986</v>
      </c>
      <c r="G66">
        <v>15.510272049999999</v>
      </c>
      <c r="H66">
        <v>16.143339470000001</v>
      </c>
      <c r="I66">
        <v>17.325668839999999</v>
      </c>
      <c r="J66">
        <v>18.86179576</v>
      </c>
      <c r="K66">
        <v>20.69870731</v>
      </c>
      <c r="L66">
        <v>22.689429700000002</v>
      </c>
      <c r="M66">
        <v>24.076318019999999</v>
      </c>
      <c r="N66">
        <v>25.072119260000001</v>
      </c>
      <c r="O66"/>
    </row>
    <row r="67" spans="1:15" x14ac:dyDescent="0.25">
      <c r="A67">
        <v>1</v>
      </c>
      <c r="B67" s="13">
        <v>5.291666666666667</v>
      </c>
      <c r="C67">
        <v>-1.016061941</v>
      </c>
      <c r="D67">
        <v>19.05076579</v>
      </c>
      <c r="E67">
        <v>0.13231458600000001</v>
      </c>
      <c r="F67">
        <v>15.260183059999999</v>
      </c>
      <c r="G67">
        <v>15.65023042</v>
      </c>
      <c r="H67">
        <v>16.291764329999999</v>
      </c>
      <c r="I67">
        <v>17.49088098</v>
      </c>
      <c r="J67">
        <v>19.05076579</v>
      </c>
      <c r="K67">
        <v>20.919065400000001</v>
      </c>
      <c r="L67">
        <v>22.947577989999999</v>
      </c>
      <c r="M67">
        <v>24.363171980000001</v>
      </c>
      <c r="N67">
        <v>25.380810759999999</v>
      </c>
      <c r="O67"/>
    </row>
    <row r="68" spans="1:15" x14ac:dyDescent="0.25">
      <c r="A68">
        <v>1</v>
      </c>
      <c r="B68" s="13">
        <v>5.375</v>
      </c>
      <c r="C68">
        <v>-1.0219312410000001</v>
      </c>
      <c r="D68">
        <v>19.24037019</v>
      </c>
      <c r="E68">
        <v>0.133110593</v>
      </c>
      <c r="F68">
        <v>15.395752010000001</v>
      </c>
      <c r="G68">
        <v>15.790755989999999</v>
      </c>
      <c r="H68">
        <v>16.440736149999999</v>
      </c>
      <c r="I68">
        <v>17.65664052</v>
      </c>
      <c r="J68">
        <v>19.24037019</v>
      </c>
      <c r="K68">
        <v>21.140314029999999</v>
      </c>
      <c r="L68">
        <v>23.207116150000001</v>
      </c>
      <c r="M68">
        <v>24.651920579999999</v>
      </c>
      <c r="N68">
        <v>25.691847580000001</v>
      </c>
      <c r="O68"/>
    </row>
    <row r="69" spans="1:15" x14ac:dyDescent="0.25">
      <c r="A69">
        <v>1</v>
      </c>
      <c r="B69" s="13">
        <v>5.458333333333333</v>
      </c>
      <c r="C69">
        <v>-1.0282423759999999</v>
      </c>
      <c r="D69">
        <v>19.43057662</v>
      </c>
      <c r="E69">
        <v>0.13389775200000001</v>
      </c>
      <c r="F69">
        <v>15.53192567</v>
      </c>
      <c r="G69">
        <v>15.931860589999999</v>
      </c>
      <c r="H69">
        <v>16.590255769999999</v>
      </c>
      <c r="I69">
        <v>17.82293074</v>
      </c>
      <c r="J69">
        <v>19.43057662</v>
      </c>
      <c r="K69">
        <v>21.36241588</v>
      </c>
      <c r="L69">
        <v>23.46802293</v>
      </c>
      <c r="M69">
        <v>24.94257</v>
      </c>
      <c r="N69">
        <v>26.005265250000001</v>
      </c>
      <c r="O69"/>
    </row>
    <row r="70" spans="1:15" x14ac:dyDescent="0.25">
      <c r="A70">
        <v>1</v>
      </c>
      <c r="B70" s="13">
        <v>5.541666666666667</v>
      </c>
      <c r="C70">
        <v>-1.0350436080000001</v>
      </c>
      <c r="D70">
        <v>19.621360070000001</v>
      </c>
      <c r="E70">
        <v>0.134675673</v>
      </c>
      <c r="F70">
        <v>15.668723659999999</v>
      </c>
      <c r="G70">
        <v>16.073557579999999</v>
      </c>
      <c r="H70">
        <v>16.740326939999999</v>
      </c>
      <c r="I70">
        <v>17.989740050000002</v>
      </c>
      <c r="J70">
        <v>19.621360070000001</v>
      </c>
      <c r="K70">
        <v>21.58534268</v>
      </c>
      <c r="L70">
        <v>23.730287350000001</v>
      </c>
      <c r="M70">
        <v>25.235137550000001</v>
      </c>
      <c r="N70">
        <v>26.321111120000001</v>
      </c>
      <c r="O70"/>
    </row>
    <row r="71" spans="1:15" x14ac:dyDescent="0.25">
      <c r="A71">
        <v>1</v>
      </c>
      <c r="B71" s="13">
        <v>5.625</v>
      </c>
      <c r="C71">
        <v>-1.042372125</v>
      </c>
      <c r="D71">
        <v>19.8127028</v>
      </c>
      <c r="E71">
        <v>0.13544408999999999</v>
      </c>
      <c r="F71">
        <v>15.80616582</v>
      </c>
      <c r="G71">
        <v>16.215861539999999</v>
      </c>
      <c r="H71">
        <v>16.8909561</v>
      </c>
      <c r="I71">
        <v>18.157061880000001</v>
      </c>
      <c r="J71">
        <v>19.8127028</v>
      </c>
      <c r="K71">
        <v>21.809075180000001</v>
      </c>
      <c r="L71">
        <v>23.993908569999999</v>
      </c>
      <c r="M71">
        <v>25.529651179999998</v>
      </c>
      <c r="N71">
        <v>26.639443759999999</v>
      </c>
      <c r="O71"/>
    </row>
    <row r="72" spans="1:15" x14ac:dyDescent="0.25">
      <c r="A72">
        <v>1</v>
      </c>
      <c r="B72" s="13">
        <v>5.708333333333333</v>
      </c>
      <c r="C72">
        <v>-1.0502542319999999</v>
      </c>
      <c r="D72">
        <v>20.004594399999998</v>
      </c>
      <c r="E72">
        <v>0.13620286000000001</v>
      </c>
      <c r="F72">
        <v>15.94427185</v>
      </c>
      <c r="G72">
        <v>16.358787929999998</v>
      </c>
      <c r="H72">
        <v>17.042152120000001</v>
      </c>
      <c r="I72">
        <v>18.324894570000001</v>
      </c>
      <c r="J72">
        <v>20.004594399999998</v>
      </c>
      <c r="K72">
        <v>22.03360322</v>
      </c>
      <c r="L72">
        <v>24.258895649999999</v>
      </c>
      <c r="M72">
        <v>25.826149109999999</v>
      </c>
      <c r="N72">
        <v>26.960332220000002</v>
      </c>
      <c r="O72"/>
    </row>
    <row r="73" spans="1:15" x14ac:dyDescent="0.25">
      <c r="A73">
        <v>1</v>
      </c>
      <c r="B73" s="13">
        <v>5.791666666666667</v>
      </c>
      <c r="C73">
        <v>-1.0587055949999999</v>
      </c>
      <c r="D73">
        <v>20.197031710000001</v>
      </c>
      <c r="E73">
        <v>0.13695195900000001</v>
      </c>
      <c r="F73">
        <v>16.083060979999999</v>
      </c>
      <c r="G73">
        <v>16.502352770000002</v>
      </c>
      <c r="H73">
        <v>17.193926050000002</v>
      </c>
      <c r="I73">
        <v>18.493241220000002</v>
      </c>
      <c r="J73">
        <v>20.197031710000001</v>
      </c>
      <c r="K73">
        <v>22.258925609999999</v>
      </c>
      <c r="L73">
        <v>24.525267329999998</v>
      </c>
      <c r="M73">
        <v>26.124679260000001</v>
      </c>
      <c r="N73">
        <v>27.28385531</v>
      </c>
      <c r="O73"/>
    </row>
    <row r="74" spans="1:15" x14ac:dyDescent="0.25">
      <c r="A74">
        <v>1</v>
      </c>
      <c r="B74" s="13">
        <v>5.875</v>
      </c>
      <c r="C74">
        <v>-1.067731529</v>
      </c>
      <c r="D74">
        <v>20.39001872</v>
      </c>
      <c r="E74">
        <v>0.13769147800000001</v>
      </c>
      <c r="F74">
        <v>16.222551580000001</v>
      </c>
      <c r="G74">
        <v>16.64657235</v>
      </c>
      <c r="H74">
        <v>17.346290870000001</v>
      </c>
      <c r="I74">
        <v>18.66210955</v>
      </c>
      <c r="J74">
        <v>20.39001872</v>
      </c>
      <c r="K74">
        <v>22.48505007</v>
      </c>
      <c r="L74">
        <v>24.79305175</v>
      </c>
      <c r="M74">
        <v>26.425298730000002</v>
      </c>
      <c r="N74">
        <v>27.610100800000001</v>
      </c>
      <c r="O74"/>
    </row>
    <row r="75" spans="1:15" x14ac:dyDescent="0.25">
      <c r="A75">
        <v>1</v>
      </c>
      <c r="B75" s="13">
        <v>5.958333333333333</v>
      </c>
      <c r="C75">
        <v>-1.077321193</v>
      </c>
      <c r="D75">
        <v>20.583568620000001</v>
      </c>
      <c r="E75">
        <v>0.138421673</v>
      </c>
      <c r="F75">
        <v>16.362758970000002</v>
      </c>
      <c r="G75">
        <v>16.79146158</v>
      </c>
      <c r="H75">
        <v>17.499260809999999</v>
      </c>
      <c r="I75">
        <v>18.831512620000002</v>
      </c>
      <c r="J75">
        <v>20.583568620000001</v>
      </c>
      <c r="K75">
        <v>22.711995569999999</v>
      </c>
      <c r="L75">
        <v>25.062287390000002</v>
      </c>
      <c r="M75">
        <v>26.728072610000002</v>
      </c>
      <c r="N75">
        <v>27.939161940000002</v>
      </c>
      <c r="O75"/>
    </row>
    <row r="76" spans="1:15" x14ac:dyDescent="0.25">
      <c r="A76">
        <v>1</v>
      </c>
      <c r="B76" s="13">
        <v>6.041666666666667</v>
      </c>
      <c r="C76">
        <v>-1.087471249</v>
      </c>
      <c r="D76">
        <v>20.777695649999998</v>
      </c>
      <c r="E76">
        <v>0.139142773</v>
      </c>
      <c r="F76">
        <v>16.50370229</v>
      </c>
      <c r="G76">
        <v>16.937038749999999</v>
      </c>
      <c r="H76">
        <v>17.652852710000001</v>
      </c>
      <c r="I76">
        <v>19.001465150000001</v>
      </c>
      <c r="J76">
        <v>20.777695649999998</v>
      </c>
      <c r="K76">
        <v>22.939782910000002</v>
      </c>
      <c r="L76">
        <v>25.333017940000001</v>
      </c>
      <c r="M76">
        <v>27.033075650000001</v>
      </c>
      <c r="N76">
        <v>28.271146309999999</v>
      </c>
      <c r="O76"/>
    </row>
    <row r="77" spans="1:15" x14ac:dyDescent="0.25">
      <c r="A77">
        <v>1</v>
      </c>
      <c r="B77" s="13">
        <v>6.125</v>
      </c>
      <c r="C77">
        <v>-1.0981529839999999</v>
      </c>
      <c r="D77">
        <v>20.972426309999999</v>
      </c>
      <c r="E77">
        <v>0.13985524199999999</v>
      </c>
      <c r="F77">
        <v>16.64539409</v>
      </c>
      <c r="G77">
        <v>17.083318139999999</v>
      </c>
      <c r="H77">
        <v>17.80708353</v>
      </c>
      <c r="I77">
        <v>19.171988339999999</v>
      </c>
      <c r="J77">
        <v>20.972426309999999</v>
      </c>
      <c r="K77">
        <v>23.168447690000001</v>
      </c>
      <c r="L77">
        <v>25.605298749999999</v>
      </c>
      <c r="M77">
        <v>27.340388319999999</v>
      </c>
      <c r="N77">
        <v>28.606161060000002</v>
      </c>
      <c r="O77"/>
    </row>
    <row r="78" spans="1:15" x14ac:dyDescent="0.25">
      <c r="A78">
        <v>1</v>
      </c>
      <c r="B78" s="13">
        <v>6.208333333333333</v>
      </c>
      <c r="C78">
        <v>-1.10933408</v>
      </c>
      <c r="D78">
        <v>21.167791919999999</v>
      </c>
      <c r="E78">
        <v>0.140559605</v>
      </c>
      <c r="F78">
        <v>16.787846559999998</v>
      </c>
      <c r="G78">
        <v>17.23031439</v>
      </c>
      <c r="H78">
        <v>17.96197153</v>
      </c>
      <c r="I78">
        <v>19.343106429999999</v>
      </c>
      <c r="J78">
        <v>21.167791919999999</v>
      </c>
      <c r="K78">
        <v>23.39803173</v>
      </c>
      <c r="L78">
        <v>25.87919213</v>
      </c>
      <c r="M78">
        <v>27.6500983</v>
      </c>
      <c r="N78">
        <v>28.944320770000001</v>
      </c>
      <c r="O78"/>
    </row>
    <row r="79" spans="1:15" x14ac:dyDescent="0.25">
      <c r="A79">
        <v>1</v>
      </c>
      <c r="B79" s="13">
        <v>6.291666666666667</v>
      </c>
      <c r="C79">
        <v>-1.1209740429999999</v>
      </c>
      <c r="D79">
        <v>21.36383013</v>
      </c>
      <c r="E79">
        <v>0.14125648900000001</v>
      </c>
      <c r="F79">
        <v>16.931069860000001</v>
      </c>
      <c r="G79">
        <v>17.37804118</v>
      </c>
      <c r="H79">
        <v>18.117535780000001</v>
      </c>
      <c r="I79">
        <v>19.514847240000002</v>
      </c>
      <c r="J79">
        <v>21.36383013</v>
      </c>
      <c r="K79">
        <v>23.628584849999999</v>
      </c>
      <c r="L79">
        <v>26.15476795</v>
      </c>
      <c r="M79">
        <v>27.962299250000001</v>
      </c>
      <c r="N79">
        <v>29.285744399999999</v>
      </c>
      <c r="O79"/>
    </row>
    <row r="80" spans="1:15" x14ac:dyDescent="0.25">
      <c r="A80">
        <v>1</v>
      </c>
      <c r="B80" s="13">
        <v>6.375</v>
      </c>
      <c r="C80">
        <v>-1.133024799</v>
      </c>
      <c r="D80">
        <v>21.560584670000001</v>
      </c>
      <c r="E80">
        <v>0.141946613</v>
      </c>
      <c r="F80">
        <v>17.07507197</v>
      </c>
      <c r="G80">
        <v>17.52651109</v>
      </c>
      <c r="H80">
        <v>18.2737959</v>
      </c>
      <c r="I80">
        <v>19.68724198</v>
      </c>
      <c r="J80">
        <v>21.560584670000001</v>
      </c>
      <c r="K80">
        <v>23.860164560000001</v>
      </c>
      <c r="L80">
        <v>26.43210324</v>
      </c>
      <c r="M80">
        <v>28.277090210000001</v>
      </c>
      <c r="N80">
        <v>29.630554289999999</v>
      </c>
      <c r="O80"/>
    </row>
    <row r="81" spans="1:15" x14ac:dyDescent="0.25">
      <c r="A81">
        <v>1</v>
      </c>
      <c r="B81" s="13">
        <v>6.458333333333333</v>
      </c>
      <c r="C81">
        <v>-1.145431351</v>
      </c>
      <c r="D81">
        <v>21.758105059999998</v>
      </c>
      <c r="E81">
        <v>0.14263078500000001</v>
      </c>
      <c r="F81">
        <v>17.219858640000002</v>
      </c>
      <c r="G81">
        <v>17.675735499999998</v>
      </c>
      <c r="H81">
        <v>18.43077195</v>
      </c>
      <c r="I81">
        <v>19.860324940000002</v>
      </c>
      <c r="J81">
        <v>21.758105059999998</v>
      </c>
      <c r="K81">
        <v>24.092835749999999</v>
      </c>
      <c r="L81">
        <v>26.711281769999999</v>
      </c>
      <c r="M81">
        <v>28.594574860000002</v>
      </c>
      <c r="N81">
        <v>29.978875240000001</v>
      </c>
      <c r="O81"/>
    </row>
    <row r="82" spans="1:15" x14ac:dyDescent="0.25">
      <c r="A82">
        <v>1</v>
      </c>
      <c r="B82" s="13">
        <v>6.541666666666667</v>
      </c>
      <c r="C82">
        <v>-1.1581324989999999</v>
      </c>
      <c r="D82">
        <v>21.956446270000001</v>
      </c>
      <c r="E82">
        <v>0.14330989799999999</v>
      </c>
      <c r="F82">
        <v>17.36543339</v>
      </c>
      <c r="G82">
        <v>17.825724529999999</v>
      </c>
      <c r="H82">
        <v>18.588484229999999</v>
      </c>
      <c r="I82">
        <v>20.034133270000002</v>
      </c>
      <c r="J82">
        <v>21.956446270000001</v>
      </c>
      <c r="K82">
        <v>24.326670350000001</v>
      </c>
      <c r="L82">
        <v>26.992393570000001</v>
      </c>
      <c r="M82">
        <v>28.914860919999999</v>
      </c>
      <c r="N82">
        <v>30.330833559999999</v>
      </c>
      <c r="O82"/>
    </row>
    <row r="83" spans="1:15" x14ac:dyDescent="0.25">
      <c r="A83">
        <v>1</v>
      </c>
      <c r="B83" s="13">
        <v>6.625</v>
      </c>
      <c r="C83">
        <v>-1.1710616119999999</v>
      </c>
      <c r="D83">
        <v>22.155668420000001</v>
      </c>
      <c r="E83">
        <v>0.14398492399999999</v>
      </c>
      <c r="F83">
        <v>17.511797489999999</v>
      </c>
      <c r="G83">
        <v>17.976486959999999</v>
      </c>
      <c r="H83">
        <v>18.746953179999998</v>
      </c>
      <c r="I83">
        <v>20.208706729999999</v>
      </c>
      <c r="J83">
        <v>22.155668420000001</v>
      </c>
      <c r="K83">
        <v>24.561746970000002</v>
      </c>
      <c r="L83">
        <v>27.27553447</v>
      </c>
      <c r="M83">
        <v>29.238059459999999</v>
      </c>
      <c r="N83">
        <v>30.68655618</v>
      </c>
      <c r="O83"/>
    </row>
    <row r="84" spans="1:15" x14ac:dyDescent="0.25">
      <c r="A84">
        <v>1</v>
      </c>
      <c r="B84" s="13">
        <v>6.708333333333333</v>
      </c>
      <c r="C84">
        <v>-1.184141975</v>
      </c>
      <c r="D84">
        <v>22.35583862</v>
      </c>
      <c r="E84">
        <v>0.144656953</v>
      </c>
      <c r="F84">
        <v>17.658948070000001</v>
      </c>
      <c r="G84">
        <v>18.128028860000001</v>
      </c>
      <c r="H84">
        <v>18.90619877</v>
      </c>
      <c r="I84">
        <v>20.384088349999999</v>
      </c>
      <c r="J84">
        <v>22.35583862</v>
      </c>
      <c r="K84">
        <v>24.79815314</v>
      </c>
      <c r="L84">
        <v>27.560807180000001</v>
      </c>
      <c r="M84">
        <v>29.56428369</v>
      </c>
      <c r="N84">
        <v>31.046166849999999</v>
      </c>
      <c r="O84"/>
    </row>
    <row r="85" spans="1:15" x14ac:dyDescent="0.25">
      <c r="A85">
        <v>1</v>
      </c>
      <c r="B85" s="13">
        <v>6.791666666666667</v>
      </c>
      <c r="C85">
        <v>-1.1973071850000001</v>
      </c>
      <c r="D85">
        <v>22.557022679999999</v>
      </c>
      <c r="E85">
        <v>0.14532700900000001</v>
      </c>
      <c r="F85">
        <v>17.806885380000001</v>
      </c>
      <c r="G85">
        <v>18.280358660000001</v>
      </c>
      <c r="H85">
        <v>19.066242219999999</v>
      </c>
      <c r="I85">
        <v>20.560320910000002</v>
      </c>
      <c r="J85">
        <v>22.557022679999999</v>
      </c>
      <c r="K85">
        <v>25.035975369999999</v>
      </c>
      <c r="L85">
        <v>27.848315379999999</v>
      </c>
      <c r="M85">
        <v>29.89365038</v>
      </c>
      <c r="N85">
        <v>31.409795429999999</v>
      </c>
      <c r="O85"/>
    </row>
    <row r="86" spans="1:15" x14ac:dyDescent="0.25">
      <c r="A86">
        <v>1</v>
      </c>
      <c r="B86" s="13">
        <v>6.875</v>
      </c>
      <c r="C86">
        <v>-1.2104750989999999</v>
      </c>
      <c r="D86">
        <v>22.75929558</v>
      </c>
      <c r="E86">
        <v>0.145996289</v>
      </c>
      <c r="F86">
        <v>17.955603140000001</v>
      </c>
      <c r="G86">
        <v>18.433480299999999</v>
      </c>
      <c r="H86">
        <v>19.227103459999999</v>
      </c>
      <c r="I86">
        <v>20.737451159999999</v>
      </c>
      <c r="J86">
        <v>22.75929558</v>
      </c>
      <c r="K86">
        <v>25.275311739999999</v>
      </c>
      <c r="L86">
        <v>28.138170630000001</v>
      </c>
      <c r="M86">
        <v>30.2262764</v>
      </c>
      <c r="N86">
        <v>31.77756321</v>
      </c>
      <c r="O86"/>
    </row>
    <row r="87" spans="1:15" x14ac:dyDescent="0.25">
      <c r="A87">
        <v>1</v>
      </c>
      <c r="B87" s="13">
        <v>6.958333333333333</v>
      </c>
      <c r="C87">
        <v>-1.223565263</v>
      </c>
      <c r="D87">
        <v>22.962734399999999</v>
      </c>
      <c r="E87">
        <v>0.14666599999999999</v>
      </c>
      <c r="F87">
        <v>18.105094709999999</v>
      </c>
      <c r="G87">
        <v>18.58739757</v>
      </c>
      <c r="H87">
        <v>19.388802640000002</v>
      </c>
      <c r="I87">
        <v>20.9155269</v>
      </c>
      <c r="J87">
        <v>22.962734399999999</v>
      </c>
      <c r="K87">
        <v>25.51626345</v>
      </c>
      <c r="L87">
        <v>28.430487320000001</v>
      </c>
      <c r="M87">
        <v>30.562279889999999</v>
      </c>
      <c r="N87">
        <v>32.149590539999998</v>
      </c>
      <c r="O87"/>
    </row>
    <row r="88" spans="1:15" x14ac:dyDescent="0.25">
      <c r="A88">
        <v>1</v>
      </c>
      <c r="B88" s="13">
        <v>7.041666666666667</v>
      </c>
      <c r="C88">
        <v>-1.236497304</v>
      </c>
      <c r="D88">
        <v>23.16741888</v>
      </c>
      <c r="E88">
        <v>0.14733737499999999</v>
      </c>
      <c r="F88">
        <v>18.255352519999999</v>
      </c>
      <c r="G88">
        <v>18.742113629999999</v>
      </c>
      <c r="H88">
        <v>19.551359890000001</v>
      </c>
      <c r="I88">
        <v>21.094597069999999</v>
      </c>
      <c r="J88">
        <v>23.16741888</v>
      </c>
      <c r="K88">
        <v>25.758935430000001</v>
      </c>
      <c r="L88">
        <v>28.72538282</v>
      </c>
      <c r="M88">
        <v>30.901779380000001</v>
      </c>
      <c r="N88">
        <v>32.525994930000003</v>
      </c>
      <c r="O88"/>
    </row>
    <row r="89" spans="1:15" x14ac:dyDescent="0.25">
      <c r="A89">
        <v>1</v>
      </c>
      <c r="B89" s="13">
        <v>7.125</v>
      </c>
      <c r="C89">
        <v>-1.2491862929999999</v>
      </c>
      <c r="D89">
        <v>23.373433410000001</v>
      </c>
      <c r="E89">
        <v>0.14801171499999999</v>
      </c>
      <c r="F89">
        <v>18.4063661</v>
      </c>
      <c r="G89">
        <v>18.897629649999999</v>
      </c>
      <c r="H89">
        <v>19.71479476</v>
      </c>
      <c r="I89">
        <v>21.274712600000001</v>
      </c>
      <c r="J89">
        <v>23.373433410000001</v>
      </c>
      <c r="K89">
        <v>26.003438809999999</v>
      </c>
      <c r="L89">
        <v>29.022978670000001</v>
      </c>
      <c r="M89">
        <v>31.244892629999999</v>
      </c>
      <c r="N89">
        <v>32.906887159999997</v>
      </c>
      <c r="O89"/>
    </row>
    <row r="90" spans="1:15" x14ac:dyDescent="0.25">
      <c r="A90">
        <v>1</v>
      </c>
      <c r="B90" s="13">
        <v>7.208333333333333</v>
      </c>
      <c r="C90">
        <v>-1.261555446</v>
      </c>
      <c r="D90">
        <v>23.58086145</v>
      </c>
      <c r="E90">
        <v>0.14869025599999999</v>
      </c>
      <c r="F90">
        <v>18.558127089999999</v>
      </c>
      <c r="G90">
        <v>19.053948349999999</v>
      </c>
      <c r="H90">
        <v>19.879127570000001</v>
      </c>
      <c r="I90">
        <v>21.455924079999999</v>
      </c>
      <c r="J90">
        <v>23.58086145</v>
      </c>
      <c r="K90">
        <v>26.249883950000001</v>
      </c>
      <c r="L90">
        <v>29.323396249999998</v>
      </c>
      <c r="M90">
        <v>31.591737340000002</v>
      </c>
      <c r="N90">
        <v>33.292377449999996</v>
      </c>
      <c r="O90"/>
    </row>
    <row r="91" spans="1:15" x14ac:dyDescent="0.25">
      <c r="A91">
        <v>1</v>
      </c>
      <c r="B91" s="13">
        <v>7.291666666666667</v>
      </c>
      <c r="C91">
        <v>-1.2735236190000001</v>
      </c>
      <c r="D91">
        <v>23.789790960000001</v>
      </c>
      <c r="E91">
        <v>0.14937429699999999</v>
      </c>
      <c r="F91">
        <v>18.710624259999999</v>
      </c>
      <c r="G91">
        <v>19.21107044</v>
      </c>
      <c r="H91">
        <v>20.044377999999998</v>
      </c>
      <c r="I91">
        <v>21.638283959999999</v>
      </c>
      <c r="J91">
        <v>23.789790960000001</v>
      </c>
      <c r="K91">
        <v>26.498387130000001</v>
      </c>
      <c r="L91">
        <v>29.626760529999999</v>
      </c>
      <c r="M91">
        <v>31.942429189999999</v>
      </c>
      <c r="N91">
        <v>33.682567169999999</v>
      </c>
      <c r="O91"/>
    </row>
    <row r="92" spans="1:15" x14ac:dyDescent="0.25">
      <c r="A92">
        <v>1</v>
      </c>
      <c r="B92" s="13">
        <v>7.375</v>
      </c>
      <c r="C92">
        <v>-1.2850137829999999</v>
      </c>
      <c r="D92">
        <v>24.000310639999999</v>
      </c>
      <c r="E92">
        <v>0.150065107</v>
      </c>
      <c r="F92">
        <v>18.863846859999999</v>
      </c>
      <c r="G92">
        <v>19.368996989999999</v>
      </c>
      <c r="H92">
        <v>20.210566029999999</v>
      </c>
      <c r="I92">
        <v>21.821845039999999</v>
      </c>
      <c r="J92">
        <v>24.000310639999999</v>
      </c>
      <c r="K92">
        <v>26.749065869999999</v>
      </c>
      <c r="L92">
        <v>29.933197020000001</v>
      </c>
      <c r="M92">
        <v>32.297082140000001</v>
      </c>
      <c r="N92">
        <v>34.077552709999999</v>
      </c>
      <c r="O92"/>
    </row>
    <row r="93" spans="1:15" x14ac:dyDescent="0.25">
      <c r="A93">
        <v>1</v>
      </c>
      <c r="B93" s="13">
        <v>7.458333333333333</v>
      </c>
      <c r="C93">
        <v>-1.2959520659999999</v>
      </c>
      <c r="D93">
        <v>24.21251028</v>
      </c>
      <c r="E93">
        <v>0.15076393299999999</v>
      </c>
      <c r="F93">
        <v>19.017784280000001</v>
      </c>
      <c r="G93">
        <v>19.527729260000001</v>
      </c>
      <c r="H93">
        <v>20.37771189</v>
      </c>
      <c r="I93">
        <v>22.00666068</v>
      </c>
      <c r="J93">
        <v>24.21251028</v>
      </c>
      <c r="K93">
        <v>27.002039249999999</v>
      </c>
      <c r="L93">
        <v>30.242831769999999</v>
      </c>
      <c r="M93">
        <v>32.655807709999998</v>
      </c>
      <c r="N93">
        <v>34.477424030000002</v>
      </c>
      <c r="O93"/>
    </row>
    <row r="94" spans="1:15" x14ac:dyDescent="0.25">
      <c r="A94">
        <v>1</v>
      </c>
      <c r="B94" s="13">
        <v>7.541666666666667</v>
      </c>
      <c r="C94">
        <v>-1.306268473</v>
      </c>
      <c r="D94">
        <v>24.426480430000002</v>
      </c>
      <c r="E94">
        <v>0.15147198200000001</v>
      </c>
      <c r="F94">
        <v>19.172426470000001</v>
      </c>
      <c r="G94">
        <v>19.68726895</v>
      </c>
      <c r="H94">
        <v>20.545836179999998</v>
      </c>
      <c r="I94">
        <v>22.19278461</v>
      </c>
      <c r="J94">
        <v>24.426480430000002</v>
      </c>
      <c r="K94">
        <v>27.257427369999998</v>
      </c>
      <c r="L94">
        <v>30.555790739999999</v>
      </c>
      <c r="M94">
        <v>33.018714490000001</v>
      </c>
      <c r="N94">
        <v>34.882264210000002</v>
      </c>
      <c r="O94"/>
    </row>
    <row r="95" spans="1:15" x14ac:dyDescent="0.25">
      <c r="A95">
        <v>1</v>
      </c>
      <c r="B95" s="13">
        <v>7.625</v>
      </c>
      <c r="C95">
        <v>-1.31589753</v>
      </c>
      <c r="D95">
        <v>24.642312</v>
      </c>
      <c r="E95">
        <v>0.152190413</v>
      </c>
      <c r="F95">
        <v>19.32776424</v>
      </c>
      <c r="G95">
        <v>19.847618480000001</v>
      </c>
      <c r="H95">
        <v>20.714960009999999</v>
      </c>
      <c r="I95">
        <v>22.38027095</v>
      </c>
      <c r="J95">
        <v>24.642312</v>
      </c>
      <c r="K95">
        <v>27.51535075</v>
      </c>
      <c r="L95">
        <v>30.87219924</v>
      </c>
      <c r="M95">
        <v>33.385907690000003</v>
      </c>
      <c r="N95">
        <v>35.292149100000003</v>
      </c>
      <c r="O95"/>
    </row>
    <row r="96" spans="1:15" x14ac:dyDescent="0.25">
      <c r="A96">
        <v>1</v>
      </c>
      <c r="B96" s="13">
        <v>7.708333333333333</v>
      </c>
      <c r="C96">
        <v>-1.324778843</v>
      </c>
      <c r="D96">
        <v>24.860095959999999</v>
      </c>
      <c r="E96">
        <v>0.152920322</v>
      </c>
      <c r="F96">
        <v>19.48378967</v>
      </c>
      <c r="G96">
        <v>20.00878127</v>
      </c>
      <c r="H96">
        <v>20.88510518</v>
      </c>
      <c r="I96">
        <v>22.569174069999999</v>
      </c>
      <c r="J96">
        <v>24.860095959999999</v>
      </c>
      <c r="K96">
        <v>27.775929820000002</v>
      </c>
      <c r="L96">
        <v>31.192181349999998</v>
      </c>
      <c r="M96">
        <v>33.757488610000003</v>
      </c>
      <c r="N96">
        <v>35.707146999999999</v>
      </c>
      <c r="O96"/>
    </row>
    <row r="97" spans="1:15" x14ac:dyDescent="0.25">
      <c r="A97">
        <v>1</v>
      </c>
      <c r="B97" s="13">
        <v>7.791666666666667</v>
      </c>
      <c r="C97">
        <v>-1.3328575810000001</v>
      </c>
      <c r="D97">
        <v>25.07992303</v>
      </c>
      <c r="E97">
        <v>0.153662731</v>
      </c>
      <c r="F97">
        <v>19.640496420000002</v>
      </c>
      <c r="G97">
        <v>20.170762079999999</v>
      </c>
      <c r="H97">
        <v>21.05629437</v>
      </c>
      <c r="I97">
        <v>22.759548580000001</v>
      </c>
      <c r="J97">
        <v>25.07992303</v>
      </c>
      <c r="K97">
        <v>28.039284380000002</v>
      </c>
      <c r="L97">
        <v>31.515859290000002</v>
      </c>
      <c r="M97">
        <v>34.133554250000003</v>
      </c>
      <c r="N97">
        <v>36.127318359999997</v>
      </c>
      <c r="O97"/>
    </row>
    <row r="98" spans="1:15" x14ac:dyDescent="0.25">
      <c r="A98">
        <v>1</v>
      </c>
      <c r="B98" s="13">
        <v>7.875</v>
      </c>
      <c r="C98">
        <v>-1.3400801950000001</v>
      </c>
      <c r="D98">
        <v>25.301885840000001</v>
      </c>
      <c r="E98">
        <v>0.154418635</v>
      </c>
      <c r="F98">
        <v>19.797877880000001</v>
      </c>
      <c r="G98">
        <v>20.333565579999998</v>
      </c>
      <c r="H98">
        <v>21.228550590000001</v>
      </c>
      <c r="I98">
        <v>22.951450189999999</v>
      </c>
      <c r="J98">
        <v>25.301885840000001</v>
      </c>
      <c r="K98">
        <v>28.30553622</v>
      </c>
      <c r="L98">
        <v>31.843354900000001</v>
      </c>
      <c r="M98">
        <v>34.514196320000003</v>
      </c>
      <c r="N98">
        <v>36.55271218</v>
      </c>
      <c r="O98"/>
    </row>
    <row r="99" spans="1:15" x14ac:dyDescent="0.25">
      <c r="A99">
        <v>1</v>
      </c>
      <c r="B99" s="13">
        <v>7.958333333333333</v>
      </c>
      <c r="C99">
        <v>-1.346412105</v>
      </c>
      <c r="D99">
        <v>25.526069769999999</v>
      </c>
      <c r="E99">
        <v>0.155188768</v>
      </c>
      <c r="F99">
        <v>19.955935740000001</v>
      </c>
      <c r="G99">
        <v>20.49720276</v>
      </c>
      <c r="H99">
        <v>21.401899969999999</v>
      </c>
      <c r="I99">
        <v>23.144932489999999</v>
      </c>
      <c r="J99">
        <v>25.526069769999999</v>
      </c>
      <c r="K99">
        <v>28.574797050000001</v>
      </c>
      <c r="L99">
        <v>32.174781609999997</v>
      </c>
      <c r="M99">
        <v>34.899502660000003</v>
      </c>
      <c r="N99">
        <v>36.983378369999997</v>
      </c>
      <c r="O99"/>
    </row>
    <row r="100" spans="1:15" x14ac:dyDescent="0.25">
      <c r="A100">
        <v>1</v>
      </c>
      <c r="B100" s="13">
        <v>8.0416666666666661</v>
      </c>
      <c r="C100">
        <v>-1.351813296</v>
      </c>
      <c r="D100">
        <v>25.752565279999999</v>
      </c>
      <c r="E100">
        <v>0.15597391199999999</v>
      </c>
      <c r="F100">
        <v>20.114668699999999</v>
      </c>
      <c r="G100">
        <v>20.661682590000002</v>
      </c>
      <c r="H100">
        <v>21.576368330000001</v>
      </c>
      <c r="I100">
        <v>23.340051519999999</v>
      </c>
      <c r="J100">
        <v>25.752565279999999</v>
      </c>
      <c r="K100">
        <v>28.847184370000001</v>
      </c>
      <c r="L100">
        <v>32.510254369999998</v>
      </c>
      <c r="M100">
        <v>35.289554260000003</v>
      </c>
      <c r="N100">
        <v>37.419349910000001</v>
      </c>
      <c r="O100"/>
    </row>
    <row r="101" spans="1:15" x14ac:dyDescent="0.25">
      <c r="A101">
        <v>1</v>
      </c>
      <c r="B101" s="13">
        <v>8.125</v>
      </c>
      <c r="C101">
        <v>-1.3562539689999999</v>
      </c>
      <c r="D101">
        <v>25.981459900000001</v>
      </c>
      <c r="E101">
        <v>0.156774684</v>
      </c>
      <c r="F101">
        <v>20.274080009999999</v>
      </c>
      <c r="G101">
        <v>20.827017720000001</v>
      </c>
      <c r="H101">
        <v>21.751983620000001</v>
      </c>
      <c r="I101">
        <v>23.53686295</v>
      </c>
      <c r="J101">
        <v>25.981459900000001</v>
      </c>
      <c r="K101">
        <v>29.12281085</v>
      </c>
      <c r="L101">
        <v>32.849882520000001</v>
      </c>
      <c r="M101">
        <v>35.684426469999998</v>
      </c>
      <c r="N101">
        <v>37.860653820000003</v>
      </c>
      <c r="O101"/>
    </row>
    <row r="102" spans="1:15" x14ac:dyDescent="0.25">
      <c r="A102">
        <v>1</v>
      </c>
      <c r="B102" s="13">
        <v>8.2083333333333339</v>
      </c>
      <c r="C102">
        <v>-1.3597108579999999</v>
      </c>
      <c r="D102">
        <v>26.212839899999999</v>
      </c>
      <c r="E102">
        <v>0.15759157900000001</v>
      </c>
      <c r="F102">
        <v>20.434176059999999</v>
      </c>
      <c r="G102">
        <v>20.993223400000002</v>
      </c>
      <c r="H102">
        <v>21.92877558</v>
      </c>
      <c r="I102">
        <v>23.73542282</v>
      </c>
      <c r="J102">
        <v>26.212839899999999</v>
      </c>
      <c r="K102">
        <v>29.401786309999999</v>
      </c>
      <c r="L102">
        <v>33.193770929999999</v>
      </c>
      <c r="M102">
        <v>36.084188230000002</v>
      </c>
      <c r="N102">
        <v>38.307308419999998</v>
      </c>
      <c r="O102"/>
    </row>
    <row r="103" spans="1:15" x14ac:dyDescent="0.25">
      <c r="A103">
        <v>1</v>
      </c>
      <c r="B103" s="13">
        <v>8.2916666666666661</v>
      </c>
      <c r="C103">
        <v>-1.362167159</v>
      </c>
      <c r="D103">
        <v>26.446790270000001</v>
      </c>
      <c r="E103">
        <v>0.158424964</v>
      </c>
      <c r="F103">
        <v>20.594966629999998</v>
      </c>
      <c r="G103">
        <v>21.16031766</v>
      </c>
      <c r="H103">
        <v>22.10677591</v>
      </c>
      <c r="I103">
        <v>23.935787609999998</v>
      </c>
      <c r="J103">
        <v>26.446790270000001</v>
      </c>
      <c r="K103">
        <v>29.684217480000001</v>
      </c>
      <c r="L103">
        <v>33.542019439999997</v>
      </c>
      <c r="M103">
        <v>36.488901759999997</v>
      </c>
      <c r="N103">
        <v>38.759323289999998</v>
      </c>
      <c r="O103"/>
    </row>
    <row r="104" spans="1:15" x14ac:dyDescent="0.25">
      <c r="A104">
        <v>1</v>
      </c>
      <c r="B104" s="13">
        <v>8.375</v>
      </c>
      <c r="C104">
        <v>-1.363612378</v>
      </c>
      <c r="D104">
        <v>26.683394570000001</v>
      </c>
      <c r="E104">
        <v>0.15927507099999999</v>
      </c>
      <c r="F104">
        <v>20.75646502</v>
      </c>
      <c r="G104">
        <v>21.32832161</v>
      </c>
      <c r="H104">
        <v>22.286018429999999</v>
      </c>
      <c r="I104">
        <v>24.138014309999999</v>
      </c>
      <c r="J104">
        <v>26.683394570000001</v>
      </c>
      <c r="K104">
        <v>29.970207670000001</v>
      </c>
      <c r="L104">
        <v>33.8947225</v>
      </c>
      <c r="M104">
        <v>36.898622150000001</v>
      </c>
      <c r="N104">
        <v>39.216699149999997</v>
      </c>
      <c r="O104"/>
    </row>
    <row r="105" spans="1:15" x14ac:dyDescent="0.25">
      <c r="A105">
        <v>1</v>
      </c>
      <c r="B105" s="13">
        <v>8.4583333333333339</v>
      </c>
      <c r="C105">
        <v>-1.3640421060000001</v>
      </c>
      <c r="D105">
        <v>26.922734940000002</v>
      </c>
      <c r="E105">
        <v>0.16014199500000001</v>
      </c>
      <c r="F105">
        <v>20.918688320000001</v>
      </c>
      <c r="G105">
        <v>21.497259509999999</v>
      </c>
      <c r="H105">
        <v>22.466539239999999</v>
      </c>
      <c r="I105">
        <v>24.342160530000001</v>
      </c>
      <c r="J105">
        <v>26.922734940000002</v>
      </c>
      <c r="K105">
        <v>30.25985653</v>
      </c>
      <c r="L105">
        <v>34.251968750000003</v>
      </c>
      <c r="M105">
        <v>37.313397119999998</v>
      </c>
      <c r="N105">
        <v>39.679427830000002</v>
      </c>
      <c r="O105"/>
    </row>
    <row r="106" spans="1:15" x14ac:dyDescent="0.25">
      <c r="A106">
        <v>1</v>
      </c>
      <c r="B106" s="13">
        <v>8.5416666666666661</v>
      </c>
      <c r="C106">
        <v>-1.3634578289999999</v>
      </c>
      <c r="D106">
        <v>27.164891990000001</v>
      </c>
      <c r="E106">
        <v>0.161025689</v>
      </c>
      <c r="F106">
        <v>21.081657580000002</v>
      </c>
      <c r="G106">
        <v>21.66715902</v>
      </c>
      <c r="H106">
        <v>22.64837687</v>
      </c>
      <c r="I106">
        <v>24.548284580000001</v>
      </c>
      <c r="J106">
        <v>27.164891990000001</v>
      </c>
      <c r="K106">
        <v>30.553259799999999</v>
      </c>
      <c r="L106">
        <v>34.613840609999997</v>
      </c>
      <c r="M106">
        <v>37.733266690000001</v>
      </c>
      <c r="N106">
        <v>40.14749235</v>
      </c>
      <c r="O106"/>
    </row>
    <row r="107" spans="1:15" x14ac:dyDescent="0.25">
      <c r="A107">
        <v>1</v>
      </c>
      <c r="B107" s="13">
        <v>8.625</v>
      </c>
      <c r="C107">
        <v>-1.3618656689999999</v>
      </c>
      <c r="D107">
        <v>27.409945390000001</v>
      </c>
      <c r="E107">
        <v>0.161925976</v>
      </c>
      <c r="F107">
        <v>21.245397409999999</v>
      </c>
      <c r="G107">
        <v>21.838050930000001</v>
      </c>
      <c r="H107">
        <v>22.831572260000002</v>
      </c>
      <c r="I107">
        <v>24.7564457</v>
      </c>
      <c r="J107">
        <v>27.409945390000001</v>
      </c>
      <c r="K107">
        <v>30.850509859999999</v>
      </c>
      <c r="L107">
        <v>34.980414469999999</v>
      </c>
      <c r="M107">
        <v>38.158262870000001</v>
      </c>
      <c r="N107">
        <v>40.620866059999997</v>
      </c>
      <c r="O107"/>
    </row>
    <row r="108" spans="1:15" x14ac:dyDescent="0.25">
      <c r="A108">
        <v>1</v>
      </c>
      <c r="B108" s="13">
        <v>8.7083333333333339</v>
      </c>
      <c r="C108">
        <v>-1.3592826099999999</v>
      </c>
      <c r="D108">
        <v>27.657969779999998</v>
      </c>
      <c r="E108">
        <v>0.162842452</v>
      </c>
      <c r="F108">
        <v>21.409939869999999</v>
      </c>
      <c r="G108">
        <v>22.00997207</v>
      </c>
      <c r="H108">
        <v>23.016170070000001</v>
      </c>
      <c r="I108">
        <v>24.966702810000001</v>
      </c>
      <c r="J108">
        <v>27.657969779999998</v>
      </c>
      <c r="K108">
        <v>31.151690089999999</v>
      </c>
      <c r="L108">
        <v>35.351756760000001</v>
      </c>
      <c r="M108">
        <v>38.588410099999997</v>
      </c>
      <c r="N108">
        <v>41.099518740000001</v>
      </c>
      <c r="O108"/>
    </row>
    <row r="109" spans="1:15" x14ac:dyDescent="0.25">
      <c r="A109">
        <v>1</v>
      </c>
      <c r="B109" s="13">
        <v>8.7916666666666661</v>
      </c>
      <c r="C109">
        <v>-1.355720571</v>
      </c>
      <c r="D109">
        <v>27.90904433</v>
      </c>
      <c r="E109">
        <v>0.16377471900000001</v>
      </c>
      <c r="F109">
        <v>21.575315750000001</v>
      </c>
      <c r="G109">
        <v>22.182958840000001</v>
      </c>
      <c r="H109">
        <v>23.202215930000001</v>
      </c>
      <c r="I109">
        <v>25.179117850000001</v>
      </c>
      <c r="J109">
        <v>27.90904433</v>
      </c>
      <c r="K109">
        <v>31.45688766</v>
      </c>
      <c r="L109">
        <v>35.727932250000002</v>
      </c>
      <c r="M109">
        <v>39.023723429999997</v>
      </c>
      <c r="N109">
        <v>41.583402370000002</v>
      </c>
      <c r="O109"/>
    </row>
    <row r="110" spans="1:15" x14ac:dyDescent="0.25">
      <c r="A110">
        <v>1</v>
      </c>
      <c r="B110" s="13">
        <v>8.875</v>
      </c>
      <c r="C110">
        <v>-1.351202536</v>
      </c>
      <c r="D110">
        <v>28.16324264</v>
      </c>
      <c r="E110">
        <v>0.16472213799999999</v>
      </c>
      <c r="F110">
        <v>21.74156399</v>
      </c>
      <c r="G110">
        <v>22.357054290000001</v>
      </c>
      <c r="H110">
        <v>23.389759560000002</v>
      </c>
      <c r="I110">
        <v>25.393752379999999</v>
      </c>
      <c r="J110">
        <v>28.16324264</v>
      </c>
      <c r="K110">
        <v>31.766179730000001</v>
      </c>
      <c r="L110">
        <v>36.108994719999998</v>
      </c>
      <c r="M110">
        <v>39.46421007</v>
      </c>
      <c r="N110">
        <v>42.07246636</v>
      </c>
      <c r="O110"/>
    </row>
    <row r="111" spans="1:15" x14ac:dyDescent="0.25">
      <c r="A111">
        <v>1</v>
      </c>
      <c r="B111" s="13">
        <v>8.9583333333333339</v>
      </c>
      <c r="C111">
        <v>-1.3457544079999999</v>
      </c>
      <c r="D111">
        <v>28.42063744</v>
      </c>
      <c r="E111">
        <v>0.165683945</v>
      </c>
      <c r="F111">
        <v>21.908727389999999</v>
      </c>
      <c r="G111">
        <v>22.532304920000001</v>
      </c>
      <c r="H111">
        <v>23.57885344</v>
      </c>
      <c r="I111">
        <v>25.610669250000001</v>
      </c>
      <c r="J111">
        <v>28.42063744</v>
      </c>
      <c r="K111">
        <v>32.079639649999997</v>
      </c>
      <c r="L111">
        <v>36.494991020000001</v>
      </c>
      <c r="M111">
        <v>39.909868539999998</v>
      </c>
      <c r="N111">
        <v>42.566650660000001</v>
      </c>
      <c r="O111"/>
    </row>
    <row r="112" spans="1:15" x14ac:dyDescent="0.25">
      <c r="A112">
        <v>1</v>
      </c>
      <c r="B112" s="13">
        <v>9.0416666666666661</v>
      </c>
      <c r="C112">
        <v>-1.3394054529999999</v>
      </c>
      <c r="D112">
        <v>28.681300050000001</v>
      </c>
      <c r="E112">
        <v>0.16665924700000001</v>
      </c>
      <c r="F112">
        <v>22.07685313</v>
      </c>
      <c r="G112">
        <v>22.708761079999999</v>
      </c>
      <c r="H112">
        <v>23.769552999999998</v>
      </c>
      <c r="I112">
        <v>25.829932429999999</v>
      </c>
      <c r="J112">
        <v>28.681300050000001</v>
      </c>
      <c r="K112">
        <v>32.397336250000002</v>
      </c>
      <c r="L112">
        <v>36.885960400000002</v>
      </c>
      <c r="M112">
        <v>40.360688580000001</v>
      </c>
      <c r="N112">
        <v>43.065886620000001</v>
      </c>
      <c r="O112"/>
    </row>
    <row r="113" spans="1:15" x14ac:dyDescent="0.25">
      <c r="A113">
        <v>1</v>
      </c>
      <c r="B113" s="13">
        <v>9.125</v>
      </c>
      <c r="C113">
        <v>-1.3321880930000001</v>
      </c>
      <c r="D113">
        <v>28.945300289999999</v>
      </c>
      <c r="E113">
        <v>0.16764701700000001</v>
      </c>
      <c r="F113">
        <v>22.24599293</v>
      </c>
      <c r="G113">
        <v>22.8864771</v>
      </c>
      <c r="H113">
        <v>23.961916720000001</v>
      </c>
      <c r="I113">
        <v>26.05160708</v>
      </c>
      <c r="J113">
        <v>28.945300289999999</v>
      </c>
      <c r="K113">
        <v>32.719333509999998</v>
      </c>
      <c r="L113">
        <v>37.28193426</v>
      </c>
      <c r="M113">
        <v>40.81665117</v>
      </c>
      <c r="N113">
        <v>43.570097390000001</v>
      </c>
      <c r="O113"/>
    </row>
    <row r="114" spans="1:15" x14ac:dyDescent="0.25">
      <c r="A114">
        <v>1</v>
      </c>
      <c r="B114" s="13">
        <v>9.2083333333333339</v>
      </c>
      <c r="C114">
        <v>-1.324137479</v>
      </c>
      <c r="D114">
        <v>29.212706449999999</v>
      </c>
      <c r="E114">
        <v>0.16864610399999999</v>
      </c>
      <c r="F114">
        <v>22.416203020000001</v>
      </c>
      <c r="G114">
        <v>23.06551129</v>
      </c>
      <c r="H114">
        <v>24.156006120000001</v>
      </c>
      <c r="I114">
        <v>26.27575951</v>
      </c>
      <c r="J114">
        <v>29.212706449999999</v>
      </c>
      <c r="K114">
        <v>33.045690550000003</v>
      </c>
      <c r="L114">
        <v>37.682936079999998</v>
      </c>
      <c r="M114">
        <v>41.27772848</v>
      </c>
      <c r="N114">
        <v>44.079198089999998</v>
      </c>
      <c r="O114"/>
    </row>
    <row r="115" spans="1:15" x14ac:dyDescent="0.25">
      <c r="A115">
        <v>1</v>
      </c>
      <c r="B115" s="13">
        <v>9.2916666666666661</v>
      </c>
      <c r="C115">
        <v>-1.315291073</v>
      </c>
      <c r="D115">
        <v>29.483585269999999</v>
      </c>
      <c r="E115">
        <v>0.16965523499999999</v>
      </c>
      <c r="F115">
        <v>22.587544139999999</v>
      </c>
      <c r="G115">
        <v>23.245925929999999</v>
      </c>
      <c r="H115">
        <v>24.351885769999999</v>
      </c>
      <c r="I115">
        <v>26.502457190000001</v>
      </c>
      <c r="J115">
        <v>29.483585269999999</v>
      </c>
      <c r="K115">
        <v>33.376461569999996</v>
      </c>
      <c r="L115">
        <v>38.088981330000003</v>
      </c>
      <c r="M115">
        <v>41.743883920000002</v>
      </c>
      <c r="N115">
        <v>44.59309597</v>
      </c>
      <c r="O115"/>
    </row>
    <row r="116" spans="1:15" x14ac:dyDescent="0.25">
      <c r="A116">
        <v>1</v>
      </c>
      <c r="B116" s="13">
        <v>9.375</v>
      </c>
      <c r="C116">
        <v>-1.3056882400000001</v>
      </c>
      <c r="D116">
        <v>29.75800198</v>
      </c>
      <c r="E116">
        <v>0.17067302200000001</v>
      </c>
      <c r="F116">
        <v>22.760081450000001</v>
      </c>
      <c r="G116">
        <v>23.42778723</v>
      </c>
      <c r="H116">
        <v>24.549623239999999</v>
      </c>
      <c r="I116">
        <v>26.731768760000001</v>
      </c>
      <c r="J116">
        <v>29.75800198</v>
      </c>
      <c r="K116">
        <v>33.711695800000001</v>
      </c>
      <c r="L116">
        <v>38.500077439999998</v>
      </c>
      <c r="M116">
        <v>42.215072159999998</v>
      </c>
      <c r="N116">
        <v>45.111690639999999</v>
      </c>
      <c r="O116"/>
    </row>
    <row r="117" spans="1:15" x14ac:dyDescent="0.25">
      <c r="A117">
        <v>1</v>
      </c>
      <c r="B117" s="13">
        <v>9.4583333333333339</v>
      </c>
      <c r="C117">
        <v>-1.295369867</v>
      </c>
      <c r="D117">
        <v>30.03602021</v>
      </c>
      <c r="E117">
        <v>0.17169797000000001</v>
      </c>
      <c r="F117">
        <v>22.933884490000001</v>
      </c>
      <c r="G117">
        <v>23.611165239999998</v>
      </c>
      <c r="H117">
        <v>24.749289109999999</v>
      </c>
      <c r="I117">
        <v>26.96376399</v>
      </c>
      <c r="J117">
        <v>30.03602021</v>
      </c>
      <c r="K117">
        <v>34.051437470000003</v>
      </c>
      <c r="L117">
        <v>38.916223799999997</v>
      </c>
      <c r="M117">
        <v>42.69123922</v>
      </c>
      <c r="N117">
        <v>45.634874330000002</v>
      </c>
      <c r="O117"/>
    </row>
    <row r="118" spans="1:15" x14ac:dyDescent="0.25">
      <c r="A118">
        <v>1</v>
      </c>
      <c r="B118" s="13">
        <v>9.5416666666666661</v>
      </c>
      <c r="C118">
        <v>-1.284374967</v>
      </c>
      <c r="D118">
        <v>30.317704169999999</v>
      </c>
      <c r="E118">
        <v>0.17272854000000001</v>
      </c>
      <c r="F118">
        <v>23.10902476</v>
      </c>
      <c r="G118">
        <v>23.796132020000002</v>
      </c>
      <c r="H118">
        <v>24.950955919999998</v>
      </c>
      <c r="I118">
        <v>27.198514320000001</v>
      </c>
      <c r="J118">
        <v>30.317704169999999</v>
      </c>
      <c r="K118">
        <v>34.395728939999998</v>
      </c>
      <c r="L118">
        <v>39.337414010000003</v>
      </c>
      <c r="M118">
        <v>43.17232241</v>
      </c>
      <c r="N118">
        <v>46.16252884</v>
      </c>
      <c r="O118"/>
    </row>
    <row r="119" spans="1:15" x14ac:dyDescent="0.25">
      <c r="A119">
        <v>1</v>
      </c>
      <c r="B119" s="13">
        <v>9.625</v>
      </c>
      <c r="C119">
        <v>-1.272750864</v>
      </c>
      <c r="D119">
        <v>30.603111070000001</v>
      </c>
      <c r="E119">
        <v>0.17376296099999999</v>
      </c>
      <c r="F119">
        <v>23.285583670000001</v>
      </c>
      <c r="G119">
        <v>23.98276774</v>
      </c>
      <c r="H119">
        <v>25.154701289999998</v>
      </c>
      <c r="I119">
        <v>27.436090719999999</v>
      </c>
      <c r="J119">
        <v>30.603111070000001</v>
      </c>
      <c r="K119">
        <v>34.744599819999998</v>
      </c>
      <c r="L119">
        <v>39.763628150000002</v>
      </c>
      <c r="M119">
        <v>43.658251059999998</v>
      </c>
      <c r="N119">
        <v>46.694536970000001</v>
      </c>
      <c r="O119"/>
    </row>
    <row r="120" spans="1:15" x14ac:dyDescent="0.25">
      <c r="A120">
        <v>1</v>
      </c>
      <c r="B120" s="13">
        <v>9.7083333333333339</v>
      </c>
      <c r="C120">
        <v>-1.2605391930000001</v>
      </c>
      <c r="D120">
        <v>30.892300720000001</v>
      </c>
      <c r="E120">
        <v>0.174799493</v>
      </c>
      <c r="F120">
        <v>23.46364195</v>
      </c>
      <c r="G120">
        <v>24.171152459999998</v>
      </c>
      <c r="H120">
        <v>25.360603680000001</v>
      </c>
      <c r="I120">
        <v>27.67656629</v>
      </c>
      <c r="J120">
        <v>30.892300720000001</v>
      </c>
      <c r="K120">
        <v>35.098080920000001</v>
      </c>
      <c r="L120">
        <v>40.194842909999998</v>
      </c>
      <c r="M120">
        <v>44.148945980000001</v>
      </c>
      <c r="N120">
        <v>47.230768529999999</v>
      </c>
      <c r="O120"/>
    </row>
    <row r="121" spans="1:15" x14ac:dyDescent="0.25">
      <c r="A121">
        <v>1</v>
      </c>
      <c r="B121" s="13">
        <v>9.7916666666666661</v>
      </c>
      <c r="C121">
        <v>-1.247783611</v>
      </c>
      <c r="D121">
        <v>31.185329840000001</v>
      </c>
      <c r="E121">
        <v>0.17583628400000001</v>
      </c>
      <c r="F121">
        <v>23.643285599999999</v>
      </c>
      <c r="G121">
        <v>24.361370730000001</v>
      </c>
      <c r="H121">
        <v>25.56874466</v>
      </c>
      <c r="I121">
        <v>27.92001453</v>
      </c>
      <c r="J121">
        <v>31.185329840000001</v>
      </c>
      <c r="K121">
        <v>35.456196079999998</v>
      </c>
      <c r="L121">
        <v>40.63102576</v>
      </c>
      <c r="M121">
        <v>44.64432008</v>
      </c>
      <c r="N121">
        <v>47.771088929999998</v>
      </c>
      <c r="O121"/>
    </row>
    <row r="122" spans="1:15" x14ac:dyDescent="0.25">
      <c r="A122">
        <v>1</v>
      </c>
      <c r="B122" s="13">
        <v>9.875</v>
      </c>
      <c r="C122">
        <v>-1.234527763</v>
      </c>
      <c r="D122">
        <v>31.482253149999998</v>
      </c>
      <c r="E122">
        <v>0.176871417</v>
      </c>
      <c r="F122">
        <v>23.824604399999998</v>
      </c>
      <c r="G122">
        <v>24.553510419999999</v>
      </c>
      <c r="H122">
        <v>25.77920825</v>
      </c>
      <c r="I122">
        <v>28.16650963</v>
      </c>
      <c r="J122">
        <v>31.482253149999998</v>
      </c>
      <c r="K122">
        <v>35.818963910000001</v>
      </c>
      <c r="L122">
        <v>41.07213642</v>
      </c>
      <c r="M122">
        <v>45.144278499999999</v>
      </c>
      <c r="N122">
        <v>48.315357679999998</v>
      </c>
      <c r="O122"/>
    </row>
    <row r="123" spans="1:15" x14ac:dyDescent="0.25">
      <c r="A123">
        <v>1</v>
      </c>
      <c r="B123" s="13">
        <v>9.9583333333333339</v>
      </c>
      <c r="C123">
        <v>-1.2208150470000001</v>
      </c>
      <c r="D123">
        <v>31.783123289999999</v>
      </c>
      <c r="E123">
        <v>0.177902912</v>
      </c>
      <c r="F123">
        <v>24.007691730000001</v>
      </c>
      <c r="G123">
        <v>24.74766249</v>
      </c>
      <c r="H123">
        <v>25.992080720000001</v>
      </c>
      <c r="I123">
        <v>28.41612623</v>
      </c>
      <c r="J123">
        <v>31.783123289999999</v>
      </c>
      <c r="K123">
        <v>36.186397759999998</v>
      </c>
      <c r="L123">
        <v>41.518126870000003</v>
      </c>
      <c r="M123">
        <v>45.648718850000002</v>
      </c>
      <c r="N123">
        <v>48.863428769999999</v>
      </c>
      <c r="O123"/>
    </row>
    <row r="124" spans="1:15" x14ac:dyDescent="0.25">
      <c r="A124">
        <v>1</v>
      </c>
      <c r="B124" s="13">
        <v>10.041666666666666</v>
      </c>
      <c r="C124">
        <v>-1.2066884069999999</v>
      </c>
      <c r="D124">
        <v>32.087990619999999</v>
      </c>
      <c r="E124">
        <v>0.17892874</v>
      </c>
      <c r="F124">
        <v>24.19264433</v>
      </c>
      <c r="G124">
        <v>24.94392079</v>
      </c>
      <c r="H124">
        <v>26.207450420000001</v>
      </c>
      <c r="I124">
        <v>28.66893932</v>
      </c>
      <c r="J124">
        <v>32.087990619999999</v>
      </c>
      <c r="K124">
        <v>36.55850564</v>
      </c>
      <c r="L124">
        <v>41.968941579999999</v>
      </c>
      <c r="M124">
        <v>46.157531540000001</v>
      </c>
      <c r="N124">
        <v>49.415151039999998</v>
      </c>
      <c r="O124"/>
    </row>
    <row r="125" spans="1:15" x14ac:dyDescent="0.25">
      <c r="A125">
        <v>1</v>
      </c>
      <c r="B125" s="13">
        <v>10.125</v>
      </c>
      <c r="C125">
        <v>-1.1921901500000001</v>
      </c>
      <c r="D125">
        <v>32.396903129999998</v>
      </c>
      <c r="E125">
        <v>0.17994683</v>
      </c>
      <c r="F125">
        <v>24.379562109999998</v>
      </c>
      <c r="G125">
        <v>25.142381889999999</v>
      </c>
      <c r="H125">
        <v>26.425407539999998</v>
      </c>
      <c r="I125">
        <v>28.92502395</v>
      </c>
      <c r="J125">
        <v>32.396903129999998</v>
      </c>
      <c r="K125">
        <v>36.935290199999997</v>
      </c>
      <c r="L125">
        <v>42.424517549999997</v>
      </c>
      <c r="M125">
        <v>46.670600059999998</v>
      </c>
      <c r="N125">
        <v>49.970368520000001</v>
      </c>
      <c r="O125"/>
    </row>
    <row r="126" spans="1:15" x14ac:dyDescent="0.25">
      <c r="A126">
        <v>1</v>
      </c>
      <c r="B126" s="13">
        <v>10.208333333333334</v>
      </c>
      <c r="C126">
        <v>-1.1773617860000001</v>
      </c>
      <c r="D126">
        <v>32.709906199999999</v>
      </c>
      <c r="E126">
        <v>0.18095507799999999</v>
      </c>
      <c r="F126">
        <v>24.568547899999999</v>
      </c>
      <c r="G126">
        <v>25.34314479</v>
      </c>
      <c r="H126">
        <v>26.646043880000001</v>
      </c>
      <c r="I126">
        <v>29.18445509</v>
      </c>
      <c r="J126">
        <v>32.709906199999999</v>
      </c>
      <c r="K126">
        <v>37.316748670000003</v>
      </c>
      <c r="L126">
        <v>42.884784570000001</v>
      </c>
      <c r="M126">
        <v>47.187801280000002</v>
      </c>
      <c r="N126">
        <v>50.528920880000001</v>
      </c>
      <c r="O126"/>
    </row>
    <row r="127" spans="1:15" x14ac:dyDescent="0.25">
      <c r="A127">
        <v>1</v>
      </c>
      <c r="B127" s="13">
        <v>10.291666666666666</v>
      </c>
      <c r="C127">
        <v>-1.1622438939999999</v>
      </c>
      <c r="D127">
        <v>33.027042440000002</v>
      </c>
      <c r="E127">
        <v>0.18195136100000001</v>
      </c>
      <c r="F127">
        <v>24.759707169999999</v>
      </c>
      <c r="G127">
        <v>25.546310649999999</v>
      </c>
      <c r="H127">
        <v>26.869452590000002</v>
      </c>
      <c r="I127">
        <v>29.447307330000001</v>
      </c>
      <c r="J127">
        <v>33.027042440000002</v>
      </c>
      <c r="K127">
        <v>37.702872759999998</v>
      </c>
      <c r="L127">
        <v>43.349665309999999</v>
      </c>
      <c r="M127">
        <v>47.709005820000002</v>
      </c>
      <c r="N127">
        <v>51.090643810000003</v>
      </c>
      <c r="O127"/>
    </row>
    <row r="128" spans="1:15" x14ac:dyDescent="0.25">
      <c r="A128">
        <v>1</v>
      </c>
      <c r="B128" s="13">
        <v>10.375</v>
      </c>
      <c r="C128">
        <v>-1.1468760069999999</v>
      </c>
      <c r="D128">
        <v>33.348351479999998</v>
      </c>
      <c r="E128">
        <v>0.18293353700000001</v>
      </c>
      <c r="F128">
        <v>24.95314776</v>
      </c>
      <c r="G128">
        <v>25.751982559999998</v>
      </c>
      <c r="H128">
        <v>27.095727879999998</v>
      </c>
      <c r="I128">
        <v>29.713654600000002</v>
      </c>
      <c r="J128">
        <v>33.348351479999998</v>
      </c>
      <c r="K128">
        <v>38.093648649999999</v>
      </c>
      <c r="L128">
        <v>43.81907554</v>
      </c>
      <c r="M128">
        <v>48.234078390000001</v>
      </c>
      <c r="N128">
        <v>51.655369409999999</v>
      </c>
      <c r="O128"/>
    </row>
    <row r="129" spans="1:15" x14ac:dyDescent="0.25">
      <c r="A129">
        <v>1</v>
      </c>
      <c r="B129" s="13">
        <v>10.458333333333334</v>
      </c>
      <c r="C129">
        <v>-1.1312965239999999</v>
      </c>
      <c r="D129">
        <v>33.67386973</v>
      </c>
      <c r="E129">
        <v>0.18389946500000001</v>
      </c>
      <c r="F129">
        <v>25.148979560000001</v>
      </c>
      <c r="G129">
        <v>25.960265150000001</v>
      </c>
      <c r="H129">
        <v>27.324964720000001</v>
      </c>
      <c r="I129">
        <v>29.983569970000001</v>
      </c>
      <c r="J129">
        <v>33.67386973</v>
      </c>
      <c r="K129">
        <v>38.489056869999999</v>
      </c>
      <c r="L129">
        <v>44.292924309999997</v>
      </c>
      <c r="M129">
        <v>48.76287816</v>
      </c>
      <c r="N129">
        <v>52.22292668</v>
      </c>
      <c r="O129"/>
    </row>
    <row r="130" spans="1:15" x14ac:dyDescent="0.25">
      <c r="A130">
        <v>1</v>
      </c>
      <c r="B130" s="13">
        <v>10.541666666666666</v>
      </c>
      <c r="C130">
        <v>-1.1155426340000001</v>
      </c>
      <c r="D130">
        <v>34.003630170000001</v>
      </c>
      <c r="E130">
        <v>0.18484700600000001</v>
      </c>
      <c r="F130">
        <v>25.3473142</v>
      </c>
      <c r="G130">
        <v>26.171264359999999</v>
      </c>
      <c r="H130">
        <v>27.557258520000001</v>
      </c>
      <c r="I130">
        <v>30.25712523</v>
      </c>
      <c r="J130">
        <v>34.003630170000001</v>
      </c>
      <c r="K130">
        <v>38.889072280000001</v>
      </c>
      <c r="L130">
        <v>44.771114150000002</v>
      </c>
      <c r="M130">
        <v>49.295259139999999</v>
      </c>
      <c r="N130">
        <v>52.793141869999999</v>
      </c>
      <c r="O130"/>
    </row>
    <row r="131" spans="1:15" x14ac:dyDescent="0.25">
      <c r="A131">
        <v>1</v>
      </c>
      <c r="B131" s="13">
        <v>10.625</v>
      </c>
      <c r="C131">
        <v>-1.0996502669999999</v>
      </c>
      <c r="D131">
        <v>34.33766207</v>
      </c>
      <c r="E131">
        <v>0.185774041</v>
      </c>
      <c r="F131">
        <v>25.548264710000002</v>
      </c>
      <c r="G131">
        <v>26.385086990000001</v>
      </c>
      <c r="H131">
        <v>27.792704780000001</v>
      </c>
      <c r="I131">
        <v>30.534390649999999</v>
      </c>
      <c r="J131">
        <v>34.33766207</v>
      </c>
      <c r="K131">
        <v>39.293663960000003</v>
      </c>
      <c r="L131">
        <v>45.253541300000002</v>
      </c>
      <c r="M131">
        <v>49.831070580000002</v>
      </c>
      <c r="N131">
        <v>53.365838969999999</v>
      </c>
      <c r="O131"/>
    </row>
    <row r="132" spans="1:15" x14ac:dyDescent="0.25">
      <c r="A132">
        <v>1</v>
      </c>
      <c r="B132" s="13">
        <v>10.708333333333334</v>
      </c>
      <c r="C132">
        <v>-1.083654055</v>
      </c>
      <c r="D132">
        <v>34.675990759999998</v>
      </c>
      <c r="E132">
        <v>0.18667847000000001</v>
      </c>
      <c r="F132">
        <v>25.751945119999998</v>
      </c>
      <c r="G132">
        <v>26.60184044</v>
      </c>
      <c r="H132">
        <v>28.031398719999999</v>
      </c>
      <c r="I132">
        <v>30.8154346</v>
      </c>
      <c r="J132">
        <v>34.675990759999998</v>
      </c>
      <c r="K132">
        <v>39.702795170000002</v>
      </c>
      <c r="L132">
        <v>45.740095889999999</v>
      </c>
      <c r="M132">
        <v>50.370157319999997</v>
      </c>
      <c r="N132">
        <v>53.940840119999997</v>
      </c>
      <c r="O132"/>
    </row>
    <row r="133" spans="1:15" x14ac:dyDescent="0.25">
      <c r="A133">
        <v>1</v>
      </c>
      <c r="B133" s="13">
        <v>10.791666666666666</v>
      </c>
      <c r="C133">
        <v>-1.0675873140000001</v>
      </c>
      <c r="D133">
        <v>35.018637320000003</v>
      </c>
      <c r="E133">
        <v>0.18755822899999999</v>
      </c>
      <c r="F133">
        <v>25.95847011</v>
      </c>
      <c r="G133">
        <v>26.82163224</v>
      </c>
      <c r="H133">
        <v>28.273434890000001</v>
      </c>
      <c r="I133">
        <v>31.100323199999998</v>
      </c>
      <c r="J133">
        <v>35.018637320000003</v>
      </c>
      <c r="K133">
        <v>40.116423230000002</v>
      </c>
      <c r="L133">
        <v>46.230662189999997</v>
      </c>
      <c r="M133">
        <v>50.912360239999998</v>
      </c>
      <c r="N133">
        <v>54.517966049999998</v>
      </c>
      <c r="O133"/>
    </row>
    <row r="134" spans="1:15" x14ac:dyDescent="0.25">
      <c r="A134">
        <v>1</v>
      </c>
      <c r="B134" s="13">
        <v>10.875</v>
      </c>
      <c r="C134">
        <v>-1.0514829720000001</v>
      </c>
      <c r="D134">
        <v>35.365617370000002</v>
      </c>
      <c r="E134">
        <v>0.18841127999999999</v>
      </c>
      <c r="F134">
        <v>26.167955589999998</v>
      </c>
      <c r="G134">
        <v>27.044570400000001</v>
      </c>
      <c r="H134">
        <v>28.51890714</v>
      </c>
      <c r="I134">
        <v>31.38911963</v>
      </c>
      <c r="J134">
        <v>35.365617370000002</v>
      </c>
      <c r="K134">
        <v>40.534498190000001</v>
      </c>
      <c r="L134">
        <v>46.725117930000003</v>
      </c>
      <c r="M134">
        <v>51.45751679</v>
      </c>
      <c r="N134">
        <v>55.097037929999999</v>
      </c>
      <c r="O134"/>
    </row>
    <row r="135" spans="1:15" x14ac:dyDescent="0.25">
      <c r="A135">
        <v>1</v>
      </c>
      <c r="B135" s="13">
        <v>10.958333333333334</v>
      </c>
      <c r="C135">
        <v>-1.0353673210000001</v>
      </c>
      <c r="D135">
        <v>35.716947230000002</v>
      </c>
      <c r="E135">
        <v>0.18923573799999999</v>
      </c>
      <c r="F135">
        <v>26.380511769999998</v>
      </c>
      <c r="G135">
        <v>27.270758180000001</v>
      </c>
      <c r="H135">
        <v>28.767905859999999</v>
      </c>
      <c r="I135">
        <v>31.6818858</v>
      </c>
      <c r="J135">
        <v>35.716947230000002</v>
      </c>
      <c r="K135">
        <v>40.956971520000003</v>
      </c>
      <c r="L135">
        <v>47.223340489999998</v>
      </c>
      <c r="M135">
        <v>52.005460390000003</v>
      </c>
      <c r="N135">
        <v>55.677868429999997</v>
      </c>
      <c r="O135"/>
    </row>
    <row r="136" spans="1:15" x14ac:dyDescent="0.25">
      <c r="A136">
        <v>1</v>
      </c>
      <c r="B136" s="13">
        <v>11.041666666666666</v>
      </c>
      <c r="C136">
        <v>-1.0192772990000001</v>
      </c>
      <c r="D136">
        <v>36.072625690000002</v>
      </c>
      <c r="E136">
        <v>0.19002954499999999</v>
      </c>
      <c r="F136">
        <v>26.596260619999999</v>
      </c>
      <c r="G136">
        <v>27.500306940000002</v>
      </c>
      <c r="H136">
        <v>29.020523919999999</v>
      </c>
      <c r="I136">
        <v>31.978676220000001</v>
      </c>
      <c r="J136">
        <v>36.072625690000002</v>
      </c>
      <c r="K136">
        <v>41.383771619999997</v>
      </c>
      <c r="L136">
        <v>47.725190720000001</v>
      </c>
      <c r="M136">
        <v>52.556023629999999</v>
      </c>
      <c r="N136">
        <v>56.260288009999996</v>
      </c>
      <c r="O136"/>
    </row>
    <row r="137" spans="1:15" x14ac:dyDescent="0.25">
      <c r="A137">
        <v>1</v>
      </c>
      <c r="B137" s="13">
        <v>11.125</v>
      </c>
      <c r="C137">
        <v>-1.003235326</v>
      </c>
      <c r="D137">
        <v>36.432659960000002</v>
      </c>
      <c r="E137">
        <v>0.190790973</v>
      </c>
      <c r="F137">
        <v>26.815309339999999</v>
      </c>
      <c r="G137">
        <v>27.73331628</v>
      </c>
      <c r="H137">
        <v>29.27684696</v>
      </c>
      <c r="I137">
        <v>32.279546009999997</v>
      </c>
      <c r="J137">
        <v>36.432659960000002</v>
      </c>
      <c r="K137">
        <v>41.814839550000002</v>
      </c>
      <c r="L137">
        <v>48.230537140000003</v>
      </c>
      <c r="M137">
        <v>53.109034520000002</v>
      </c>
      <c r="N137">
        <v>56.844107559999998</v>
      </c>
      <c r="O137"/>
    </row>
    <row r="138" spans="1:15" x14ac:dyDescent="0.25">
      <c r="A138">
        <v>1</v>
      </c>
      <c r="B138" s="13">
        <v>11.208333333333334</v>
      </c>
      <c r="C138">
        <v>-0.987269866</v>
      </c>
      <c r="D138">
        <v>36.79704392</v>
      </c>
      <c r="E138">
        <v>0.19151822399999999</v>
      </c>
      <c r="F138">
        <v>27.037771119999999</v>
      </c>
      <c r="G138">
        <v>27.969889370000001</v>
      </c>
      <c r="H138">
        <v>29.536960449999999</v>
      </c>
      <c r="I138">
        <v>32.58454356</v>
      </c>
      <c r="J138">
        <v>36.79704392</v>
      </c>
      <c r="K138">
        <v>42.250099689999999</v>
      </c>
      <c r="L138">
        <v>48.73923662</v>
      </c>
      <c r="M138">
        <v>53.664320340000003</v>
      </c>
      <c r="N138">
        <v>57.429149610000003</v>
      </c>
      <c r="O138"/>
    </row>
    <row r="139" spans="1:15" x14ac:dyDescent="0.25">
      <c r="A139">
        <v>1</v>
      </c>
      <c r="B139" s="13">
        <v>11.291666666666666</v>
      </c>
      <c r="C139">
        <v>-0.97140660899999998</v>
      </c>
      <c r="D139">
        <v>37.165767099999997</v>
      </c>
      <c r="E139">
        <v>0.192209619</v>
      </c>
      <c r="F139">
        <v>27.263755530000001</v>
      </c>
      <c r="G139">
        <v>28.21012567</v>
      </c>
      <c r="H139">
        <v>29.800945949999999</v>
      </c>
      <c r="I139">
        <v>32.893713089999999</v>
      </c>
      <c r="J139">
        <v>37.165767099999997</v>
      </c>
      <c r="K139">
        <v>42.689472350000003</v>
      </c>
      <c r="L139">
        <v>49.251143120000002</v>
      </c>
      <c r="M139">
        <v>54.221706470000001</v>
      </c>
      <c r="N139">
        <v>58.015235480000001</v>
      </c>
      <c r="O139"/>
    </row>
    <row r="140" spans="1:15" x14ac:dyDescent="0.25">
      <c r="A140">
        <v>1</v>
      </c>
      <c r="B140" s="13">
        <v>11.375</v>
      </c>
      <c r="C140">
        <v>-0.95567010699999999</v>
      </c>
      <c r="D140">
        <v>37.538812679999999</v>
      </c>
      <c r="E140">
        <v>0.19286356900000001</v>
      </c>
      <c r="F140">
        <v>27.493369619999999</v>
      </c>
      <c r="G140">
        <v>28.45412164</v>
      </c>
      <c r="H140">
        <v>30.06888124</v>
      </c>
      <c r="I140">
        <v>33.20709368</v>
      </c>
      <c r="J140">
        <v>37.538812679999999</v>
      </c>
      <c r="K140">
        <v>43.132871430000002</v>
      </c>
      <c r="L140">
        <v>49.766106350000001</v>
      </c>
      <c r="M140">
        <v>54.7810171</v>
      </c>
      <c r="N140">
        <v>58.602187960000002</v>
      </c>
      <c r="O140"/>
    </row>
    <row r="141" spans="1:15" x14ac:dyDescent="0.25">
      <c r="A141">
        <v>1</v>
      </c>
      <c r="B141" s="13">
        <v>11.458333333333334</v>
      </c>
      <c r="C141">
        <v>-0.94008383399999995</v>
      </c>
      <c r="D141">
        <v>37.916157210000001</v>
      </c>
      <c r="E141">
        <v>0.19347858200000001</v>
      </c>
      <c r="F141">
        <v>27.72671746</v>
      </c>
      <c r="G141">
        <v>28.70197022</v>
      </c>
      <c r="H141">
        <v>30.34083979</v>
      </c>
      <c r="I141">
        <v>33.524718819999997</v>
      </c>
      <c r="J141">
        <v>37.916157210000001</v>
      </c>
      <c r="K141">
        <v>43.580204369999997</v>
      </c>
      <c r="L141">
        <v>50.283972030000001</v>
      </c>
      <c r="M141">
        <v>55.342075569999999</v>
      </c>
      <c r="N141">
        <v>59.189831779999999</v>
      </c>
      <c r="O141"/>
    </row>
    <row r="142" spans="1:15" x14ac:dyDescent="0.25">
      <c r="A142">
        <v>1</v>
      </c>
      <c r="B142" s="13">
        <v>11.541666666666666</v>
      </c>
      <c r="C142">
        <v>-0.92467024399999997</v>
      </c>
      <c r="D142">
        <v>38.297770300000003</v>
      </c>
      <c r="E142">
        <v>0.194053274</v>
      </c>
      <c r="F142">
        <v>27.96389959</v>
      </c>
      <c r="G142">
        <v>28.95376036</v>
      </c>
      <c r="H142">
        <v>30.616890269999999</v>
      </c>
      <c r="I142">
        <v>33.846615960000001</v>
      </c>
      <c r="J142">
        <v>38.297770300000003</v>
      </c>
      <c r="K142">
        <v>44.03137211</v>
      </c>
      <c r="L142">
        <v>50.804582160000002</v>
      </c>
      <c r="M142">
        <v>55.904704719999998</v>
      </c>
      <c r="N142">
        <v>59.777993889999998</v>
      </c>
      <c r="O142"/>
    </row>
    <row r="143" spans="1:15" x14ac:dyDescent="0.25">
      <c r="A143">
        <v>1</v>
      </c>
      <c r="B143" s="13">
        <v>11.625</v>
      </c>
      <c r="C143">
        <v>-0.90945084300000001</v>
      </c>
      <c r="D143">
        <v>38.683614300000002</v>
      </c>
      <c r="E143">
        <v>0.19458636800000001</v>
      </c>
      <c r="F143">
        <v>28.20501252</v>
      </c>
      <c r="G143">
        <v>29.20957645</v>
      </c>
      <c r="H143">
        <v>30.897096040000001</v>
      </c>
      <c r="I143">
        <v>34.172806059999999</v>
      </c>
      <c r="J143">
        <v>38.683614300000002</v>
      </c>
      <c r="K143">
        <v>44.486269010000001</v>
      </c>
      <c r="L143">
        <v>51.327775209999999</v>
      </c>
      <c r="M143">
        <v>56.468727260000001</v>
      </c>
      <c r="N143">
        <v>60.366503880000003</v>
      </c>
      <c r="O143"/>
    </row>
    <row r="144" spans="1:15" x14ac:dyDescent="0.25">
      <c r="A144">
        <v>1</v>
      </c>
      <c r="B144" s="13">
        <v>11.708333333333334</v>
      </c>
      <c r="C144">
        <v>-0.89444625799999999</v>
      </c>
      <c r="D144">
        <v>39.073644010000002</v>
      </c>
      <c r="E144">
        <v>0.19507670499999999</v>
      </c>
      <c r="F144">
        <v>28.450148200000001</v>
      </c>
      <c r="G144">
        <v>29.46949781</v>
      </c>
      <c r="H144">
        <v>31.181514629999999</v>
      </c>
      <c r="I144">
        <v>34.503303119999998</v>
      </c>
      <c r="J144">
        <v>39.073644010000002</v>
      </c>
      <c r="K144">
        <v>44.944782840000002</v>
      </c>
      <c r="L144">
        <v>51.853386370000003</v>
      </c>
      <c r="M144">
        <v>57.03396609</v>
      </c>
      <c r="N144">
        <v>60.955194249999998</v>
      </c>
      <c r="O144"/>
    </row>
    <row r="145" spans="1:15" x14ac:dyDescent="0.25">
      <c r="A145">
        <v>1</v>
      </c>
      <c r="B145" s="13">
        <v>11.791666666666666</v>
      </c>
      <c r="C145">
        <v>-0.87967630500000005</v>
      </c>
      <c r="D145">
        <v>39.467806430000003</v>
      </c>
      <c r="E145">
        <v>0.19552324600000001</v>
      </c>
      <c r="F145">
        <v>28.69939347</v>
      </c>
      <c r="G145">
        <v>29.733598189999999</v>
      </c>
      <c r="H145">
        <v>31.47019723</v>
      </c>
      <c r="I145">
        <v>34.838113790000001</v>
      </c>
      <c r="J145">
        <v>39.467806430000003</v>
      </c>
      <c r="K145">
        <v>45.406794750000003</v>
      </c>
      <c r="L145">
        <v>52.381247770000002</v>
      </c>
      <c r="M145">
        <v>57.600244600000003</v>
      </c>
      <c r="N145">
        <v>61.54390076</v>
      </c>
      <c r="O145"/>
    </row>
    <row r="146" spans="1:15" x14ac:dyDescent="0.25">
      <c r="A146">
        <v>1</v>
      </c>
      <c r="B146" s="13">
        <v>11.875</v>
      </c>
      <c r="C146">
        <v>-0.86516007100000003</v>
      </c>
      <c r="D146">
        <v>39.866040439999999</v>
      </c>
      <c r="E146">
        <v>0.195925079</v>
      </c>
      <c r="F146">
        <v>28.952829569999999</v>
      </c>
      <c r="G146">
        <v>30.001945190000001</v>
      </c>
      <c r="H146">
        <v>31.76318818</v>
      </c>
      <c r="I146">
        <v>35.177236870000002</v>
      </c>
      <c r="J146">
        <v>39.866040439999999</v>
      </c>
      <c r="K146">
        <v>45.872179199999998</v>
      </c>
      <c r="L146">
        <v>52.911188680000002</v>
      </c>
      <c r="M146">
        <v>58.167386999999998</v>
      </c>
      <c r="N146">
        <v>62.132462680000003</v>
      </c>
      <c r="O146"/>
    </row>
    <row r="147" spans="1:15" x14ac:dyDescent="0.25">
      <c r="A147">
        <v>1</v>
      </c>
      <c r="B147" s="13">
        <v>11.958333333333334</v>
      </c>
      <c r="C147">
        <v>-0.85091598700000004</v>
      </c>
      <c r="D147">
        <v>40.268276520000001</v>
      </c>
      <c r="E147">
        <v>0.19628141800000001</v>
      </c>
      <c r="F147">
        <v>29.210531530000001</v>
      </c>
      <c r="G147">
        <v>30.274599739999999</v>
      </c>
      <c r="H147">
        <v>32.060524450000003</v>
      </c>
      <c r="I147">
        <v>35.520662919999999</v>
      </c>
      <c r="J147">
        <v>40.268276520000001</v>
      </c>
      <c r="K147">
        <v>46.340804009999999</v>
      </c>
      <c r="L147">
        <v>53.443035739999999</v>
      </c>
      <c r="M147">
        <v>58.735218570000001</v>
      </c>
      <c r="N147">
        <v>62.720723110000002</v>
      </c>
      <c r="O147"/>
    </row>
    <row r="148" spans="1:15" x14ac:dyDescent="0.25">
      <c r="A148">
        <v>1</v>
      </c>
      <c r="B148" s="13">
        <v>12.041666666666666</v>
      </c>
      <c r="C148">
        <v>-0.83696190500000001</v>
      </c>
      <c r="D148">
        <v>40.674436579999998</v>
      </c>
      <c r="E148">
        <v>0.196591612</v>
      </c>
      <c r="F148">
        <v>29.472567690000002</v>
      </c>
      <c r="G148">
        <v>30.55161562</v>
      </c>
      <c r="H148">
        <v>32.362235140000003</v>
      </c>
      <c r="I148">
        <v>35.868373800000001</v>
      </c>
      <c r="J148">
        <v>40.674436579999998</v>
      </c>
      <c r="K148">
        <v>46.812530289999998</v>
      </c>
      <c r="L148">
        <v>53.976613180000001</v>
      </c>
      <c r="M148">
        <v>59.30356596</v>
      </c>
      <c r="N148">
        <v>63.308529159999999</v>
      </c>
      <c r="O148"/>
    </row>
    <row r="149" spans="1:15" x14ac:dyDescent="0.25">
      <c r="A149">
        <v>1</v>
      </c>
      <c r="B149" s="13">
        <v>12.125</v>
      </c>
      <c r="C149">
        <v>-0.82331517600000004</v>
      </c>
      <c r="D149">
        <v>41.084433629999999</v>
      </c>
      <c r="E149">
        <v>0.19685514000000001</v>
      </c>
      <c r="F149">
        <v>29.73899917</v>
      </c>
      <c r="G149">
        <v>30.833038850000001</v>
      </c>
      <c r="H149">
        <v>32.668340989999997</v>
      </c>
      <c r="I149">
        <v>36.220342309999999</v>
      </c>
      <c r="J149">
        <v>41.084433629999999</v>
      </c>
      <c r="K149">
        <v>47.287212490000002</v>
      </c>
      <c r="L149">
        <v>54.51174297</v>
      </c>
      <c r="M149">
        <v>59.872257390000001</v>
      </c>
      <c r="N149">
        <v>63.895732219999999</v>
      </c>
      <c r="O149"/>
    </row>
    <row r="150" spans="1:15" x14ac:dyDescent="0.25">
      <c r="A150">
        <v>1</v>
      </c>
      <c r="B150" s="13">
        <v>12.208333333333334</v>
      </c>
      <c r="C150">
        <v>-0.80999272600000005</v>
      </c>
      <c r="D150">
        <v>41.498171640000002</v>
      </c>
      <c r="E150">
        <v>0.19707162</v>
      </c>
      <c r="F150">
        <v>30.009879269999999</v>
      </c>
      <c r="G150">
        <v>31.118907239999999</v>
      </c>
      <c r="H150">
        <v>32.978853870000002</v>
      </c>
      <c r="I150">
        <v>36.576531750000001</v>
      </c>
      <c r="J150">
        <v>41.498171640000002</v>
      </c>
      <c r="K150">
        <v>47.764698369999998</v>
      </c>
      <c r="L150">
        <v>55.048245059999999</v>
      </c>
      <c r="M150">
        <v>60.441122890000003</v>
      </c>
      <c r="N150">
        <v>64.482188160000007</v>
      </c>
      <c r="O150"/>
    </row>
    <row r="151" spans="1:15" x14ac:dyDescent="0.25">
      <c r="A151">
        <v>1</v>
      </c>
      <c r="B151" s="13">
        <v>12.291666666666666</v>
      </c>
      <c r="C151">
        <v>-0.79701113199999996</v>
      </c>
      <c r="D151">
        <v>41.915545280000003</v>
      </c>
      <c r="E151">
        <v>0.19724080599999999</v>
      </c>
      <c r="F151">
        <v>30.285253050000001</v>
      </c>
      <c r="G151">
        <v>31.40924987</v>
      </c>
      <c r="H151">
        <v>33.293776350000002</v>
      </c>
      <c r="I151">
        <v>36.9368956</v>
      </c>
      <c r="J151">
        <v>41.915545280000003</v>
      </c>
      <c r="K151">
        <v>48.24482905</v>
      </c>
      <c r="L151">
        <v>55.585937510000001</v>
      </c>
      <c r="M151">
        <v>61.009994509999999</v>
      </c>
      <c r="N151">
        <v>65.06775743</v>
      </c>
      <c r="O151"/>
    </row>
    <row r="152" spans="1:15" x14ac:dyDescent="0.25">
      <c r="A152">
        <v>1</v>
      </c>
      <c r="B152" s="13">
        <v>12.375</v>
      </c>
      <c r="C152">
        <v>-0.78438669299999997</v>
      </c>
      <c r="D152">
        <v>42.336439779999999</v>
      </c>
      <c r="E152">
        <v>0.197362591</v>
      </c>
      <c r="F152">
        <v>30.56515671</v>
      </c>
      <c r="G152">
        <v>31.704086539999999</v>
      </c>
      <c r="H152">
        <v>33.613101190000002</v>
      </c>
      <c r="I152">
        <v>37.301377100000003</v>
      </c>
      <c r="J152">
        <v>42.336439779999999</v>
      </c>
      <c r="K152">
        <v>48.727439029999999</v>
      </c>
      <c r="L152">
        <v>56.124636700000003</v>
      </c>
      <c r="M152">
        <v>61.578706500000003</v>
      </c>
      <c r="N152">
        <v>65.652305269999999</v>
      </c>
      <c r="O152"/>
    </row>
    <row r="153" spans="1:15" x14ac:dyDescent="0.25">
      <c r="A153">
        <v>1</v>
      </c>
      <c r="B153" s="13">
        <v>12.458333333333334</v>
      </c>
      <c r="C153">
        <v>-0.77213550600000003</v>
      </c>
      <c r="D153">
        <v>42.760730780000003</v>
      </c>
      <c r="E153">
        <v>0.197437004</v>
      </c>
      <c r="F153">
        <v>30.849617179999999</v>
      </c>
      <c r="G153">
        <v>32.003427379999998</v>
      </c>
      <c r="H153">
        <v>33.936810919999999</v>
      </c>
      <c r="I153">
        <v>37.669908999999997</v>
      </c>
      <c r="J153">
        <v>42.760730780000003</v>
      </c>
      <c r="K153">
        <v>49.212356239999998</v>
      </c>
      <c r="L153">
        <v>56.66415748</v>
      </c>
      <c r="M153">
        <v>62.14709543</v>
      </c>
      <c r="N153">
        <v>66.235701789999993</v>
      </c>
      <c r="O153"/>
    </row>
    <row r="154" spans="1:15" x14ac:dyDescent="0.25">
      <c r="A154">
        <v>1</v>
      </c>
      <c r="B154" s="13">
        <v>12.541666666666666</v>
      </c>
      <c r="C154">
        <v>-0.76027352800000003</v>
      </c>
      <c r="D154">
        <v>43.188284189999997</v>
      </c>
      <c r="E154">
        <v>0.19746421</v>
      </c>
      <c r="F154">
        <v>31.138651540000001</v>
      </c>
      <c r="G154">
        <v>32.307272269999999</v>
      </c>
      <c r="H154">
        <v>34.264877460000001</v>
      </c>
      <c r="I154">
        <v>38.042413179999997</v>
      </c>
      <c r="J154">
        <v>43.188284189999997</v>
      </c>
      <c r="K154">
        <v>49.6994021</v>
      </c>
      <c r="L154">
        <v>57.204313319999997</v>
      </c>
      <c r="M154">
        <v>62.715000359999998</v>
      </c>
      <c r="N154">
        <v>66.817822059999997</v>
      </c>
      <c r="O154"/>
    </row>
    <row r="155" spans="1:15" x14ac:dyDescent="0.25">
      <c r="A155">
        <v>1</v>
      </c>
      <c r="B155" s="13">
        <v>12.625</v>
      </c>
      <c r="C155">
        <v>-0.74881596800000005</v>
      </c>
      <c r="D155">
        <v>43.618957029999997</v>
      </c>
      <c r="E155">
        <v>0.19744452200000001</v>
      </c>
      <c r="F155">
        <v>31.432265709999999</v>
      </c>
      <c r="G155">
        <v>32.615609829999997</v>
      </c>
      <c r="H155">
        <v>34.597261369999998</v>
      </c>
      <c r="I155">
        <v>38.4188008</v>
      </c>
      <c r="J155">
        <v>43.618957029999997</v>
      </c>
      <c r="K155">
        <v>50.188392800000003</v>
      </c>
      <c r="L155">
        <v>57.74491716</v>
      </c>
      <c r="M155">
        <v>63.282262719999999</v>
      </c>
      <c r="N155">
        <v>67.398544939999994</v>
      </c>
      <c r="O155"/>
    </row>
    <row r="156" spans="1:15" x14ac:dyDescent="0.25">
      <c r="A156">
        <v>1</v>
      </c>
      <c r="B156" s="13">
        <v>12.708333333333334</v>
      </c>
      <c r="C156">
        <v>-0.73778039799999995</v>
      </c>
      <c r="D156">
        <v>44.052593100000003</v>
      </c>
      <c r="E156">
        <v>0.19737834500000001</v>
      </c>
      <c r="F156">
        <v>31.730458079999998</v>
      </c>
      <c r="G156">
        <v>32.928419929999997</v>
      </c>
      <c r="H156">
        <v>34.933912800000002</v>
      </c>
      <c r="I156">
        <v>38.798970390000001</v>
      </c>
      <c r="J156">
        <v>44.052593100000003</v>
      </c>
      <c r="K156">
        <v>50.679133919999998</v>
      </c>
      <c r="L156">
        <v>58.285778299999997</v>
      </c>
      <c r="M156">
        <v>63.848727340000003</v>
      </c>
      <c r="N156">
        <v>67.977758609999995</v>
      </c>
      <c r="O156"/>
    </row>
    <row r="157" spans="1:15" x14ac:dyDescent="0.25">
      <c r="A157">
        <v>1</v>
      </c>
      <c r="B157" s="13">
        <v>12.791666666666666</v>
      </c>
      <c r="C157">
        <v>-0.727181568</v>
      </c>
      <c r="D157">
        <v>44.489030270000001</v>
      </c>
      <c r="E157">
        <v>0.197266263</v>
      </c>
      <c r="F157">
        <v>32.033211960000003</v>
      </c>
      <c r="G157">
        <v>33.24566815</v>
      </c>
      <c r="H157">
        <v>35.274768979999997</v>
      </c>
      <c r="I157">
        <v>39.182810449999998</v>
      </c>
      <c r="J157">
        <v>44.489030270000001</v>
      </c>
      <c r="K157">
        <v>51.171429889999999</v>
      </c>
      <c r="L157">
        <v>58.82670813</v>
      </c>
      <c r="M157">
        <v>64.414240879999994</v>
      </c>
      <c r="N157">
        <v>68.555351099999996</v>
      </c>
      <c r="O157"/>
    </row>
    <row r="158" spans="1:15" x14ac:dyDescent="0.25">
      <c r="A158">
        <v>1</v>
      </c>
      <c r="B158" s="13">
        <v>12.875</v>
      </c>
      <c r="C158">
        <v>-0.717035494</v>
      </c>
      <c r="D158">
        <v>44.928094829999999</v>
      </c>
      <c r="E158">
        <v>0.197108968</v>
      </c>
      <c r="F158">
        <v>32.340500689999999</v>
      </c>
      <c r="G158">
        <v>33.567309369999997</v>
      </c>
      <c r="H158">
        <v>35.619755550000001</v>
      </c>
      <c r="I158">
        <v>39.570197139999998</v>
      </c>
      <c r="J158">
        <v>44.928094829999999</v>
      </c>
      <c r="K158">
        <v>51.665076939999999</v>
      </c>
      <c r="L158">
        <v>59.367515869999998</v>
      </c>
      <c r="M158">
        <v>64.978653129999998</v>
      </c>
      <c r="N158">
        <v>69.131217520000007</v>
      </c>
      <c r="O158"/>
    </row>
    <row r="159" spans="1:15" x14ac:dyDescent="0.25">
      <c r="A159">
        <v>1</v>
      </c>
      <c r="B159" s="13">
        <v>12.958333333333334</v>
      </c>
      <c r="C159">
        <v>-0.70735833800000003</v>
      </c>
      <c r="D159">
        <v>45.369603150000003</v>
      </c>
      <c r="E159">
        <v>0.19690727399999999</v>
      </c>
      <c r="F159">
        <v>32.652285599999999</v>
      </c>
      <c r="G159">
        <v>33.8932863</v>
      </c>
      <c r="H159">
        <v>35.96878581</v>
      </c>
      <c r="I159">
        <v>39.960994749999998</v>
      </c>
      <c r="J159">
        <v>45.369603150000003</v>
      </c>
      <c r="K159">
        <v>52.159865230000001</v>
      </c>
      <c r="L159">
        <v>59.908009999999997</v>
      </c>
      <c r="M159">
        <v>65.541816639999993</v>
      </c>
      <c r="N159">
        <v>69.705257930000002</v>
      </c>
      <c r="O159"/>
    </row>
    <row r="160" spans="1:15" x14ac:dyDescent="0.25">
      <c r="A160">
        <v>1</v>
      </c>
      <c r="B160" s="13">
        <v>13.041666666666666</v>
      </c>
      <c r="C160">
        <v>-0.69816643700000003</v>
      </c>
      <c r="D160">
        <v>45.813361720000003</v>
      </c>
      <c r="E160">
        <v>0.196662115</v>
      </c>
      <c r="F160">
        <v>32.968515709999998</v>
      </c>
      <c r="G160">
        <v>34.223529110000001</v>
      </c>
      <c r="H160">
        <v>36.321760529999999</v>
      </c>
      <c r="I160">
        <v>40.355055610000001</v>
      </c>
      <c r="J160">
        <v>45.813361720000003</v>
      </c>
      <c r="K160">
        <v>52.655579060000001</v>
      </c>
      <c r="L160">
        <v>60.44799828</v>
      </c>
      <c r="M160">
        <v>66.103586699999994</v>
      </c>
      <c r="N160">
        <v>70.277377180000002</v>
      </c>
      <c r="O160"/>
    </row>
    <row r="161" spans="1:15" x14ac:dyDescent="0.25">
      <c r="A161">
        <v>1</v>
      </c>
      <c r="B161" s="13">
        <v>13.125</v>
      </c>
      <c r="C161">
        <v>-0.68947632700000006</v>
      </c>
      <c r="D161">
        <v>46.259167290000001</v>
      </c>
      <c r="E161">
        <v>0.19637453799999999</v>
      </c>
      <c r="F161">
        <v>33.289127309999998</v>
      </c>
      <c r="G161">
        <v>34.557955200000002</v>
      </c>
      <c r="H161">
        <v>36.67856768</v>
      </c>
      <c r="I161">
        <v>40.752220059999999</v>
      </c>
      <c r="J161">
        <v>46.259167290000001</v>
      </c>
      <c r="K161">
        <v>53.151997039999998</v>
      </c>
      <c r="L161">
        <v>60.987287879999997</v>
      </c>
      <c r="M161">
        <v>66.663821310000003</v>
      </c>
      <c r="N161">
        <v>70.847484800000004</v>
      </c>
      <c r="O161"/>
    </row>
    <row r="162" spans="1:15" x14ac:dyDescent="0.25">
      <c r="A162">
        <v>1</v>
      </c>
      <c r="B162" s="13">
        <v>13.208333333333334</v>
      </c>
      <c r="C162">
        <v>-0.68130475000000001</v>
      </c>
      <c r="D162">
        <v>46.706807009999999</v>
      </c>
      <c r="E162">
        <v>0.19604570099999999</v>
      </c>
      <c r="F162">
        <v>33.614043729999999</v>
      </c>
      <c r="G162">
        <v>34.896468900000002</v>
      </c>
      <c r="H162">
        <v>37.039082319999999</v>
      </c>
      <c r="I162">
        <v>41.152316460000002</v>
      </c>
      <c r="J162">
        <v>46.706807009999999</v>
      </c>
      <c r="K162">
        <v>53.648892259999997</v>
      </c>
      <c r="L162">
        <v>61.525685449999997</v>
      </c>
      <c r="M162">
        <v>67.222381110000001</v>
      </c>
      <c r="N162">
        <v>71.415494769999995</v>
      </c>
      <c r="O162"/>
    </row>
    <row r="163" spans="1:15" x14ac:dyDescent="0.25">
      <c r="A163">
        <v>1</v>
      </c>
      <c r="B163" s="13">
        <v>13.291666666666666</v>
      </c>
      <c r="C163">
        <v>-0.67366865799999998</v>
      </c>
      <c r="D163">
        <v>47.156058629999997</v>
      </c>
      <c r="E163">
        <v>0.19567686200000001</v>
      </c>
      <c r="F163">
        <v>33.943174990000003</v>
      </c>
      <c r="G163">
        <v>35.238961260000004</v>
      </c>
      <c r="H163">
        <v>37.403166489999997</v>
      </c>
      <c r="I163">
        <v>41.555161239999997</v>
      </c>
      <c r="J163">
        <v>47.156058629999997</v>
      </c>
      <c r="K163">
        <v>54.14603254</v>
      </c>
      <c r="L163">
        <v>62.062997189999997</v>
      </c>
      <c r="M163">
        <v>67.779129260000005</v>
      </c>
      <c r="N163">
        <v>71.981325319999996</v>
      </c>
      <c r="O163"/>
    </row>
    <row r="164" spans="1:15" x14ac:dyDescent="0.25">
      <c r="A164">
        <v>1</v>
      </c>
      <c r="B164" s="13">
        <v>13.375</v>
      </c>
      <c r="C164">
        <v>-0.66658519400000005</v>
      </c>
      <c r="D164">
        <v>47.606690739999998</v>
      </c>
      <c r="E164">
        <v>0.19526937999999999</v>
      </c>
      <c r="F164">
        <v>34.276417559999999</v>
      </c>
      <c r="G164">
        <v>35.585309889999998</v>
      </c>
      <c r="H164">
        <v>37.770669099999999</v>
      </c>
      <c r="I164">
        <v>41.960558970000001</v>
      </c>
      <c r="J164">
        <v>47.606690739999998</v>
      </c>
      <c r="K164">
        <v>54.64318067</v>
      </c>
      <c r="L164">
        <v>62.599028939999997</v>
      </c>
      <c r="M164">
        <v>68.333931359999994</v>
      </c>
      <c r="N164">
        <v>72.544898689999997</v>
      </c>
      <c r="O164"/>
    </row>
    <row r="165" spans="1:15" x14ac:dyDescent="0.25">
      <c r="A165">
        <v>1</v>
      </c>
      <c r="B165" s="13">
        <v>13.458333333333334</v>
      </c>
      <c r="C165">
        <v>-0.66006996900000003</v>
      </c>
      <c r="D165">
        <v>48.058465720000001</v>
      </c>
      <c r="E165">
        <v>0.19482473</v>
      </c>
      <c r="F165">
        <v>34.613651760000003</v>
      </c>
      <c r="G165">
        <v>35.935377099999997</v>
      </c>
      <c r="H165">
        <v>38.141425320000003</v>
      </c>
      <c r="I165">
        <v>42.368303709999999</v>
      </c>
      <c r="J165">
        <v>48.058465720000001</v>
      </c>
      <c r="K165">
        <v>55.140097840000003</v>
      </c>
      <c r="L165">
        <v>63.133587939999998</v>
      </c>
      <c r="M165">
        <v>68.886654530000001</v>
      </c>
      <c r="N165">
        <v>73.106137459999999</v>
      </c>
      <c r="O165"/>
    </row>
    <row r="166" spans="1:15" x14ac:dyDescent="0.25">
      <c r="A166">
        <v>1</v>
      </c>
      <c r="B166" s="13">
        <v>13.541666666666666</v>
      </c>
      <c r="C166">
        <v>-0.65414260199999996</v>
      </c>
      <c r="D166">
        <v>48.511131380000002</v>
      </c>
      <c r="E166">
        <v>0.19434441</v>
      </c>
      <c r="F166">
        <v>34.95474943</v>
      </c>
      <c r="G166">
        <v>36.289015390000003</v>
      </c>
      <c r="H166">
        <v>38.515258670000001</v>
      </c>
      <c r="I166">
        <v>42.778175539999999</v>
      </c>
      <c r="J166">
        <v>48.511131380000002</v>
      </c>
      <c r="K166">
        <v>55.636533540000002</v>
      </c>
      <c r="L166">
        <v>63.666477209999996</v>
      </c>
      <c r="M166">
        <v>69.437169650000001</v>
      </c>
      <c r="N166">
        <v>73.664975139999996</v>
      </c>
      <c r="O166"/>
    </row>
    <row r="167" spans="1:15" x14ac:dyDescent="0.25">
      <c r="A167">
        <v>1</v>
      </c>
      <c r="B167" s="13">
        <v>13.625</v>
      </c>
      <c r="C167">
        <v>-0.64881966599999996</v>
      </c>
      <c r="D167">
        <v>48.964432240000001</v>
      </c>
      <c r="E167">
        <v>0.19383004600000001</v>
      </c>
      <c r="F167">
        <v>35.29956396</v>
      </c>
      <c r="G167">
        <v>36.646060429999999</v>
      </c>
      <c r="H167">
        <v>38.891978510000001</v>
      </c>
      <c r="I167">
        <v>43.189945399999999</v>
      </c>
      <c r="J167">
        <v>48.964432240000001</v>
      </c>
      <c r="K167">
        <v>56.132238890000004</v>
      </c>
      <c r="L167">
        <v>64.197502760000006</v>
      </c>
      <c r="M167">
        <v>69.985348189999996</v>
      </c>
      <c r="N167">
        <v>74.221342149999998</v>
      </c>
      <c r="O167"/>
    </row>
    <row r="168" spans="1:15" x14ac:dyDescent="0.25">
      <c r="A168">
        <v>1</v>
      </c>
      <c r="B168" s="13">
        <v>13.708333333333334</v>
      </c>
      <c r="C168">
        <v>-0.64411861100000001</v>
      </c>
      <c r="D168">
        <v>49.418103739999999</v>
      </c>
      <c r="E168">
        <v>0.19328331900000001</v>
      </c>
      <c r="F168">
        <v>35.647935769999997</v>
      </c>
      <c r="G168">
        <v>37.006335010000001</v>
      </c>
      <c r="H168">
        <v>39.271381679999998</v>
      </c>
      <c r="I168">
        <v>43.603372800000002</v>
      </c>
      <c r="J168">
        <v>49.418103739999999</v>
      </c>
      <c r="K168">
        <v>56.626959589999998</v>
      </c>
      <c r="L168">
        <v>64.726469539999997</v>
      </c>
      <c r="M168">
        <v>70.531063669999995</v>
      </c>
      <c r="N168">
        <v>74.775173190000004</v>
      </c>
      <c r="O168"/>
    </row>
    <row r="169" spans="1:15" x14ac:dyDescent="0.25">
      <c r="A169">
        <v>1</v>
      </c>
      <c r="B169" s="13">
        <v>13.791666666666666</v>
      </c>
      <c r="C169">
        <v>-0.64005680499999995</v>
      </c>
      <c r="D169">
        <v>49.871874089999999</v>
      </c>
      <c r="E169">
        <v>0.192705974</v>
      </c>
      <c r="F169">
        <v>35.999691120000001</v>
      </c>
      <c r="G169">
        <v>37.369648259999998</v>
      </c>
      <c r="H169">
        <v>39.653252330000001</v>
      </c>
      <c r="I169">
        <v>44.018206829999997</v>
      </c>
      <c r="J169">
        <v>49.871874089999999</v>
      </c>
      <c r="K169">
        <v>57.120437870000003</v>
      </c>
      <c r="L169">
        <v>65.253182390000006</v>
      </c>
      <c r="M169">
        <v>71.074191080000006</v>
      </c>
      <c r="N169">
        <v>75.326405129999998</v>
      </c>
      <c r="O169"/>
    </row>
    <row r="170" spans="1:15" x14ac:dyDescent="0.25">
      <c r="A170">
        <v>1</v>
      </c>
      <c r="B170" s="13">
        <v>13.875</v>
      </c>
      <c r="C170">
        <v>-0.63665142399999997</v>
      </c>
      <c r="D170">
        <v>50.325464779999997</v>
      </c>
      <c r="E170">
        <v>0.19209981200000001</v>
      </c>
      <c r="F170">
        <v>36.354641999999998</v>
      </c>
      <c r="G170">
        <v>37.735795760000002</v>
      </c>
      <c r="H170">
        <v>40.03736224</v>
      </c>
      <c r="I170">
        <v>44.434186560000001</v>
      </c>
      <c r="J170">
        <v>50.325464779999997</v>
      </c>
      <c r="K170">
        <v>57.612412929999998</v>
      </c>
      <c r="L170">
        <v>65.777446080000004</v>
      </c>
      <c r="M170">
        <v>71.614606600000002</v>
      </c>
      <c r="N170">
        <v>75.874976489999995</v>
      </c>
      <c r="O170"/>
    </row>
    <row r="171" spans="1:15" x14ac:dyDescent="0.25">
      <c r="A171">
        <v>1</v>
      </c>
      <c r="B171" s="13">
        <v>13.958333333333334</v>
      </c>
      <c r="C171">
        <v>-0.63391932799999995</v>
      </c>
      <c r="D171">
        <v>50.778591210000002</v>
      </c>
      <c r="E171">
        <v>0.191466681</v>
      </c>
      <c r="F171">
        <v>36.712586260000002</v>
      </c>
      <c r="G171">
        <v>38.104559629999997</v>
      </c>
      <c r="H171">
        <v>40.423471050000003</v>
      </c>
      <c r="I171">
        <v>44.851041600000002</v>
      </c>
      <c r="J171">
        <v>50.778591210000002</v>
      </c>
      <c r="K171">
        <v>58.10262135</v>
      </c>
      <c r="L171">
        <v>66.299065389999996</v>
      </c>
      <c r="M171">
        <v>72.152187359999999</v>
      </c>
      <c r="N171">
        <v>76.420826969999993</v>
      </c>
      <c r="O171"/>
    </row>
    <row r="172" spans="1:15" x14ac:dyDescent="0.25">
      <c r="A172">
        <v>1</v>
      </c>
      <c r="B172" s="13">
        <v>14.041666666666666</v>
      </c>
      <c r="C172">
        <v>-0.63187691199999996</v>
      </c>
      <c r="D172">
        <v>51.230963320000001</v>
      </c>
      <c r="E172">
        <v>0.19080847100000001</v>
      </c>
      <c r="F172">
        <v>37.073307659999998</v>
      </c>
      <c r="G172">
        <v>38.475708820000001</v>
      </c>
      <c r="H172">
        <v>40.811326719999997</v>
      </c>
      <c r="I172">
        <v>45.268492620000004</v>
      </c>
      <c r="J172">
        <v>51.230963320000001</v>
      </c>
      <c r="K172">
        <v>58.590797569999999</v>
      </c>
      <c r="L172">
        <v>66.817845160000005</v>
      </c>
      <c r="M172">
        <v>72.686811090000006</v>
      </c>
      <c r="N172">
        <v>76.963896879999993</v>
      </c>
      <c r="O172"/>
    </row>
    <row r="173" spans="1:15" x14ac:dyDescent="0.25">
      <c r="A173">
        <v>1</v>
      </c>
      <c r="B173" s="13">
        <v>14.125</v>
      </c>
      <c r="C173">
        <v>-0.63053994000000002</v>
      </c>
      <c r="D173">
        <v>51.682286249999997</v>
      </c>
      <c r="E173">
        <v>0.19012710499999999</v>
      </c>
      <c r="F173">
        <v>37.436576010000003</v>
      </c>
      <c r="G173">
        <v>38.848999319999997</v>
      </c>
      <c r="H173">
        <v>41.200665880000003</v>
      </c>
      <c r="I173">
        <v>45.686252029999999</v>
      </c>
      <c r="J173">
        <v>51.682286249999997</v>
      </c>
      <c r="K173">
        <v>59.07667438</v>
      </c>
      <c r="L173">
        <v>67.333590310000005</v>
      </c>
      <c r="M173">
        <v>73.218355880000004</v>
      </c>
      <c r="N173">
        <v>77.504126549999995</v>
      </c>
      <c r="O173"/>
    </row>
    <row r="174" spans="1:15" x14ac:dyDescent="0.25">
      <c r="A174">
        <v>1</v>
      </c>
      <c r="B174" s="13">
        <v>14.208333333333334</v>
      </c>
      <c r="C174">
        <v>-0.62992335300000002</v>
      </c>
      <c r="D174">
        <v>52.132261130000003</v>
      </c>
      <c r="E174">
        <v>0.18942453000000001</v>
      </c>
      <c r="F174">
        <v>37.802147410000003</v>
      </c>
      <c r="G174">
        <v>39.224174509999997</v>
      </c>
      <c r="H174">
        <v>41.591214399999998</v>
      </c>
      <c r="I174">
        <v>46.10402466</v>
      </c>
      <c r="J174">
        <v>52.132261130000003</v>
      </c>
      <c r="K174">
        <v>59.55998349</v>
      </c>
      <c r="L174">
        <v>67.846106000000006</v>
      </c>
      <c r="M174">
        <v>73.746699800000002</v>
      </c>
      <c r="N174">
        <v>78.041455729999996</v>
      </c>
      <c r="O174"/>
    </row>
    <row r="175" spans="1:15" x14ac:dyDescent="0.25">
      <c r="A175">
        <v>1</v>
      </c>
      <c r="B175" s="13">
        <v>14.291666666666666</v>
      </c>
      <c r="C175">
        <v>-0.63004106599999998</v>
      </c>
      <c r="D175">
        <v>52.580585829999997</v>
      </c>
      <c r="E175">
        <v>0.18870271399999999</v>
      </c>
      <c r="F175">
        <v>38.169764440000002</v>
      </c>
      <c r="G175">
        <v>39.600965520000003</v>
      </c>
      <c r="H175">
        <v>41.982687869999999</v>
      </c>
      <c r="I175">
        <v>46.521508500000003</v>
      </c>
      <c r="J175">
        <v>52.580585829999997</v>
      </c>
      <c r="K175">
        <v>60.040456059999997</v>
      </c>
      <c r="L175">
        <v>68.355197649999994</v>
      </c>
      <c r="M175">
        <v>74.271720610000003</v>
      </c>
      <c r="N175">
        <v>78.575822939999995</v>
      </c>
      <c r="O175"/>
    </row>
    <row r="176" spans="1:15" x14ac:dyDescent="0.25">
      <c r="A176">
        <v>1</v>
      </c>
      <c r="B176" s="13">
        <v>14.375</v>
      </c>
      <c r="C176">
        <v>-0.63090573299999997</v>
      </c>
      <c r="D176">
        <v>53.026955880000003</v>
      </c>
      <c r="E176">
        <v>0.18796363599999999</v>
      </c>
      <c r="F176">
        <v>38.539156570000003</v>
      </c>
      <c r="G176">
        <v>39.97909172</v>
      </c>
      <c r="H176">
        <v>42.37479226</v>
      </c>
      <c r="I176">
        <v>46.93839552</v>
      </c>
      <c r="J176">
        <v>53.026955880000003</v>
      </c>
      <c r="K176">
        <v>60.517823319999998</v>
      </c>
      <c r="L176">
        <v>68.860671049999993</v>
      </c>
      <c r="M176">
        <v>74.793295380000004</v>
      </c>
      <c r="N176">
        <v>79.107164780000005</v>
      </c>
      <c r="O176"/>
    </row>
    <row r="177" spans="1:15" x14ac:dyDescent="0.25">
      <c r="A177">
        <v>1</v>
      </c>
      <c r="B177" s="13">
        <v>14.458333333333334</v>
      </c>
      <c r="C177">
        <v>-0.63252850900000002</v>
      </c>
      <c r="D177">
        <v>53.471065250000002</v>
      </c>
      <c r="E177">
        <v>0.18720928100000001</v>
      </c>
      <c r="F177">
        <v>38.910040459999998</v>
      </c>
      <c r="G177">
        <v>40.358261149999997</v>
      </c>
      <c r="H177">
        <v>42.767224560000002</v>
      </c>
      <c r="I177">
        <v>47.35437254</v>
      </c>
      <c r="J177">
        <v>53.471065250000002</v>
      </c>
      <c r="K177">
        <v>60.991817220000001</v>
      </c>
      <c r="L177">
        <v>69.362332519999995</v>
      </c>
      <c r="M177">
        <v>75.311300180000003</v>
      </c>
      <c r="N177">
        <v>79.63541524</v>
      </c>
      <c r="O177"/>
    </row>
    <row r="178" spans="1:15" x14ac:dyDescent="0.25">
      <c r="A178">
        <v>1</v>
      </c>
      <c r="B178" s="13">
        <v>14.541666666666666</v>
      </c>
      <c r="C178">
        <v>-0.63491877900000004</v>
      </c>
      <c r="D178">
        <v>53.912607370000003</v>
      </c>
      <c r="E178">
        <v>0.18644163</v>
      </c>
      <c r="F178">
        <v>39.282120450000001</v>
      </c>
      <c r="G178">
        <v>40.73817116</v>
      </c>
      <c r="H178">
        <v>43.159673550000001</v>
      </c>
      <c r="I178">
        <v>47.76912213</v>
      </c>
      <c r="J178">
        <v>53.912607370000003</v>
      </c>
      <c r="K178">
        <v>61.462171099999999</v>
      </c>
      <c r="L178">
        <v>69.859988970000003</v>
      </c>
      <c r="M178">
        <v>75.825609679999999</v>
      </c>
      <c r="N178">
        <v>80.160504950000004</v>
      </c>
      <c r="O178"/>
    </row>
    <row r="179" spans="1:15" x14ac:dyDescent="0.25">
      <c r="A179">
        <v>1</v>
      </c>
      <c r="B179" s="13">
        <v>14.625</v>
      </c>
      <c r="C179">
        <v>-0.63808388400000005</v>
      </c>
      <c r="D179">
        <v>54.351276079999998</v>
      </c>
      <c r="E179">
        <v>0.18566265700000001</v>
      </c>
      <c r="F179">
        <v>39.655089060000002</v>
      </c>
      <c r="G179">
        <v>41.118509000000003</v>
      </c>
      <c r="H179">
        <v>43.551820540000001</v>
      </c>
      <c r="I179">
        <v>48.18232356</v>
      </c>
      <c r="J179">
        <v>54.351276079999998</v>
      </c>
      <c r="K179">
        <v>61.928620369999997</v>
      </c>
      <c r="L179">
        <v>70.353448110000002</v>
      </c>
      <c r="M179">
        <v>76.336096879999999</v>
      </c>
      <c r="N179">
        <v>80.682360459999998</v>
      </c>
      <c r="O179"/>
    </row>
    <row r="180" spans="1:15" x14ac:dyDescent="0.25">
      <c r="A180">
        <v>1</v>
      </c>
      <c r="B180" s="13">
        <v>14.708333333333334</v>
      </c>
      <c r="C180">
        <v>-0.64202883499999996</v>
      </c>
      <c r="D180">
        <v>54.786766589999999</v>
      </c>
      <c r="E180">
        <v>0.18487432300000001</v>
      </c>
      <c r="F180">
        <v>40.028627620000002</v>
      </c>
      <c r="G180">
        <v>41.498952559999999</v>
      </c>
      <c r="H180">
        <v>43.943340280000001</v>
      </c>
      <c r="I180">
        <v>48.593653840000002</v>
      </c>
      <c r="J180">
        <v>54.786766589999999</v>
      </c>
      <c r="K180">
        <v>62.390903299999998</v>
      </c>
      <c r="L180">
        <v>70.842518600000005</v>
      </c>
      <c r="M180">
        <v>76.842632690000002</v>
      </c>
      <c r="N180">
        <v>81.200903479999994</v>
      </c>
      <c r="O180"/>
    </row>
    <row r="181" spans="1:15" x14ac:dyDescent="0.25">
      <c r="A181">
        <v>1</v>
      </c>
      <c r="B181" s="13">
        <v>14.791666666666666</v>
      </c>
      <c r="C181">
        <v>-0.64675601299999996</v>
      </c>
      <c r="D181">
        <v>55.218776570000003</v>
      </c>
      <c r="E181">
        <v>0.184078567</v>
      </c>
      <c r="F181">
        <v>40.40240687</v>
      </c>
      <c r="G181">
        <v>41.879171100000001</v>
      </c>
      <c r="H181">
        <v>44.333901779999998</v>
      </c>
      <c r="I181">
        <v>49.002788729999999</v>
      </c>
      <c r="J181">
        <v>55.218776570000003</v>
      </c>
      <c r="K181">
        <v>62.848761690000003</v>
      </c>
      <c r="L181">
        <v>71.327010259999994</v>
      </c>
      <c r="M181">
        <v>77.345085620000006</v>
      </c>
      <c r="N181">
        <v>81.716050069999994</v>
      </c>
      <c r="O181"/>
    </row>
    <row r="182" spans="1:15" x14ac:dyDescent="0.25">
      <c r="A182">
        <v>1</v>
      </c>
      <c r="B182" s="13">
        <v>14.875</v>
      </c>
      <c r="C182">
        <v>-0.65226229700000005</v>
      </c>
      <c r="D182">
        <v>55.647011310000003</v>
      </c>
      <c r="E182">
        <v>0.18327733900000001</v>
      </c>
      <c r="F182">
        <v>40.776084050000001</v>
      </c>
      <c r="G182">
        <v>42.258823489999997</v>
      </c>
      <c r="H182">
        <v>44.723168430000001</v>
      </c>
      <c r="I182">
        <v>49.409405630000002</v>
      </c>
      <c r="J182">
        <v>55.647011310000003</v>
      </c>
      <c r="K182">
        <v>63.30194659</v>
      </c>
      <c r="L182">
        <v>71.806736779999994</v>
      </c>
      <c r="M182">
        <v>77.843320289999994</v>
      </c>
      <c r="N182">
        <v>82.227704919999994</v>
      </c>
      <c r="O182"/>
    </row>
    <row r="183" spans="1:15" x14ac:dyDescent="0.25">
      <c r="A183">
        <v>1</v>
      </c>
      <c r="B183" s="13">
        <v>14.958333333333334</v>
      </c>
      <c r="C183">
        <v>-0.65855163800000005</v>
      </c>
      <c r="D183">
        <v>56.071164070000002</v>
      </c>
      <c r="E183">
        <v>0.18247242699999999</v>
      </c>
      <c r="F183">
        <v>41.149322390000002</v>
      </c>
      <c r="G183">
        <v>42.637572210000002</v>
      </c>
      <c r="H183">
        <v>45.110803500000003</v>
      </c>
      <c r="I183">
        <v>49.813175659999999</v>
      </c>
      <c r="J183">
        <v>56.071164070000002</v>
      </c>
      <c r="K183">
        <v>63.750194860000001</v>
      </c>
      <c r="L183">
        <v>72.281503400000005</v>
      </c>
      <c r="M183">
        <v>78.337203090000003</v>
      </c>
      <c r="N183">
        <v>82.735785550000003</v>
      </c>
      <c r="O183"/>
    </row>
    <row r="184" spans="1:15" x14ac:dyDescent="0.25">
      <c r="A184">
        <v>1</v>
      </c>
      <c r="B184" s="13">
        <v>15.041666666666666</v>
      </c>
      <c r="C184">
        <v>-0.66560902499999997</v>
      </c>
      <c r="D184">
        <v>56.490958620000001</v>
      </c>
      <c r="E184">
        <v>0.181665781</v>
      </c>
      <c r="F184">
        <v>41.521754620000003</v>
      </c>
      <c r="G184">
        <v>43.015058160000002</v>
      </c>
      <c r="H184">
        <v>45.496462170000001</v>
      </c>
      <c r="I184">
        <v>50.21378283</v>
      </c>
      <c r="J184">
        <v>56.490958620000001</v>
      </c>
      <c r="K184">
        <v>64.193278329999998</v>
      </c>
      <c r="L184">
        <v>72.75113236</v>
      </c>
      <c r="M184">
        <v>78.826589940000005</v>
      </c>
      <c r="N184">
        <v>83.240171540000006</v>
      </c>
      <c r="O184"/>
    </row>
    <row r="185" spans="1:15" x14ac:dyDescent="0.25">
      <c r="A185">
        <v>1</v>
      </c>
      <c r="B185" s="13">
        <v>15.125</v>
      </c>
      <c r="C185">
        <v>-0.67342595100000002</v>
      </c>
      <c r="D185">
        <v>56.906108860000003</v>
      </c>
      <c r="E185">
        <v>0.18085918000000001</v>
      </c>
      <c r="F185">
        <v>41.893021439999998</v>
      </c>
      <c r="G185">
        <v>43.39092788</v>
      </c>
      <c r="H185">
        <v>45.879801639999997</v>
      </c>
      <c r="I185">
        <v>50.610907159999996</v>
      </c>
      <c r="J185">
        <v>56.906108860000003</v>
      </c>
      <c r="K185">
        <v>64.630956319999996</v>
      </c>
      <c r="L185">
        <v>73.21543801</v>
      </c>
      <c r="M185">
        <v>79.31133801</v>
      </c>
      <c r="N185">
        <v>83.740753850000004</v>
      </c>
      <c r="O185"/>
    </row>
    <row r="186" spans="1:15" x14ac:dyDescent="0.25">
      <c r="A186">
        <v>1</v>
      </c>
      <c r="B186" s="13">
        <v>15.208333333333334</v>
      </c>
      <c r="C186">
        <v>-0.68198728399999997</v>
      </c>
      <c r="D186">
        <v>57.316340590000003</v>
      </c>
      <c r="E186">
        <v>0.18005439500000001</v>
      </c>
      <c r="F186">
        <v>42.262753889999999</v>
      </c>
      <c r="G186">
        <v>43.76482163</v>
      </c>
      <c r="H186">
        <v>46.260477819999998</v>
      </c>
      <c r="I186">
        <v>51.004234799999999</v>
      </c>
      <c r="J186">
        <v>57.316340590000003</v>
      </c>
      <c r="K186">
        <v>65.063000590000001</v>
      </c>
      <c r="L186">
        <v>73.674239700000001</v>
      </c>
      <c r="M186">
        <v>79.791299539999997</v>
      </c>
      <c r="N186">
        <v>84.237409069999998</v>
      </c>
      <c r="O186"/>
    </row>
    <row r="187" spans="1:15" x14ac:dyDescent="0.25">
      <c r="A187">
        <v>1</v>
      </c>
      <c r="B187" s="13">
        <v>15.291666666666666</v>
      </c>
      <c r="C187">
        <v>-0.69127361399999998</v>
      </c>
      <c r="D187">
        <v>57.72138846</v>
      </c>
      <c r="E187">
        <v>0.179253153</v>
      </c>
      <c r="F187">
        <v>42.630578290000003</v>
      </c>
      <c r="G187">
        <v>44.13637714</v>
      </c>
      <c r="H187">
        <v>46.638147369999999</v>
      </c>
      <c r="I187">
        <v>51.393457429999998</v>
      </c>
      <c r="J187">
        <v>57.72138846</v>
      </c>
      <c r="K187">
        <v>65.489191349999999</v>
      </c>
      <c r="L187">
        <v>74.127359650000002</v>
      </c>
      <c r="M187">
        <v>80.266322860000002</v>
      </c>
      <c r="N187">
        <v>84.730003769999996</v>
      </c>
      <c r="O187"/>
    </row>
    <row r="188" spans="1:15" x14ac:dyDescent="0.25">
      <c r="A188">
        <v>1</v>
      </c>
      <c r="B188" s="13">
        <v>15.375</v>
      </c>
      <c r="C188">
        <v>-0.70126105500000002</v>
      </c>
      <c r="D188">
        <v>58.120996959999999</v>
      </c>
      <c r="E188">
        <v>0.17845712699999999</v>
      </c>
      <c r="F188">
        <v>42.996117580000003</v>
      </c>
      <c r="G188">
        <v>44.505230959999999</v>
      </c>
      <c r="H188">
        <v>47.012469009999997</v>
      </c>
      <c r="I188">
        <v>51.778273409999997</v>
      </c>
      <c r="J188">
        <v>58.120996959999999</v>
      </c>
      <c r="K188">
        <v>65.909318060000004</v>
      </c>
      <c r="L188">
        <v>74.574623290000005</v>
      </c>
      <c r="M188">
        <v>80.736252239999999</v>
      </c>
      <c r="N188">
        <v>85.218393910000003</v>
      </c>
      <c r="O188"/>
    </row>
    <row r="189" spans="1:15" x14ac:dyDescent="0.25">
      <c r="A189">
        <v>1</v>
      </c>
      <c r="B189" s="13">
        <v>15.458333333333334</v>
      </c>
      <c r="C189">
        <v>-0.71192109199999998</v>
      </c>
      <c r="D189">
        <v>58.514921430000001</v>
      </c>
      <c r="E189">
        <v>0.177667942</v>
      </c>
      <c r="F189">
        <v>43.358992700000002</v>
      </c>
      <c r="G189">
        <v>44.871019789999998</v>
      </c>
      <c r="H189">
        <v>47.383104699999997</v>
      </c>
      <c r="I189">
        <v>52.158388870000003</v>
      </c>
      <c r="J189">
        <v>58.514921430000001</v>
      </c>
      <c r="K189">
        <v>66.323180170000001</v>
      </c>
      <c r="L189">
        <v>75.015859660000004</v>
      </c>
      <c r="M189">
        <v>81.200927859999993</v>
      </c>
      <c r="N189">
        <v>85.702424289999996</v>
      </c>
      <c r="O189"/>
    </row>
    <row r="190" spans="1:15" x14ac:dyDescent="0.25">
      <c r="A190">
        <v>1</v>
      </c>
      <c r="B190" s="13">
        <v>15.541666666666666</v>
      </c>
      <c r="C190">
        <v>-0.72321848799999999</v>
      </c>
      <c r="D190">
        <v>58.902932079999999</v>
      </c>
      <c r="E190">
        <v>0.176887192</v>
      </c>
      <c r="F190">
        <v>43.718821060000003</v>
      </c>
      <c r="G190">
        <v>45.233379730000003</v>
      </c>
      <c r="H190">
        <v>47.749720189999998</v>
      </c>
      <c r="I190">
        <v>52.533520179999996</v>
      </c>
      <c r="J190">
        <v>58.902932079999999</v>
      </c>
      <c r="K190">
        <v>66.73059164</v>
      </c>
      <c r="L190">
        <v>75.450903839999995</v>
      </c>
      <c r="M190">
        <v>81.660185029999994</v>
      </c>
      <c r="N190">
        <v>86.181924449999997</v>
      </c>
      <c r="O190"/>
    </row>
    <row r="191" spans="1:15" x14ac:dyDescent="0.25">
      <c r="A191">
        <v>1</v>
      </c>
      <c r="B191" s="13">
        <v>15.625</v>
      </c>
      <c r="C191">
        <v>-0.73512118900000001</v>
      </c>
      <c r="D191">
        <v>59.284799479999997</v>
      </c>
      <c r="E191">
        <v>0.176116307</v>
      </c>
      <c r="F191">
        <v>44.075233240000003</v>
      </c>
      <c r="G191">
        <v>45.591958579999996</v>
      </c>
      <c r="H191">
        <v>48.11199053</v>
      </c>
      <c r="I191">
        <v>52.903388720000002</v>
      </c>
      <c r="J191">
        <v>59.284799479999997</v>
      </c>
      <c r="K191">
        <v>67.131363089999994</v>
      </c>
      <c r="L191">
        <v>75.879587209999997</v>
      </c>
      <c r="M191">
        <v>82.113857949999996</v>
      </c>
      <c r="N191">
        <v>86.656726550000002</v>
      </c>
      <c r="O191"/>
    </row>
    <row r="192" spans="1:15" x14ac:dyDescent="0.25">
      <c r="A192">
        <v>1</v>
      </c>
      <c r="B192" s="13">
        <v>15.708333333333334</v>
      </c>
      <c r="C192">
        <v>-0.74758041600000003</v>
      </c>
      <c r="D192">
        <v>59.660326259999998</v>
      </c>
      <c r="E192">
        <v>0.175356814</v>
      </c>
      <c r="F192">
        <v>44.427844520000001</v>
      </c>
      <c r="G192">
        <v>45.946395809999999</v>
      </c>
      <c r="H192">
        <v>48.469593029999999</v>
      </c>
      <c r="I192">
        <v>53.267734539999999</v>
      </c>
      <c r="J192">
        <v>59.660326259999998</v>
      </c>
      <c r="K192">
        <v>67.52533948</v>
      </c>
      <c r="L192">
        <v>76.301758210000003</v>
      </c>
      <c r="M192">
        <v>82.561772390000002</v>
      </c>
      <c r="N192">
        <v>87.126628580000002</v>
      </c>
      <c r="O192"/>
    </row>
    <row r="193" spans="1:15" x14ac:dyDescent="0.25">
      <c r="A193">
        <v>1</v>
      </c>
      <c r="B193" s="13">
        <v>15.791666666666666</v>
      </c>
      <c r="C193">
        <v>-0.76055066599999999</v>
      </c>
      <c r="D193">
        <v>60.029317040000002</v>
      </c>
      <c r="E193">
        <v>0.17461007100000001</v>
      </c>
      <c r="F193">
        <v>44.77628678</v>
      </c>
      <c r="G193">
        <v>46.296345760000001</v>
      </c>
      <c r="H193">
        <v>48.822217090000002</v>
      </c>
      <c r="I193">
        <v>53.626304879999999</v>
      </c>
      <c r="J193">
        <v>60.029317040000002</v>
      </c>
      <c r="K193">
        <v>67.912363749999997</v>
      </c>
      <c r="L193">
        <v>76.717262439999999</v>
      </c>
      <c r="M193">
        <v>83.003753290000006</v>
      </c>
      <c r="N193">
        <v>87.591430770000002</v>
      </c>
      <c r="O193"/>
    </row>
    <row r="194" spans="1:15" x14ac:dyDescent="0.25">
      <c r="A194">
        <v>1</v>
      </c>
      <c r="B194" s="13">
        <v>15.875</v>
      </c>
      <c r="C194">
        <v>-0.77398455799999999</v>
      </c>
      <c r="D194">
        <v>60.391587209999997</v>
      </c>
      <c r="E194">
        <v>0.17387733599999999</v>
      </c>
      <c r="F194">
        <v>45.120201899999998</v>
      </c>
      <c r="G194">
        <v>46.641473210000001</v>
      </c>
      <c r="H194">
        <v>49.169563019999998</v>
      </c>
      <c r="I194">
        <v>53.978858320000001</v>
      </c>
      <c r="J194">
        <v>60.391587209999997</v>
      </c>
      <c r="K194">
        <v>68.292287169999994</v>
      </c>
      <c r="L194">
        <v>77.125948640000004</v>
      </c>
      <c r="M194">
        <v>83.439623389999994</v>
      </c>
      <c r="N194">
        <v>88.050926309999994</v>
      </c>
      <c r="O194"/>
    </row>
    <row r="195" spans="1:15" x14ac:dyDescent="0.25">
      <c r="A195">
        <v>1</v>
      </c>
      <c r="B195" s="13">
        <v>15.958333333333334</v>
      </c>
      <c r="C195">
        <v>-0.78781772800000005</v>
      </c>
      <c r="D195">
        <v>60.746987849999996</v>
      </c>
      <c r="E195">
        <v>0.17315995300000001</v>
      </c>
      <c r="F195">
        <v>45.459222089999997</v>
      </c>
      <c r="G195">
        <v>46.981439870000003</v>
      </c>
      <c r="H195">
        <v>49.511338209999998</v>
      </c>
      <c r="I195">
        <v>54.325176249999998</v>
      </c>
      <c r="J195">
        <v>60.746987849999996</v>
      </c>
      <c r="K195">
        <v>68.664998350000005</v>
      </c>
      <c r="L195">
        <v>77.527684300000004</v>
      </c>
      <c r="M195">
        <v>83.869196599999995</v>
      </c>
      <c r="N195">
        <v>88.50487158</v>
      </c>
      <c r="O195"/>
    </row>
    <row r="196" spans="1:15" x14ac:dyDescent="0.25">
      <c r="A196">
        <v>1</v>
      </c>
      <c r="B196" s="13">
        <v>16.041666666666668</v>
      </c>
      <c r="C196">
        <v>-0.801993069</v>
      </c>
      <c r="D196">
        <v>61.095368469999997</v>
      </c>
      <c r="E196">
        <v>0.172459052</v>
      </c>
      <c r="F196">
        <v>45.793005909999998</v>
      </c>
      <c r="G196">
        <v>47.315930160000001</v>
      </c>
      <c r="H196">
        <v>49.847267029999998</v>
      </c>
      <c r="I196">
        <v>54.66504759</v>
      </c>
      <c r="J196">
        <v>61.095368469999997</v>
      </c>
      <c r="K196">
        <v>69.030379109999998</v>
      </c>
      <c r="L196">
        <v>77.922332310000002</v>
      </c>
      <c r="M196">
        <v>84.29228904</v>
      </c>
      <c r="N196">
        <v>88.953032859999993</v>
      </c>
      <c r="O196"/>
    </row>
    <row r="197" spans="1:15" x14ac:dyDescent="0.25">
      <c r="A197">
        <v>1</v>
      </c>
      <c r="B197" s="13">
        <v>16.125</v>
      </c>
      <c r="C197">
        <v>-0.81644640899999998</v>
      </c>
      <c r="D197">
        <v>61.436600769999998</v>
      </c>
      <c r="E197">
        <v>0.17177572599999999</v>
      </c>
      <c r="F197">
        <v>46.121219379999999</v>
      </c>
      <c r="G197">
        <v>47.644638270000002</v>
      </c>
      <c r="H197">
        <v>50.17708708</v>
      </c>
      <c r="I197">
        <v>54.998279699999998</v>
      </c>
      <c r="J197">
        <v>61.436600769999998</v>
      </c>
      <c r="K197">
        <v>69.388332140000003</v>
      </c>
      <c r="L197">
        <v>78.309765929999998</v>
      </c>
      <c r="M197">
        <v>84.708712969999993</v>
      </c>
      <c r="N197">
        <v>89.395158269999996</v>
      </c>
      <c r="O197"/>
    </row>
    <row r="198" spans="1:15" x14ac:dyDescent="0.25">
      <c r="A198">
        <v>1</v>
      </c>
      <c r="B198" s="13">
        <v>16.208333333333332</v>
      </c>
      <c r="C198">
        <v>-0.831110299</v>
      </c>
      <c r="D198">
        <v>61.770573720000002</v>
      </c>
      <c r="E198">
        <v>0.17111098599999999</v>
      </c>
      <c r="F198">
        <v>46.443542800000003</v>
      </c>
      <c r="G198">
        <v>47.967273319999997</v>
      </c>
      <c r="H198">
        <v>50.500551799999997</v>
      </c>
      <c r="I198">
        <v>55.324696959999997</v>
      </c>
      <c r="J198">
        <v>61.770573720000002</v>
      </c>
      <c r="K198">
        <v>69.738775059999995</v>
      </c>
      <c r="L198">
        <v>78.689865909999995</v>
      </c>
      <c r="M198">
        <v>85.118278900000007</v>
      </c>
      <c r="N198">
        <v>89.830984909999998</v>
      </c>
      <c r="O198"/>
    </row>
    <row r="199" spans="1:15" x14ac:dyDescent="0.25">
      <c r="A199">
        <v>1</v>
      </c>
      <c r="B199" s="13">
        <v>16.291666666666668</v>
      </c>
      <c r="C199">
        <v>-0.84591449799999996</v>
      </c>
      <c r="D199">
        <v>62.097193990000001</v>
      </c>
      <c r="E199">
        <v>0.170465756</v>
      </c>
      <c r="F199">
        <v>46.759672790000003</v>
      </c>
      <c r="G199">
        <v>48.2835611</v>
      </c>
      <c r="H199">
        <v>50.817431859999999</v>
      </c>
      <c r="I199">
        <v>55.644141660000003</v>
      </c>
      <c r="J199">
        <v>62.097193990000001</v>
      </c>
      <c r="K199">
        <v>70.081640609999994</v>
      </c>
      <c r="L199">
        <v>79.062520899999996</v>
      </c>
      <c r="M199">
        <v>85.520796160000003</v>
      </c>
      <c r="N199">
        <v>90.260239650000003</v>
      </c>
      <c r="O199"/>
    </row>
    <row r="200" spans="1:15" x14ac:dyDescent="0.25">
      <c r="A200">
        <v>1</v>
      </c>
      <c r="B200" s="13">
        <v>16.375</v>
      </c>
      <c r="C200">
        <v>-0.86078651399999995</v>
      </c>
      <c r="D200">
        <v>62.416386279999998</v>
      </c>
      <c r="E200">
        <v>0.16984086900000001</v>
      </c>
      <c r="F200">
        <v>47.069324260000002</v>
      </c>
      <c r="G200">
        <v>48.59324591</v>
      </c>
      <c r="H200">
        <v>51.127516610000001</v>
      </c>
      <c r="I200">
        <v>55.956474780000001</v>
      </c>
      <c r="J200">
        <v>62.416386279999998</v>
      </c>
      <c r="K200">
        <v>70.416876819999999</v>
      </c>
      <c r="L200">
        <v>79.427627790000003</v>
      </c>
      <c r="M200">
        <v>85.916073650000001</v>
      </c>
      <c r="N200">
        <v>90.68264001</v>
      </c>
      <c r="O200"/>
    </row>
    <row r="201" spans="1:15" x14ac:dyDescent="0.25">
      <c r="A201">
        <v>1</v>
      </c>
      <c r="B201" s="13">
        <v>16.458333333333332</v>
      </c>
      <c r="C201">
        <v>-0.87565218099999997</v>
      </c>
      <c r="D201">
        <v>62.728093620000003</v>
      </c>
      <c r="E201">
        <v>0.16923706299999999</v>
      </c>
      <c r="F201">
        <v>47.372232390000001</v>
      </c>
      <c r="G201">
        <v>48.896092179999997</v>
      </c>
      <c r="H201">
        <v>51.430615369999998</v>
      </c>
      <c r="I201">
        <v>56.261576810000001</v>
      </c>
      <c r="J201">
        <v>62.728093620000003</v>
      </c>
      <c r="K201">
        <v>70.744447129999998</v>
      </c>
      <c r="L201">
        <v>79.785092160000005</v>
      </c>
      <c r="M201">
        <v>86.303920610000006</v>
      </c>
      <c r="N201">
        <v>91.097895359999995</v>
      </c>
      <c r="O201"/>
    </row>
    <row r="202" spans="1:15" x14ac:dyDescent="0.25">
      <c r="A202">
        <v>1</v>
      </c>
      <c r="B202" s="13">
        <v>16.541666666666668</v>
      </c>
      <c r="C202">
        <v>-0.890436283</v>
      </c>
      <c r="D202">
        <v>63.032277559999997</v>
      </c>
      <c r="E202">
        <v>0.16865497099999999</v>
      </c>
      <c r="F202">
        <v>47.668154559999998</v>
      </c>
      <c r="G202">
        <v>49.191886199999999</v>
      </c>
      <c r="H202">
        <v>51.726558740000002</v>
      </c>
      <c r="I202">
        <v>56.559348389999997</v>
      </c>
      <c r="J202">
        <v>63.032277559999997</v>
      </c>
      <c r="K202">
        <v>71.064330459999994</v>
      </c>
      <c r="L202">
        <v>80.134828589999998</v>
      </c>
      <c r="M202">
        <v>86.684147490000001</v>
      </c>
      <c r="N202">
        <v>91.505708139999996</v>
      </c>
      <c r="O202"/>
    </row>
    <row r="203" spans="1:15" x14ac:dyDescent="0.25">
      <c r="A203">
        <v>1</v>
      </c>
      <c r="B203" s="13">
        <v>16.625</v>
      </c>
      <c r="C203">
        <v>-0.90506318500000005</v>
      </c>
      <c r="D203">
        <v>63.32891841</v>
      </c>
      <c r="E203">
        <v>0.16809512400000001</v>
      </c>
      <c r="F203">
        <v>47.956872099999998</v>
      </c>
      <c r="G203">
        <v>49.480437700000003</v>
      </c>
      <c r="H203">
        <v>52.015199819999999</v>
      </c>
      <c r="I203">
        <v>56.8497111</v>
      </c>
      <c r="J203">
        <v>63.32891841</v>
      </c>
      <c r="K203">
        <v>71.376521199999999</v>
      </c>
      <c r="L203">
        <v>80.476761120000006</v>
      </c>
      <c r="M203">
        <v>87.056566900000007</v>
      </c>
      <c r="N203">
        <v>91.905775410000004</v>
      </c>
      <c r="O203"/>
    </row>
    <row r="204" spans="1:15" x14ac:dyDescent="0.25">
      <c r="A204">
        <v>1</v>
      </c>
      <c r="B204" s="13">
        <v>16.708333333333332</v>
      </c>
      <c r="C204">
        <v>-0.91945748999999999</v>
      </c>
      <c r="D204">
        <v>63.618015370000002</v>
      </c>
      <c r="E204">
        <v>0.16755793999999999</v>
      </c>
      <c r="F204">
        <v>48.238192040000001</v>
      </c>
      <c r="G204">
        <v>49.761581249999999</v>
      </c>
      <c r="H204">
        <v>52.29641539</v>
      </c>
      <c r="I204">
        <v>57.132607989999997</v>
      </c>
      <c r="J204">
        <v>63.618015370000002</v>
      </c>
      <c r="K204">
        <v>71.681029179999996</v>
      </c>
      <c r="L204">
        <v>80.810823540000001</v>
      </c>
      <c r="M204">
        <v>87.420994629999996</v>
      </c>
      <c r="N204">
        <v>92.297790460000002</v>
      </c>
      <c r="O204"/>
    </row>
    <row r="205" spans="1:15" x14ac:dyDescent="0.25">
      <c r="A205">
        <v>1</v>
      </c>
      <c r="B205" s="13">
        <v>16.791666666666668</v>
      </c>
      <c r="C205">
        <v>-0.93354468300000004</v>
      </c>
      <c r="D205">
        <v>63.899586620000001</v>
      </c>
      <c r="E205">
        <v>0.16704372200000001</v>
      </c>
      <c r="F205">
        <v>48.511948599999997</v>
      </c>
      <c r="G205">
        <v>50.03517772</v>
      </c>
      <c r="H205">
        <v>52.570106920000001</v>
      </c>
      <c r="I205">
        <v>57.408004159999997</v>
      </c>
      <c r="J205">
        <v>63.899586620000001</v>
      </c>
      <c r="K205">
        <v>71.977879659999999</v>
      </c>
      <c r="L205">
        <v>81.1369598</v>
      </c>
      <c r="M205">
        <v>87.777250730000006</v>
      </c>
      <c r="N205">
        <v>92.6814447</v>
      </c>
      <c r="O205"/>
    </row>
    <row r="206" spans="1:15" x14ac:dyDescent="0.25">
      <c r="A206">
        <v>1</v>
      </c>
      <c r="B206" s="13">
        <v>16.875</v>
      </c>
      <c r="C206">
        <v>-0.94725176499999997</v>
      </c>
      <c r="D206">
        <v>64.173669430000004</v>
      </c>
      <c r="E206">
        <v>0.16655265399999999</v>
      </c>
      <c r="F206">
        <v>48.778004629999998</v>
      </c>
      <c r="G206">
        <v>50.30111539</v>
      </c>
      <c r="H206">
        <v>52.836201529999997</v>
      </c>
      <c r="I206">
        <v>57.675887279999998</v>
      </c>
      <c r="J206">
        <v>64.173669430000004</v>
      </c>
      <c r="K206">
        <v>72.267113249999994</v>
      </c>
      <c r="L206">
        <v>81.455124420000004</v>
      </c>
      <c r="M206">
        <v>88.125160719999997</v>
      </c>
      <c r="N206">
        <v>93.056429620000003</v>
      </c>
      <c r="O206"/>
    </row>
    <row r="207" spans="1:15" x14ac:dyDescent="0.25">
      <c r="A207">
        <v>1</v>
      </c>
      <c r="B207" s="13">
        <v>16.958333333333332</v>
      </c>
      <c r="C207">
        <v>-0.96050785500000002</v>
      </c>
      <c r="D207">
        <v>64.440320159999999</v>
      </c>
      <c r="E207">
        <v>0.16608479800000001</v>
      </c>
      <c r="F207">
        <v>49.036252750000003</v>
      </c>
      <c r="G207">
        <v>50.559311049999998</v>
      </c>
      <c r="H207">
        <v>53.094652750000002</v>
      </c>
      <c r="I207">
        <v>57.93626794</v>
      </c>
      <c r="J207">
        <v>64.440320159999999</v>
      </c>
      <c r="K207">
        <v>72.548785820000006</v>
      </c>
      <c r="L207">
        <v>81.765282889999995</v>
      </c>
      <c r="M207">
        <v>88.464556830000006</v>
      </c>
      <c r="N207">
        <v>93.42243904</v>
      </c>
      <c r="O207"/>
    </row>
    <row r="208" spans="1:15" x14ac:dyDescent="0.25">
      <c r="A208">
        <v>1</v>
      </c>
      <c r="B208" s="13">
        <v>17.041666666666668</v>
      </c>
      <c r="C208">
        <v>-0.97324476199999999</v>
      </c>
      <c r="D208">
        <v>64.699614269999998</v>
      </c>
      <c r="E208">
        <v>0.16564008999999999</v>
      </c>
      <c r="F208">
        <v>49.286616350000003</v>
      </c>
      <c r="G208">
        <v>50.809710799999998</v>
      </c>
      <c r="H208">
        <v>53.345441209999997</v>
      </c>
      <c r="I208">
        <v>58.18918</v>
      </c>
      <c r="J208">
        <v>64.699614269999998</v>
      </c>
      <c r="K208">
        <v>72.822968410000001</v>
      </c>
      <c r="L208">
        <v>82.06741212</v>
      </c>
      <c r="M208">
        <v>88.79527942</v>
      </c>
      <c r="N208">
        <v>93.779171450000007</v>
      </c>
      <c r="O208"/>
    </row>
    <row r="209" spans="1:15" x14ac:dyDescent="0.25">
      <c r="A209">
        <v>1</v>
      </c>
      <c r="B209" s="13">
        <v>17.125</v>
      </c>
      <c r="C209">
        <v>-0.98539750199999998</v>
      </c>
      <c r="D209">
        <v>64.951646249999996</v>
      </c>
      <c r="E209">
        <v>0.16521834099999999</v>
      </c>
      <c r="F209">
        <v>49.529050290000001</v>
      </c>
      <c r="G209">
        <v>51.052290710000001</v>
      </c>
      <c r="H209">
        <v>53.588575069999997</v>
      </c>
      <c r="I209">
        <v>58.43468077</v>
      </c>
      <c r="J209">
        <v>64.951646249999996</v>
      </c>
      <c r="K209">
        <v>73.089747180000003</v>
      </c>
      <c r="L209">
        <v>82.361500899999996</v>
      </c>
      <c r="M209">
        <v>89.117178359999997</v>
      </c>
      <c r="N209">
        <v>94.126332570000002</v>
      </c>
      <c r="O209"/>
    </row>
    <row r="210" spans="1:15" x14ac:dyDescent="0.25">
      <c r="A210">
        <v>1</v>
      </c>
      <c r="B210" s="13">
        <v>17.208333333333332</v>
      </c>
      <c r="C210">
        <v>-0.996904762</v>
      </c>
      <c r="D210">
        <v>65.196529499999997</v>
      </c>
      <c r="E210">
        <v>0.16481923600000001</v>
      </c>
      <c r="F210">
        <v>49.763541359999998</v>
      </c>
      <c r="G210">
        <v>51.287057160000003</v>
      </c>
      <c r="H210">
        <v>53.824090320000003</v>
      </c>
      <c r="I210">
        <v>58.672851049999998</v>
      </c>
      <c r="J210">
        <v>65.196529499999997</v>
      </c>
      <c r="K210">
        <v>73.349223240000001</v>
      </c>
      <c r="L210">
        <v>82.647550469999999</v>
      </c>
      <c r="M210">
        <v>89.430114630000006</v>
      </c>
      <c r="N210">
        <v>94.463638059999994</v>
      </c>
      <c r="O210"/>
    </row>
    <row r="211" spans="1:15" x14ac:dyDescent="0.25">
      <c r="A211">
        <v>1</v>
      </c>
      <c r="B211" s="13">
        <v>17.291666666666668</v>
      </c>
      <c r="C211">
        <v>-1.007705555</v>
      </c>
      <c r="D211">
        <v>65.434401859999994</v>
      </c>
      <c r="E211">
        <v>0.16444238</v>
      </c>
      <c r="F211">
        <v>49.990103329999997</v>
      </c>
      <c r="G211">
        <v>51.514043350000001</v>
      </c>
      <c r="H211">
        <v>54.052049390000001</v>
      </c>
      <c r="I211">
        <v>58.903797419999997</v>
      </c>
      <c r="J211">
        <v>65.434401859999994</v>
      </c>
      <c r="K211">
        <v>73.601519679999996</v>
      </c>
      <c r="L211">
        <v>82.925579080000006</v>
      </c>
      <c r="M211">
        <v>89.733960539999998</v>
      </c>
      <c r="N211">
        <v>94.79080897</v>
      </c>
      <c r="O211"/>
    </row>
    <row r="212" spans="1:15" x14ac:dyDescent="0.25">
      <c r="A212">
        <v>1</v>
      </c>
      <c r="B212" s="13">
        <v>17.375</v>
      </c>
      <c r="C212">
        <v>-1.017756047</v>
      </c>
      <c r="D212">
        <v>65.665400149999996</v>
      </c>
      <c r="E212">
        <v>0.16408710300000001</v>
      </c>
      <c r="F212">
        <v>50.208799399999997</v>
      </c>
      <c r="G212">
        <v>51.733325229999998</v>
      </c>
      <c r="H212">
        <v>54.272547080000002</v>
      </c>
      <c r="I212">
        <v>59.127641699999998</v>
      </c>
      <c r="J212">
        <v>65.665400149999996</v>
      </c>
      <c r="K212">
        <v>73.846750409999999</v>
      </c>
      <c r="L212">
        <v>83.195604959999997</v>
      </c>
      <c r="M212">
        <v>90.028607980000004</v>
      </c>
      <c r="N212">
        <v>95.107607790000003</v>
      </c>
      <c r="O212"/>
    </row>
    <row r="213" spans="1:15" x14ac:dyDescent="0.25">
      <c r="A213">
        <v>1</v>
      </c>
      <c r="B213" s="13">
        <v>17.458333333333332</v>
      </c>
      <c r="C213">
        <v>-1.0270027129999999</v>
      </c>
      <c r="D213">
        <v>65.889701169999995</v>
      </c>
      <c r="E213">
        <v>0.16375279100000001</v>
      </c>
      <c r="F213">
        <v>50.41970456</v>
      </c>
      <c r="G213">
        <v>51.944994510000001</v>
      </c>
      <c r="H213">
        <v>54.485700119999997</v>
      </c>
      <c r="I213">
        <v>59.3445374</v>
      </c>
      <c r="J213">
        <v>65.889701169999995</v>
      </c>
      <c r="K213">
        <v>74.085070970000004</v>
      </c>
      <c r="L213">
        <v>83.457676120000002</v>
      </c>
      <c r="M213">
        <v>90.313959690000004</v>
      </c>
      <c r="N213">
        <v>95.413787549999995</v>
      </c>
      <c r="O213"/>
    </row>
    <row r="214" spans="1:15" x14ac:dyDescent="0.25">
      <c r="A214">
        <v>1</v>
      </c>
      <c r="B214" s="13">
        <v>17.541666666666668</v>
      </c>
      <c r="C214">
        <v>-1.0354022430000001</v>
      </c>
      <c r="D214">
        <v>66.107491139999993</v>
      </c>
      <c r="E214">
        <v>0.16343866100000001</v>
      </c>
      <c r="F214">
        <v>50.62293176</v>
      </c>
      <c r="G214">
        <v>52.149177170000002</v>
      </c>
      <c r="H214">
        <v>54.691653639999998</v>
      </c>
      <c r="I214">
        <v>59.554656780000002</v>
      </c>
      <c r="J214">
        <v>66.107491139999993</v>
      </c>
      <c r="K214">
        <v>74.316641410000003</v>
      </c>
      <c r="L214">
        <v>83.711849979999997</v>
      </c>
      <c r="M214">
        <v>90.589939090000001</v>
      </c>
      <c r="N214">
        <v>95.709134739999996</v>
      </c>
      <c r="O214"/>
    </row>
    <row r="215" spans="1:15" x14ac:dyDescent="0.25">
      <c r="A215">
        <v>1</v>
      </c>
      <c r="B215" s="13">
        <v>17.625</v>
      </c>
      <c r="C215">
        <v>-1.0429163560000001</v>
      </c>
      <c r="D215">
        <v>66.318973110000002</v>
      </c>
      <c r="E215">
        <v>0.16314382499999999</v>
      </c>
      <c r="F215">
        <v>50.818623459999998</v>
      </c>
      <c r="G215">
        <v>52.34602709</v>
      </c>
      <c r="H215">
        <v>54.890578189999999</v>
      </c>
      <c r="I215">
        <v>59.758193259999999</v>
      </c>
      <c r="J215">
        <v>66.318973110000002</v>
      </c>
      <c r="K215">
        <v>74.54163604</v>
      </c>
      <c r="L215">
        <v>83.958199949999994</v>
      </c>
      <c r="M215">
        <v>90.856490429999994</v>
      </c>
      <c r="N215">
        <v>95.993462350000001</v>
      </c>
      <c r="O215"/>
    </row>
    <row r="216" spans="1:15" x14ac:dyDescent="0.25">
      <c r="A216">
        <v>1</v>
      </c>
      <c r="B216" s="13">
        <v>17.708333333333332</v>
      </c>
      <c r="C216">
        <v>-1.049511871</v>
      </c>
      <c r="D216">
        <v>66.524366180000001</v>
      </c>
      <c r="E216">
        <v>0.16286731099999999</v>
      </c>
      <c r="F216">
        <v>51.006950009999997</v>
      </c>
      <c r="G216">
        <v>52.535724549999998</v>
      </c>
      <c r="H216">
        <v>55.082668320000003</v>
      </c>
      <c r="I216">
        <v>59.955360249999998</v>
      </c>
      <c r="J216">
        <v>66.524366180000001</v>
      </c>
      <c r="K216">
        <v>74.760243220000007</v>
      </c>
      <c r="L216">
        <v>84.196816380000001</v>
      </c>
      <c r="M216">
        <v>91.113581150000002</v>
      </c>
      <c r="N216">
        <v>96.266613849999999</v>
      </c>
      <c r="O216"/>
    </row>
    <row r="217" spans="1:15" x14ac:dyDescent="0.25">
      <c r="A217">
        <v>1</v>
      </c>
      <c r="B217" s="13">
        <v>17.791666666666668</v>
      </c>
      <c r="C217">
        <v>-1.055160732</v>
      </c>
      <c r="D217">
        <v>66.723904430000005</v>
      </c>
      <c r="E217">
        <v>0.16260807199999999</v>
      </c>
      <c r="F217">
        <v>51.188107639999998</v>
      </c>
      <c r="G217">
        <v>52.718474280000002</v>
      </c>
      <c r="H217">
        <v>55.268140809999998</v>
      </c>
      <c r="I217">
        <v>60.1463897</v>
      </c>
      <c r="J217">
        <v>66.723904430000005</v>
      </c>
      <c r="K217">
        <v>74.972665030000002</v>
      </c>
      <c r="L217">
        <v>84.427807540000003</v>
      </c>
      <c r="M217">
        <v>91.361204509999993</v>
      </c>
      <c r="N217">
        <v>96.528467430000006</v>
      </c>
      <c r="O217"/>
    </row>
    <row r="218" spans="1:15" x14ac:dyDescent="0.25">
      <c r="A218">
        <v>1</v>
      </c>
      <c r="B218" s="13">
        <v>17.875</v>
      </c>
      <c r="C218">
        <v>-1.0598400189999999</v>
      </c>
      <c r="D218">
        <v>66.917835629999999</v>
      </c>
      <c r="E218">
        <v>0.16236500600000001</v>
      </c>
      <c r="F218">
        <v>51.362316079999999</v>
      </c>
      <c r="G218">
        <v>52.894503190000002</v>
      </c>
      <c r="H218">
        <v>55.447232550000003</v>
      </c>
      <c r="I218">
        <v>60.331530270000002</v>
      </c>
      <c r="J218">
        <v>66.917835629999999</v>
      </c>
      <c r="K218">
        <v>75.179116840000006</v>
      </c>
      <c r="L218">
        <v>84.651300699999993</v>
      </c>
      <c r="M218">
        <v>91.599382320000004</v>
      </c>
      <c r="N218">
        <v>96.778940460000001</v>
      </c>
      <c r="O218"/>
    </row>
    <row r="219" spans="1:15" x14ac:dyDescent="0.25">
      <c r="A219">
        <v>1</v>
      </c>
      <c r="B219" s="13">
        <v>17.958333333333332</v>
      </c>
      <c r="C219">
        <v>-1.0635319729999999</v>
      </c>
      <c r="D219">
        <v>67.106419560000006</v>
      </c>
      <c r="E219">
        <v>0.16213697299999999</v>
      </c>
      <c r="F219">
        <v>51.529815820000003</v>
      </c>
      <c r="G219">
        <v>53.064057689999999</v>
      </c>
      <c r="H219">
        <v>55.620197990000001</v>
      </c>
      <c r="I219">
        <v>60.511045119999999</v>
      </c>
      <c r="J219">
        <v>67.106419560000006</v>
      </c>
      <c r="K219">
        <v>75.379826570000006</v>
      </c>
      <c r="L219">
        <v>84.867443219999998</v>
      </c>
      <c r="M219">
        <v>91.828167949999994</v>
      </c>
      <c r="N219">
        <v>97.017994470000005</v>
      </c>
      <c r="O219"/>
    </row>
    <row r="220" spans="1:15" x14ac:dyDescent="0.25">
      <c r="A220">
        <v>1</v>
      </c>
      <c r="B220" s="13">
        <v>18.041666666666668</v>
      </c>
      <c r="C220">
        <v>-1.0662240380000001</v>
      </c>
      <c r="D220">
        <v>67.289926030000004</v>
      </c>
      <c r="E220">
        <v>0.161922819</v>
      </c>
      <c r="F220">
        <v>51.69086489</v>
      </c>
      <c r="G220">
        <v>53.227400590000002</v>
      </c>
      <c r="H220">
        <v>55.787306219999998</v>
      </c>
      <c r="I220">
        <v>60.685209280000002</v>
      </c>
      <c r="J220">
        <v>67.289926030000004</v>
      </c>
      <c r="K220">
        <v>75.575033880000007</v>
      </c>
      <c r="L220">
        <v>85.076403639999995</v>
      </c>
      <c r="M220">
        <v>92.047649579999998</v>
      </c>
      <c r="N220">
        <v>97.245640339999994</v>
      </c>
      <c r="O220"/>
    </row>
    <row r="221" spans="1:15" x14ac:dyDescent="0.25">
      <c r="A221">
        <v>1</v>
      </c>
      <c r="B221" s="13">
        <v>18.125</v>
      </c>
      <c r="C221">
        <v>-1.0679089079999999</v>
      </c>
      <c r="D221">
        <v>67.468632549999995</v>
      </c>
      <c r="E221">
        <v>0.16172139799999999</v>
      </c>
      <c r="F221">
        <v>51.8457352</v>
      </c>
      <c r="G221">
        <v>53.38480749</v>
      </c>
      <c r="H221">
        <v>55.948837470000001</v>
      </c>
      <c r="I221">
        <v>60.854306620000003</v>
      </c>
      <c r="J221">
        <v>67.468632549999995</v>
      </c>
      <c r="K221">
        <v>75.76498909</v>
      </c>
      <c r="L221">
        <v>85.278372860000005</v>
      </c>
      <c r="M221">
        <v>92.257953630000003</v>
      </c>
      <c r="N221">
        <v>97.461943980000001</v>
      </c>
      <c r="O221"/>
    </row>
    <row r="222" spans="1:15" x14ac:dyDescent="0.25">
      <c r="A222">
        <v>1</v>
      </c>
      <c r="B222" s="13">
        <v>18.208333333333332</v>
      </c>
      <c r="C222">
        <v>-1.068589885</v>
      </c>
      <c r="D222">
        <v>67.642813779999997</v>
      </c>
      <c r="E222">
        <v>0.16153153000000001</v>
      </c>
      <c r="F222">
        <v>51.994716650000001</v>
      </c>
      <c r="G222">
        <v>53.53656883</v>
      </c>
      <c r="H222">
        <v>56.105082060000001</v>
      </c>
      <c r="I222">
        <v>61.018623699999999</v>
      </c>
      <c r="J222">
        <v>67.642813779999997</v>
      </c>
      <c r="K222">
        <v>75.949941710000004</v>
      </c>
      <c r="L222">
        <v>85.473558530000005</v>
      </c>
      <c r="M222">
        <v>92.459248799999997</v>
      </c>
      <c r="N222">
        <v>97.667040650000004</v>
      </c>
      <c r="O222"/>
    </row>
    <row r="223" spans="1:15" x14ac:dyDescent="0.25">
      <c r="A223">
        <v>1</v>
      </c>
      <c r="B223" s="13">
        <v>18.291666666666668</v>
      </c>
      <c r="C223">
        <v>-1.068261146</v>
      </c>
      <c r="D223">
        <v>67.812767500000007</v>
      </c>
      <c r="E223">
        <v>0.161352313</v>
      </c>
      <c r="F223">
        <v>52.138081239999998</v>
      </c>
      <c r="G223">
        <v>53.68296205</v>
      </c>
      <c r="H223">
        <v>56.256325089999997</v>
      </c>
      <c r="I223">
        <v>61.178455319999998</v>
      </c>
      <c r="J223">
        <v>67.812767500000007</v>
      </c>
      <c r="K223">
        <v>76.130177439999997</v>
      </c>
      <c r="L223">
        <v>85.662212409999995</v>
      </c>
      <c r="M223">
        <v>92.651749460000005</v>
      </c>
      <c r="N223">
        <v>97.861110699999998</v>
      </c>
      <c r="O223"/>
    </row>
    <row r="224" spans="1:15" x14ac:dyDescent="0.25">
      <c r="A224">
        <v>1</v>
      </c>
      <c r="B224" s="13">
        <v>18.375</v>
      </c>
      <c r="C224">
        <v>-1.0669337560000001</v>
      </c>
      <c r="D224">
        <v>67.978773309999994</v>
      </c>
      <c r="E224">
        <v>0.161182785</v>
      </c>
      <c r="F224">
        <v>52.276119020000003</v>
      </c>
      <c r="G224">
        <v>53.82427723</v>
      </c>
      <c r="H224">
        <v>56.402856</v>
      </c>
      <c r="I224">
        <v>61.334087869999998</v>
      </c>
      <c r="J224">
        <v>67.978773309999994</v>
      </c>
      <c r="K224">
        <v>76.305966229999996</v>
      </c>
      <c r="L224">
        <v>85.844597280000002</v>
      </c>
      <c r="M224">
        <v>92.835719850000004</v>
      </c>
      <c r="N224">
        <v>98.044425160000003</v>
      </c>
      <c r="O224"/>
    </row>
    <row r="225" spans="1:15" x14ac:dyDescent="0.25">
      <c r="A225">
        <v>1</v>
      </c>
      <c r="B225" s="13">
        <v>18.458333333333332</v>
      </c>
      <c r="C225">
        <v>-1.0646209760000001</v>
      </c>
      <c r="D225">
        <v>68.141110220000002</v>
      </c>
      <c r="E225">
        <v>0.16102218400000001</v>
      </c>
      <c r="F225">
        <v>52.409108199999999</v>
      </c>
      <c r="G225">
        <v>53.960793209999999</v>
      </c>
      <c r="H225">
        <v>56.544954250000004</v>
      </c>
      <c r="I225">
        <v>61.485800859999998</v>
      </c>
      <c r="J225">
        <v>68.141110220000002</v>
      </c>
      <c r="K225">
        <v>76.477589359999996</v>
      </c>
      <c r="L225">
        <v>86.021008550000005</v>
      </c>
      <c r="M225">
        <v>93.011479199999997</v>
      </c>
      <c r="N225">
        <v>98.217331279999996</v>
      </c>
      <c r="O225"/>
    </row>
    <row r="226" spans="1:15" x14ac:dyDescent="0.25">
      <c r="A226">
        <v>1</v>
      </c>
      <c r="B226" s="13">
        <v>18.541666666666668</v>
      </c>
      <c r="C226">
        <v>-1.0613417549999999</v>
      </c>
      <c r="D226">
        <v>68.300047410000005</v>
      </c>
      <c r="E226">
        <v>0.16086994299999999</v>
      </c>
      <c r="F226">
        <v>52.537313920000003</v>
      </c>
      <c r="G226">
        <v>54.092775119999999</v>
      </c>
      <c r="H226">
        <v>56.68288493</v>
      </c>
      <c r="I226">
        <v>61.63385984</v>
      </c>
      <c r="J226">
        <v>68.300047410000005</v>
      </c>
      <c r="K226">
        <v>76.645330920000006</v>
      </c>
      <c r="L226">
        <v>86.191771399999993</v>
      </c>
      <c r="M226">
        <v>93.179406380000003</v>
      </c>
      <c r="N226">
        <v>98.380264710000006</v>
      </c>
      <c r="O226"/>
    </row>
    <row r="227" spans="1:15" x14ac:dyDescent="0.25">
      <c r="A227">
        <v>1</v>
      </c>
      <c r="B227" s="13">
        <v>18.625</v>
      </c>
      <c r="C227">
        <v>-1.0571169570000001</v>
      </c>
      <c r="D227">
        <v>68.455845400000001</v>
      </c>
      <c r="E227">
        <v>0.16072579300000001</v>
      </c>
      <c r="F227">
        <v>52.66097508</v>
      </c>
      <c r="G227">
        <v>54.220462910000002</v>
      </c>
      <c r="H227">
        <v>56.816890020000002</v>
      </c>
      <c r="I227">
        <v>61.778512229999997</v>
      </c>
      <c r="J227">
        <v>68.455845400000001</v>
      </c>
      <c r="K227">
        <v>76.809483229999998</v>
      </c>
      <c r="L227">
        <v>86.357247119999997</v>
      </c>
      <c r="M227">
        <v>93.339943980000001</v>
      </c>
      <c r="N227">
        <v>98.53374986</v>
      </c>
      <c r="O227"/>
    </row>
    <row r="228" spans="1:15" x14ac:dyDescent="0.25">
      <c r="A228">
        <v>1</v>
      </c>
      <c r="B228" s="13">
        <v>18.708333333333332</v>
      </c>
      <c r="C228">
        <v>-1.0519889790000001</v>
      </c>
      <c r="D228">
        <v>68.608721739999993</v>
      </c>
      <c r="E228">
        <v>0.16058957400000001</v>
      </c>
      <c r="F228">
        <v>52.780324479999997</v>
      </c>
      <c r="G228">
        <v>54.344083879999999</v>
      </c>
      <c r="H228">
        <v>56.947189180000002</v>
      </c>
      <c r="I228">
        <v>61.919969530000003</v>
      </c>
      <c r="J228">
        <v>68.608721739999993</v>
      </c>
      <c r="K228">
        <v>76.970307809999994</v>
      </c>
      <c r="L228">
        <v>86.517812770000006</v>
      </c>
      <c r="M228">
        <v>93.493608949999995</v>
      </c>
      <c r="N228">
        <v>98.678443759999993</v>
      </c>
      <c r="O228"/>
    </row>
    <row r="229" spans="1:15" x14ac:dyDescent="0.25">
      <c r="A229">
        <v>1</v>
      </c>
      <c r="B229" s="13">
        <v>18.791666666666668</v>
      </c>
      <c r="C229">
        <v>-1.04599033</v>
      </c>
      <c r="D229">
        <v>68.758892630000005</v>
      </c>
      <c r="E229">
        <v>0.16046170000000001</v>
      </c>
      <c r="F229">
        <v>52.895533460000003</v>
      </c>
      <c r="G229">
        <v>54.463810039999998</v>
      </c>
      <c r="H229">
        <v>57.073957</v>
      </c>
      <c r="I229">
        <v>62.058417329999997</v>
      </c>
      <c r="J229">
        <v>68.758892630000005</v>
      </c>
      <c r="K229">
        <v>77.128092940000002</v>
      </c>
      <c r="L229">
        <v>86.673900000000003</v>
      </c>
      <c r="M229">
        <v>93.640990029999998</v>
      </c>
      <c r="N229">
        <v>98.815086199999996</v>
      </c>
      <c r="O229"/>
    </row>
    <row r="230" spans="1:15" x14ac:dyDescent="0.25">
      <c r="A230">
        <v>1</v>
      </c>
      <c r="B230" s="13">
        <v>18.875</v>
      </c>
      <c r="C230">
        <v>-1.039168248</v>
      </c>
      <c r="D230">
        <v>68.906530279999998</v>
      </c>
      <c r="E230">
        <v>0.160342924</v>
      </c>
      <c r="F230">
        <v>53.006737549999997</v>
      </c>
      <c r="G230">
        <v>54.579774239999999</v>
      </c>
      <c r="H230">
        <v>57.197324479999999</v>
      </c>
      <c r="I230">
        <v>62.19399335</v>
      </c>
      <c r="J230">
        <v>68.906530279999998</v>
      </c>
      <c r="K230">
        <v>77.283104839999993</v>
      </c>
      <c r="L230">
        <v>86.825969040000004</v>
      </c>
      <c r="M230">
        <v>93.782760100000004</v>
      </c>
      <c r="N230">
        <v>98.944552979999997</v>
      </c>
      <c r="O230"/>
    </row>
    <row r="231" spans="1:15" x14ac:dyDescent="0.25">
      <c r="A231">
        <v>1</v>
      </c>
      <c r="B231" s="13">
        <v>18.958333333333332</v>
      </c>
      <c r="C231">
        <v>-1.031579574</v>
      </c>
      <c r="D231">
        <v>69.051764270000007</v>
      </c>
      <c r="E231">
        <v>0.16023447800000001</v>
      </c>
      <c r="F231">
        <v>53.114017560000001</v>
      </c>
      <c r="G231">
        <v>54.692053549999997</v>
      </c>
      <c r="H231">
        <v>57.317366130000003</v>
      </c>
      <c r="I231">
        <v>62.326781269999998</v>
      </c>
      <c r="J231">
        <v>69.051764270000007</v>
      </c>
      <c r="K231">
        <v>77.435595329999998</v>
      </c>
      <c r="L231">
        <v>86.974517759999998</v>
      </c>
      <c r="M231">
        <v>93.919681350000005</v>
      </c>
      <c r="N231">
        <v>99.067855159999993</v>
      </c>
      <c r="O231"/>
    </row>
    <row r="232" spans="1:15" x14ac:dyDescent="0.25">
      <c r="A232">
        <v>1</v>
      </c>
      <c r="B232" s="13">
        <v>19.041666666666668</v>
      </c>
      <c r="C232">
        <v>-1.0232919460000001</v>
      </c>
      <c r="D232">
        <v>69.194672879999999</v>
      </c>
      <c r="E232">
        <v>0.160138158</v>
      </c>
      <c r="F232">
        <v>53.217388849999999</v>
      </c>
      <c r="G232">
        <v>54.800658419999998</v>
      </c>
      <c r="H232">
        <v>57.43408908</v>
      </c>
      <c r="I232">
        <v>62.456800209999997</v>
      </c>
      <c r="J232">
        <v>69.194672879999999</v>
      </c>
      <c r="K232">
        <v>77.585797189999994</v>
      </c>
      <c r="L232">
        <v>87.120083379999997</v>
      </c>
      <c r="M232">
        <v>94.052612319999994</v>
      </c>
      <c r="N232">
        <v>99.186150069999997</v>
      </c>
      <c r="O232"/>
    </row>
    <row r="233" spans="1:15" x14ac:dyDescent="0.25">
      <c r="A233">
        <v>1</v>
      </c>
      <c r="B233" s="13">
        <v>19.125</v>
      </c>
      <c r="C233">
        <v>-1.0143851180000001</v>
      </c>
      <c r="D233">
        <v>69.335273760000007</v>
      </c>
      <c r="E233">
        <v>0.16005639299999999</v>
      </c>
      <c r="F233">
        <v>53.316789759999999</v>
      </c>
      <c r="G233">
        <v>54.905520889999998</v>
      </c>
      <c r="H233">
        <v>57.547421129999996</v>
      </c>
      <c r="I233">
        <v>62.583993370000002</v>
      </c>
      <c r="J233">
        <v>69.335273760000007</v>
      </c>
      <c r="K233">
        <v>77.733919189999995</v>
      </c>
      <c r="L233">
        <v>87.263244319999998</v>
      </c>
      <c r="M233">
        <v>94.182515289999998</v>
      </c>
      <c r="N233">
        <v>99.300752869999997</v>
      </c>
      <c r="O233"/>
    </row>
    <row r="234" spans="1:15" x14ac:dyDescent="0.25">
      <c r="A234">
        <v>1</v>
      </c>
      <c r="B234" s="13">
        <v>19.208333333333332</v>
      </c>
      <c r="C234">
        <v>-1.0049523659999999</v>
      </c>
      <c r="D234">
        <v>69.473513729999993</v>
      </c>
      <c r="E234">
        <v>0.15999234400000001</v>
      </c>
      <c r="F234">
        <v>53.412069039999999</v>
      </c>
      <c r="G234">
        <v>55.006481809999997</v>
      </c>
      <c r="H234">
        <v>57.6571979</v>
      </c>
      <c r="I234">
        <v>62.708215680000002</v>
      </c>
      <c r="J234">
        <v>69.473513729999993</v>
      </c>
      <c r="K234">
        <v>77.880140659999995</v>
      </c>
      <c r="L234">
        <v>87.404622029999999</v>
      </c>
      <c r="M234">
        <v>94.310464109999998</v>
      </c>
      <c r="N234">
        <v>99.413148809999996</v>
      </c>
      <c r="O234"/>
    </row>
    <row r="235" spans="1:15" x14ac:dyDescent="0.25">
      <c r="A235">
        <v>1</v>
      </c>
      <c r="B235" s="13">
        <v>19.291666666666668</v>
      </c>
      <c r="C235">
        <v>-0.99510192399999997</v>
      </c>
      <c r="D235">
        <v>69.609257819999996</v>
      </c>
      <c r="E235">
        <v>0.15994998899999999</v>
      </c>
      <c r="F235">
        <v>53.502972290000002</v>
      </c>
      <c r="G235">
        <v>55.103277030000001</v>
      </c>
      <c r="H235">
        <v>57.763148899999997</v>
      </c>
      <c r="I235">
        <v>62.829220399999997</v>
      </c>
      <c r="J235">
        <v>69.609257819999996</v>
      </c>
      <c r="K235">
        <v>78.024605559999998</v>
      </c>
      <c r="L235">
        <v>87.544882819999998</v>
      </c>
      <c r="M235">
        <v>94.43765234</v>
      </c>
      <c r="N235">
        <v>99.525006099999999</v>
      </c>
      <c r="O235"/>
    </row>
    <row r="236" spans="1:15" x14ac:dyDescent="0.25">
      <c r="A236">
        <v>1</v>
      </c>
      <c r="B236" s="13">
        <v>19.375</v>
      </c>
      <c r="C236">
        <v>-0.98495830699999998</v>
      </c>
      <c r="D236">
        <v>69.742277580000007</v>
      </c>
      <c r="E236">
        <v>0.15993423100000001</v>
      </c>
      <c r="F236">
        <v>53.58912711</v>
      </c>
      <c r="G236">
        <v>55.195522449999999</v>
      </c>
      <c r="H236">
        <v>57.864882440000002</v>
      </c>
      <c r="I236">
        <v>62.94664487</v>
      </c>
      <c r="J236">
        <v>69.742277580000007</v>
      </c>
      <c r="K236">
        <v>78.167416250000002</v>
      </c>
      <c r="L236">
        <v>87.684739800000003</v>
      </c>
      <c r="M236">
        <v>94.565401789999996</v>
      </c>
      <c r="N236">
        <v>99.638189449999999</v>
      </c>
      <c r="O236"/>
    </row>
    <row r="237" spans="1:15" x14ac:dyDescent="0.25">
      <c r="A237">
        <v>1</v>
      </c>
      <c r="B237" s="13">
        <v>19.458333333333332</v>
      </c>
      <c r="C237">
        <v>-0.97466332499999997</v>
      </c>
      <c r="D237">
        <v>69.872238850000002</v>
      </c>
      <c r="E237">
        <v>0.15995100400000001</v>
      </c>
      <c r="F237">
        <v>53.670026909999997</v>
      </c>
      <c r="G237">
        <v>55.28269761</v>
      </c>
      <c r="H237">
        <v>57.961869440000001</v>
      </c>
      <c r="I237">
        <v>63.059995299999997</v>
      </c>
      <c r="J237">
        <v>69.872238850000002</v>
      </c>
      <c r="K237">
        <v>78.308626910000001</v>
      </c>
      <c r="L237">
        <v>87.824954779999999</v>
      </c>
      <c r="M237">
        <v>94.695171360000003</v>
      </c>
      <c r="N237">
        <v>99.754774119999993</v>
      </c>
      <c r="O237"/>
    </row>
    <row r="238" spans="1:15" x14ac:dyDescent="0.25">
      <c r="A238">
        <v>1</v>
      </c>
      <c r="B238" s="13">
        <v>19.541666666666668</v>
      </c>
      <c r="C238">
        <v>-0.96437655499999997</v>
      </c>
      <c r="D238">
        <v>69.998688959999996</v>
      </c>
      <c r="E238">
        <v>0.160007394</v>
      </c>
      <c r="F238">
        <v>53.745012979999998</v>
      </c>
      <c r="G238">
        <v>55.364127959999998</v>
      </c>
      <c r="H238">
        <v>58.053425910000001</v>
      </c>
      <c r="I238">
        <v>63.168630649999997</v>
      </c>
      <c r="J238">
        <v>69.998688959999996</v>
      </c>
      <c r="K238">
        <v>78.448236940000001</v>
      </c>
      <c r="L238">
        <v>87.966340360000004</v>
      </c>
      <c r="M238">
        <v>94.828566109999997</v>
      </c>
      <c r="N238">
        <v>99.877060360000002</v>
      </c>
      <c r="O238"/>
    </row>
    <row r="239" spans="1:15" x14ac:dyDescent="0.25">
      <c r="A239">
        <v>1</v>
      </c>
      <c r="B239" s="13">
        <v>19.625</v>
      </c>
      <c r="C239">
        <v>-0.95427494499999999</v>
      </c>
      <c r="D239">
        <v>70.121043810000003</v>
      </c>
      <c r="E239">
        <v>0.16011176899999999</v>
      </c>
      <c r="F239">
        <v>53.813254700000002</v>
      </c>
      <c r="G239">
        <v>55.438965260000003</v>
      </c>
      <c r="H239">
        <v>58.138694139999998</v>
      </c>
      <c r="I239">
        <v>63.271745850000002</v>
      </c>
      <c r="J239">
        <v>70.121043810000003</v>
      </c>
      <c r="K239">
        <v>78.586184250000002</v>
      </c>
      <c r="L239">
        <v>88.109762020000005</v>
      </c>
      <c r="M239">
        <v>94.967346509999999</v>
      </c>
      <c r="N239">
        <v>100.00758829999999</v>
      </c>
      <c r="O239"/>
    </row>
    <row r="240" spans="1:15" x14ac:dyDescent="0.25">
      <c r="A240">
        <v>1</v>
      </c>
      <c r="B240" s="13">
        <v>19.708333333333332</v>
      </c>
      <c r="C240">
        <v>-0.94455118699999996</v>
      </c>
      <c r="D240">
        <v>70.238574819999997</v>
      </c>
      <c r="E240">
        <v>0.16027391799999999</v>
      </c>
      <c r="F240">
        <v>53.873727369999997</v>
      </c>
      <c r="G240">
        <v>55.506166139999998</v>
      </c>
      <c r="H240">
        <v>58.2166225</v>
      </c>
      <c r="I240">
        <v>63.368354310000001</v>
      </c>
      <c r="J240">
        <v>70.238574819999997</v>
      </c>
      <c r="K240">
        <v>78.722338930000006</v>
      </c>
      <c r="L240">
        <v>88.256140459999997</v>
      </c>
      <c r="M240">
        <v>95.113437840000003</v>
      </c>
      <c r="N240">
        <v>100.1491529</v>
      </c>
      <c r="O240"/>
    </row>
    <row r="241" spans="1:15" x14ac:dyDescent="0.25">
      <c r="A241">
        <v>1</v>
      </c>
      <c r="B241" s="13">
        <v>19.791666666666668</v>
      </c>
      <c r="C241">
        <v>-0.93541042699999999</v>
      </c>
      <c r="D241">
        <v>70.350396259999997</v>
      </c>
      <c r="E241">
        <v>0.16050520300000001</v>
      </c>
      <c r="F241">
        <v>53.925187309999998</v>
      </c>
      <c r="G241">
        <v>55.564468390000002</v>
      </c>
      <c r="H241">
        <v>58.285943680000003</v>
      </c>
      <c r="I241">
        <v>63.457270010000002</v>
      </c>
      <c r="J241">
        <v>70.350396259999997</v>
      </c>
      <c r="K241">
        <v>78.856497250000004</v>
      </c>
      <c r="L241">
        <v>88.406453990000003</v>
      </c>
      <c r="M241">
        <v>95.268939419999995</v>
      </c>
      <c r="N241">
        <v>100.3048189</v>
      </c>
      <c r="O241"/>
    </row>
    <row r="242" spans="1:15" x14ac:dyDescent="0.25">
      <c r="A242">
        <v>1</v>
      </c>
      <c r="B242" s="13">
        <v>19.875</v>
      </c>
      <c r="C242">
        <v>-0.927059784</v>
      </c>
      <c r="D242">
        <v>70.455461049999997</v>
      </c>
      <c r="E242">
        <v>0.16081878799999999</v>
      </c>
      <c r="F242">
        <v>53.966136579999997</v>
      </c>
      <c r="G242">
        <v>55.612359580000003</v>
      </c>
      <c r="H242">
        <v>58.345149460000002</v>
      </c>
      <c r="I242">
        <v>63.537092569999999</v>
      </c>
      <c r="J242">
        <v>70.455461049999997</v>
      </c>
      <c r="K242">
        <v>78.988385960000002</v>
      </c>
      <c r="L242">
        <v>88.561746429999999</v>
      </c>
      <c r="M242">
        <v>95.436131810000006</v>
      </c>
      <c r="N242">
        <v>100.477926</v>
      </c>
      <c r="O242"/>
    </row>
    <row r="243" spans="1:15" x14ac:dyDescent="0.25">
      <c r="A243">
        <v>1</v>
      </c>
      <c r="B243" s="13">
        <v>19.958333333333332</v>
      </c>
      <c r="C243">
        <v>-0.91971846099999999</v>
      </c>
      <c r="D243">
        <v>70.55252127</v>
      </c>
      <c r="E243">
        <v>0.16122961699999999</v>
      </c>
      <c r="F243">
        <v>53.994817619999999</v>
      </c>
      <c r="G243">
        <v>55.648066729999996</v>
      </c>
      <c r="H243">
        <v>58.392472679999997</v>
      </c>
      <c r="I243">
        <v>63.606177199999998</v>
      </c>
      <c r="J243">
        <v>70.55252127</v>
      </c>
      <c r="K243">
        <v>79.117624169999999</v>
      </c>
      <c r="L243">
        <v>88.723111369999998</v>
      </c>
      <c r="M243">
        <v>95.617493030000006</v>
      </c>
      <c r="N243">
        <v>100.67213839999999</v>
      </c>
      <c r="O243"/>
    </row>
    <row r="244" spans="1:15" x14ac:dyDescent="0.25">
      <c r="A244">
        <v>1</v>
      </c>
      <c r="B244" s="13">
        <v>20</v>
      </c>
      <c r="C244">
        <v>-0.91648761999999995</v>
      </c>
      <c r="D244">
        <v>70.597614530000001</v>
      </c>
      <c r="E244">
        <v>0.16147679200000001</v>
      </c>
      <c r="F244">
        <v>54.003917289999997</v>
      </c>
      <c r="G244">
        <v>55.66071006</v>
      </c>
      <c r="H244">
        <v>58.411045719999997</v>
      </c>
      <c r="I244">
        <v>63.636112500000003</v>
      </c>
      <c r="J244">
        <v>70.597614530000001</v>
      </c>
      <c r="K244">
        <v>79.181114820000005</v>
      </c>
      <c r="L244">
        <v>88.806435269999994</v>
      </c>
      <c r="M244">
        <v>95.714314270000003</v>
      </c>
      <c r="N244">
        <v>100.7783809</v>
      </c>
      <c r="O244"/>
    </row>
    <row r="245" spans="1:15" s="26" customFormat="1" x14ac:dyDescent="0.25">
      <c r="O245" s="13"/>
    </row>
    <row r="246" spans="1:15" s="26" customFormat="1" x14ac:dyDescent="0.25">
      <c r="A246" s="26" t="s">
        <v>2</v>
      </c>
      <c r="B246" s="26" t="s">
        <v>32</v>
      </c>
      <c r="C246" s="26" t="s">
        <v>3</v>
      </c>
      <c r="D246" s="26" t="s">
        <v>4</v>
      </c>
      <c r="E246" s="26" t="s">
        <v>5</v>
      </c>
      <c r="F246" s="26" t="s">
        <v>6</v>
      </c>
      <c r="G246" s="26" t="s">
        <v>7</v>
      </c>
      <c r="H246" s="26" t="s">
        <v>8</v>
      </c>
      <c r="I246" s="26" t="s">
        <v>9</v>
      </c>
      <c r="J246" s="26" t="s">
        <v>10</v>
      </c>
      <c r="K246" s="26" t="s">
        <v>11</v>
      </c>
      <c r="L246" s="26" t="s">
        <v>12</v>
      </c>
      <c r="M246" s="26" t="s">
        <v>13</v>
      </c>
      <c r="N246" s="26" t="s">
        <v>14</v>
      </c>
    </row>
    <row r="247" spans="1:15" x14ac:dyDescent="0.25">
      <c r="A247">
        <v>2</v>
      </c>
      <c r="B247" s="13">
        <v>0</v>
      </c>
      <c r="C247">
        <v>1.509187507</v>
      </c>
      <c r="D247">
        <v>3.3991864500000002</v>
      </c>
      <c r="E247">
        <v>0.14210672399999999</v>
      </c>
      <c r="F247">
        <v>2.4141119830000002</v>
      </c>
      <c r="G247">
        <v>2.5479051799999999</v>
      </c>
      <c r="H247">
        <v>2.7472222569999998</v>
      </c>
      <c r="I247">
        <v>3.0648646500000001</v>
      </c>
      <c r="J247">
        <v>3.3991864500000002</v>
      </c>
      <c r="K247">
        <v>3.717519384</v>
      </c>
      <c r="L247">
        <v>3.992572231</v>
      </c>
      <c r="M247">
        <v>4.1526365939999996</v>
      </c>
      <c r="N247">
        <v>4.254922004</v>
      </c>
      <c r="O247"/>
    </row>
    <row r="248" spans="1:15" x14ac:dyDescent="0.25">
      <c r="A248">
        <v>2</v>
      </c>
      <c r="B248" s="13">
        <v>4.1666666666666664E-2</v>
      </c>
      <c r="C248">
        <v>1.3579443149999999</v>
      </c>
      <c r="D248">
        <v>3.7975284600000001</v>
      </c>
      <c r="E248">
        <v>0.13807591599999999</v>
      </c>
      <c r="F248">
        <v>2.7569169840000001</v>
      </c>
      <c r="G248">
        <v>2.8944422780000001</v>
      </c>
      <c r="H248">
        <v>3.1017670669999999</v>
      </c>
      <c r="I248">
        <v>3.4376282630000001</v>
      </c>
      <c r="J248">
        <v>3.7975284600000001</v>
      </c>
      <c r="K248">
        <v>4.1455936680000001</v>
      </c>
      <c r="L248">
        <v>4.450125603</v>
      </c>
      <c r="M248">
        <v>4.6288363820000002</v>
      </c>
      <c r="N248">
        <v>4.7435817890000003</v>
      </c>
      <c r="O248"/>
    </row>
    <row r="249" spans="1:15" x14ac:dyDescent="0.25">
      <c r="A249">
        <v>2</v>
      </c>
      <c r="B249" s="13">
        <v>0.125</v>
      </c>
      <c r="C249">
        <v>1.105537708</v>
      </c>
      <c r="D249">
        <v>4.5447765130000004</v>
      </c>
      <c r="E249">
        <v>0.13173388799999999</v>
      </c>
      <c r="F249">
        <v>3.402293298</v>
      </c>
      <c r="G249">
        <v>3.5476103050000001</v>
      </c>
      <c r="H249">
        <v>3.7701574720000002</v>
      </c>
      <c r="I249">
        <v>4.13899376</v>
      </c>
      <c r="J249">
        <v>4.5447765130000004</v>
      </c>
      <c r="K249">
        <v>4.946765504</v>
      </c>
      <c r="L249">
        <v>5.3056324960000003</v>
      </c>
      <c r="M249">
        <v>5.51916925</v>
      </c>
      <c r="N249">
        <v>5.6573791079999998</v>
      </c>
      <c r="O249"/>
    </row>
    <row r="250" spans="1:15" x14ac:dyDescent="0.25">
      <c r="A250">
        <v>2</v>
      </c>
      <c r="B250" s="13">
        <v>0.20833333333333334</v>
      </c>
      <c r="C250">
        <v>0.90259664799999995</v>
      </c>
      <c r="D250">
        <v>5.2305842140000003</v>
      </c>
      <c r="E250">
        <v>0.126892697</v>
      </c>
      <c r="F250">
        <v>3.9978056080000002</v>
      </c>
      <c r="G250">
        <v>4.1506385059999999</v>
      </c>
      <c r="H250">
        <v>4.3870419820000004</v>
      </c>
      <c r="I250">
        <v>4.7848204259999996</v>
      </c>
      <c r="J250">
        <v>5.2305842140000003</v>
      </c>
      <c r="K250">
        <v>5.680083196</v>
      </c>
      <c r="L250">
        <v>6.0876407700000001</v>
      </c>
      <c r="M250">
        <v>6.3328370549999997</v>
      </c>
      <c r="N250">
        <v>6.4925744139999999</v>
      </c>
      <c r="O250"/>
    </row>
    <row r="251" spans="1:15" x14ac:dyDescent="0.25">
      <c r="A251">
        <v>2</v>
      </c>
      <c r="B251" s="13">
        <v>0.29166666666666669</v>
      </c>
      <c r="C251">
        <v>0.73412141399999997</v>
      </c>
      <c r="D251">
        <v>5.8599607980000004</v>
      </c>
      <c r="E251">
        <v>0.123025182</v>
      </c>
      <c r="F251">
        <v>4.5473833299999997</v>
      </c>
      <c r="G251">
        <v>4.7071225099999996</v>
      </c>
      <c r="H251">
        <v>4.9559263099999997</v>
      </c>
      <c r="I251">
        <v>5.3791410339999999</v>
      </c>
      <c r="J251">
        <v>5.8599607980000004</v>
      </c>
      <c r="K251">
        <v>6.351511983</v>
      </c>
      <c r="L251">
        <v>6.8027698250000004</v>
      </c>
      <c r="M251">
        <v>7.0767225219999998</v>
      </c>
      <c r="N251">
        <v>7.2561655680000001</v>
      </c>
      <c r="O251"/>
    </row>
    <row r="252" spans="1:15" x14ac:dyDescent="0.25">
      <c r="A252">
        <v>2</v>
      </c>
      <c r="B252" s="13">
        <v>0.375</v>
      </c>
      <c r="C252">
        <v>0.59023527499999995</v>
      </c>
      <c r="D252">
        <v>6.4375877509999997</v>
      </c>
      <c r="E252">
        <v>0.11984091099999999</v>
      </c>
      <c r="F252">
        <v>5.0545387269999997</v>
      </c>
      <c r="G252">
        <v>5.220487543</v>
      </c>
      <c r="H252">
        <v>5.480295205</v>
      </c>
      <c r="I252">
        <v>5.9258883100000004</v>
      </c>
      <c r="J252">
        <v>6.4375877509999997</v>
      </c>
      <c r="K252">
        <v>6.966523789</v>
      </c>
      <c r="L252">
        <v>7.45711879</v>
      </c>
      <c r="M252">
        <v>7.7572339479999997</v>
      </c>
      <c r="N252">
        <v>7.9547300610000002</v>
      </c>
      <c r="O252"/>
    </row>
    <row r="253" spans="1:15" x14ac:dyDescent="0.25">
      <c r="A253">
        <v>2</v>
      </c>
      <c r="B253" s="13">
        <v>0.45833333333333331</v>
      </c>
      <c r="C253">
        <v>0.46439156599999998</v>
      </c>
      <c r="D253">
        <v>6.9678504569999999</v>
      </c>
      <c r="E253">
        <v>0.11716686799999999</v>
      </c>
      <c r="F253">
        <v>5.522500226</v>
      </c>
      <c r="G253">
        <v>5.6939741760000002</v>
      </c>
      <c r="H253">
        <v>5.9635104280000002</v>
      </c>
      <c r="I253">
        <v>6.4288282079999997</v>
      </c>
      <c r="J253">
        <v>6.9678504569999999</v>
      </c>
      <c r="K253">
        <v>7.5301804499999996</v>
      </c>
      <c r="L253">
        <v>8.0563310040000005</v>
      </c>
      <c r="M253">
        <v>8.3803297590000003</v>
      </c>
      <c r="N253">
        <v>8.59441348</v>
      </c>
      <c r="O253"/>
    </row>
    <row r="254" spans="1:15" x14ac:dyDescent="0.25">
      <c r="A254">
        <v>2</v>
      </c>
      <c r="B254" s="13">
        <v>0.54166666666666663</v>
      </c>
      <c r="C254">
        <v>0.35216407100000002</v>
      </c>
      <c r="D254">
        <v>7.4548541090000002</v>
      </c>
      <c r="E254">
        <v>0.11489384</v>
      </c>
      <c r="F254">
        <v>5.9542724939999996</v>
      </c>
      <c r="G254">
        <v>6.1306412950000002</v>
      </c>
      <c r="H254">
        <v>6.4087750970000004</v>
      </c>
      <c r="I254">
        <v>6.8915330949999998</v>
      </c>
      <c r="J254">
        <v>7.4548541090000002</v>
      </c>
      <c r="K254">
        <v>8.0471782459999996</v>
      </c>
      <c r="L254">
        <v>8.6056355460000002</v>
      </c>
      <c r="M254">
        <v>8.9515436850000007</v>
      </c>
      <c r="N254">
        <v>9.1809384069999993</v>
      </c>
      <c r="O254"/>
    </row>
    <row r="255" spans="1:15" x14ac:dyDescent="0.25">
      <c r="A255">
        <v>2</v>
      </c>
      <c r="B255" s="13">
        <v>0.625</v>
      </c>
      <c r="C255">
        <v>0.25049788899999997</v>
      </c>
      <c r="D255">
        <v>7.9024361860000001</v>
      </c>
      <c r="E255">
        <v>0.112949644</v>
      </c>
      <c r="F255">
        <v>6.3526682770000003</v>
      </c>
      <c r="G255">
        <v>6.5333729079999996</v>
      </c>
      <c r="H255">
        <v>6.8191222829999996</v>
      </c>
      <c r="I255">
        <v>7.3173730910000003</v>
      </c>
      <c r="J255">
        <v>7.9024361860000001</v>
      </c>
      <c r="K255">
        <v>8.5218772600000001</v>
      </c>
      <c r="L255">
        <v>9.1098780969999993</v>
      </c>
      <c r="M255">
        <v>9.476008728</v>
      </c>
      <c r="N255">
        <v>9.7196206929999995</v>
      </c>
      <c r="O255"/>
    </row>
    <row r="256" spans="1:15" x14ac:dyDescent="0.25">
      <c r="A256">
        <v>2</v>
      </c>
      <c r="B256" s="13">
        <v>0.70833333333333337</v>
      </c>
      <c r="C256">
        <v>0.15724751000000001</v>
      </c>
      <c r="D256">
        <v>8.3141783769999993</v>
      </c>
      <c r="E256">
        <v>0.11128469000000001</v>
      </c>
      <c r="F256">
        <v>6.7203277339999996</v>
      </c>
      <c r="G256">
        <v>6.904885578</v>
      </c>
      <c r="H256">
        <v>7.1974135319999997</v>
      </c>
      <c r="I256">
        <v>7.7095161140000004</v>
      </c>
      <c r="J256">
        <v>8.3141783769999993</v>
      </c>
      <c r="K256">
        <v>8.9583240620000009</v>
      </c>
      <c r="L256">
        <v>9.5735462990000002</v>
      </c>
      <c r="M256">
        <v>9.9584797359999992</v>
      </c>
      <c r="N256">
        <v>10.215388300000001</v>
      </c>
      <c r="O256"/>
    </row>
    <row r="257" spans="1:15" x14ac:dyDescent="0.25">
      <c r="A257">
        <v>2</v>
      </c>
      <c r="B257" s="13">
        <v>0.79166666666666663</v>
      </c>
      <c r="C257">
        <v>7.0885724999999997E-2</v>
      </c>
      <c r="D257">
        <v>8.6934184230000007</v>
      </c>
      <c r="E257">
        <v>0.109863709</v>
      </c>
      <c r="F257">
        <v>7.0597317190000002</v>
      </c>
      <c r="G257">
        <v>7.247735767</v>
      </c>
      <c r="H257">
        <v>7.5463417880000003</v>
      </c>
      <c r="I257">
        <v>8.0709321650000003</v>
      </c>
      <c r="J257">
        <v>8.6934184230000007</v>
      </c>
      <c r="K257">
        <v>9.3602709819999994</v>
      </c>
      <c r="L257">
        <v>10.000791939999999</v>
      </c>
      <c r="M257">
        <v>10.40335475</v>
      </c>
      <c r="N257">
        <v>10.67280092</v>
      </c>
      <c r="O257"/>
    </row>
    <row r="258" spans="1:15" x14ac:dyDescent="0.25">
      <c r="A258">
        <v>2</v>
      </c>
      <c r="B258" s="13">
        <v>0.875</v>
      </c>
      <c r="C258">
        <v>-9.6849299999999996E-3</v>
      </c>
      <c r="D258">
        <v>9.0432618540000007</v>
      </c>
      <c r="E258">
        <v>0.10866078</v>
      </c>
      <c r="F258">
        <v>7.3732119010000003</v>
      </c>
      <c r="G258">
        <v>7.5643269039999996</v>
      </c>
      <c r="H258">
        <v>7.8684363690000003</v>
      </c>
      <c r="I258">
        <v>8.4043997640000008</v>
      </c>
      <c r="J258">
        <v>9.0432618540000007</v>
      </c>
      <c r="K258">
        <v>9.7311934000000004</v>
      </c>
      <c r="L258">
        <v>10.395451100000001</v>
      </c>
      <c r="M258">
        <v>10.81469528</v>
      </c>
      <c r="N258">
        <v>11.0960696</v>
      </c>
      <c r="O258"/>
    </row>
    <row r="259" spans="1:15" x14ac:dyDescent="0.25">
      <c r="A259">
        <v>2</v>
      </c>
      <c r="B259" s="13">
        <v>0.95833333333333337</v>
      </c>
      <c r="C259">
        <v>-8.5258E-2</v>
      </c>
      <c r="D259">
        <v>9.3665935709999992</v>
      </c>
      <c r="E259">
        <v>0.10765621</v>
      </c>
      <c r="F259">
        <v>7.6629590629999997</v>
      </c>
      <c r="G259">
        <v>7.8569161689999998</v>
      </c>
      <c r="H259">
        <v>8.1660688950000004</v>
      </c>
      <c r="I259">
        <v>8.7125134319999997</v>
      </c>
      <c r="J259">
        <v>9.3665935709999992</v>
      </c>
      <c r="K259">
        <v>10.07430572</v>
      </c>
      <c r="L259">
        <v>10.761062839999999</v>
      </c>
      <c r="M259">
        <v>11.19624565</v>
      </c>
      <c r="N259">
        <v>11.48907597</v>
      </c>
      <c r="O259"/>
    </row>
    <row r="260" spans="1:15" x14ac:dyDescent="0.25">
      <c r="A260">
        <v>2</v>
      </c>
      <c r="B260" s="13">
        <v>1.0416666666666667</v>
      </c>
      <c r="C260">
        <v>-0.15640945000000001</v>
      </c>
      <c r="D260">
        <v>9.6660891850000006</v>
      </c>
      <c r="E260">
        <v>0.106834517</v>
      </c>
      <c r="F260">
        <v>7.9310303099999997</v>
      </c>
      <c r="G260">
        <v>8.1276210120000005</v>
      </c>
      <c r="H260">
        <v>8.4414596619999998</v>
      </c>
      <c r="I260">
        <v>8.9976916669999998</v>
      </c>
      <c r="J260">
        <v>9.6660891850000006</v>
      </c>
      <c r="K260">
        <v>10.39257636</v>
      </c>
      <c r="L260">
        <v>11.10088678</v>
      </c>
      <c r="M260">
        <v>11.551451399999999</v>
      </c>
      <c r="N260">
        <v>11.85539095</v>
      </c>
      <c r="O260"/>
    </row>
    <row r="261" spans="1:15" x14ac:dyDescent="0.25">
      <c r="A261">
        <v>2</v>
      </c>
      <c r="B261" s="13">
        <v>1.125</v>
      </c>
      <c r="C261">
        <v>-0.22355869</v>
      </c>
      <c r="D261">
        <v>9.9442260630000003</v>
      </c>
      <c r="E261">
        <v>0.106183085</v>
      </c>
      <c r="F261">
        <v>8.1793555520000005</v>
      </c>
      <c r="G261">
        <v>8.3784254239999996</v>
      </c>
      <c r="H261">
        <v>8.6966841469999991</v>
      </c>
      <c r="I261">
        <v>9.2621850890000008</v>
      </c>
      <c r="J261">
        <v>9.9442260630000003</v>
      </c>
      <c r="K261">
        <v>10.68874201</v>
      </c>
      <c r="L261">
        <v>11.417919700000001</v>
      </c>
      <c r="M261">
        <v>11.88347697</v>
      </c>
      <c r="N261">
        <v>12.19829279</v>
      </c>
      <c r="O261"/>
    </row>
    <row r="262" spans="1:15" x14ac:dyDescent="0.25">
      <c r="A262">
        <v>2</v>
      </c>
      <c r="B262" s="13">
        <v>1.2083333333333333</v>
      </c>
      <c r="C262">
        <v>-0.28701346</v>
      </c>
      <c r="D262">
        <v>10.203293970000001</v>
      </c>
      <c r="E262">
        <v>0.105691242</v>
      </c>
      <c r="F262">
        <v>8.4097435550000004</v>
      </c>
      <c r="G262">
        <v>8.6111860139999994</v>
      </c>
      <c r="H262">
        <v>8.9336795349999996</v>
      </c>
      <c r="I262">
        <v>9.5080845390000004</v>
      </c>
      <c r="J262">
        <v>10.203293970000001</v>
      </c>
      <c r="K262">
        <v>10.96532105</v>
      </c>
      <c r="L262">
        <v>11.714911300000001</v>
      </c>
      <c r="M262">
        <v>12.195222530000001</v>
      </c>
      <c r="N262">
        <v>12.52078451</v>
      </c>
      <c r="O262"/>
    </row>
    <row r="263" spans="1:15" x14ac:dyDescent="0.25">
      <c r="A263">
        <v>2</v>
      </c>
      <c r="B263" s="13">
        <v>1.2916666666666667</v>
      </c>
      <c r="C263">
        <v>-0.34699919000000001</v>
      </c>
      <c r="D263">
        <v>10.4454058</v>
      </c>
      <c r="E263">
        <v>0.105349631</v>
      </c>
      <c r="F263">
        <v>8.6238872499999992</v>
      </c>
      <c r="G263">
        <v>8.8276376659999993</v>
      </c>
      <c r="H263">
        <v>9.1542511419999997</v>
      </c>
      <c r="I263">
        <v>9.7373293190000005</v>
      </c>
      <c r="J263">
        <v>10.4454058</v>
      </c>
      <c r="K263">
        <v>11.224626799999999</v>
      </c>
      <c r="L263">
        <v>11.99437938</v>
      </c>
      <c r="M263">
        <v>12.48934</v>
      </c>
      <c r="N263">
        <v>12.82561033</v>
      </c>
      <c r="O263"/>
    </row>
    <row r="264" spans="1:15" x14ac:dyDescent="0.25">
      <c r="A264">
        <v>2</v>
      </c>
      <c r="B264" s="13">
        <v>1.375</v>
      </c>
      <c r="C264">
        <v>-0.40368917999999998</v>
      </c>
      <c r="D264">
        <v>10.67250698</v>
      </c>
      <c r="E264">
        <v>0.105149754</v>
      </c>
      <c r="F264">
        <v>8.8233695700000006</v>
      </c>
      <c r="G264">
        <v>9.0293994820000005</v>
      </c>
      <c r="H264">
        <v>9.3600787360000002</v>
      </c>
      <c r="I264">
        <v>9.9517146860000008</v>
      </c>
      <c r="J264">
        <v>10.67250698</v>
      </c>
      <c r="K264">
        <v>11.46877937</v>
      </c>
      <c r="L264">
        <v>12.258623999999999</v>
      </c>
      <c r="M264">
        <v>12.76824867</v>
      </c>
      <c r="N264">
        <v>13.115272190000001</v>
      </c>
      <c r="O264"/>
    </row>
    <row r="265" spans="1:15" x14ac:dyDescent="0.25">
      <c r="A265">
        <v>2</v>
      </c>
      <c r="B265" s="13">
        <v>1.4583333333333333</v>
      </c>
      <c r="C265">
        <v>-0.45721877</v>
      </c>
      <c r="D265">
        <v>10.886385580000001</v>
      </c>
      <c r="E265">
        <v>0.10508366600000001</v>
      </c>
      <c r="F265">
        <v>9.0096681200000006</v>
      </c>
      <c r="G265">
        <v>9.2179799790000008</v>
      </c>
      <c r="H265">
        <v>9.5527226800000005</v>
      </c>
      <c r="I265">
        <v>10.152899789999999</v>
      </c>
      <c r="J265">
        <v>10.886385580000001</v>
      </c>
      <c r="K265">
        <v>11.699717830000001</v>
      </c>
      <c r="L265">
        <v>12.509741330000001</v>
      </c>
      <c r="M265">
        <v>13.03414978</v>
      </c>
      <c r="N265">
        <v>13.39204468</v>
      </c>
      <c r="O265"/>
    </row>
    <row r="266" spans="1:15" x14ac:dyDescent="0.25">
      <c r="A266">
        <v>2</v>
      </c>
      <c r="B266" s="13">
        <v>1.5416666666666667</v>
      </c>
      <c r="C266">
        <v>-0.50770077000000002</v>
      </c>
      <c r="D266">
        <v>11.088681510000001</v>
      </c>
      <c r="E266">
        <v>0.10514375199999999</v>
      </c>
      <c r="F266">
        <v>9.1841601659999998</v>
      </c>
      <c r="G266">
        <v>9.3947824289999993</v>
      </c>
      <c r="H266">
        <v>9.7336299050000008</v>
      </c>
      <c r="I266">
        <v>10.342414979999999</v>
      </c>
      <c r="J266">
        <v>11.088681510000001</v>
      </c>
      <c r="K266">
        <v>11.91921144</v>
      </c>
      <c r="L266">
        <v>12.749636669999999</v>
      </c>
      <c r="M266">
        <v>13.289040610000001</v>
      </c>
      <c r="N266">
        <v>13.65798985</v>
      </c>
      <c r="O266"/>
    </row>
    <row r="267" spans="1:15" x14ac:dyDescent="0.25">
      <c r="A267">
        <v>2</v>
      </c>
      <c r="B267" s="13">
        <v>1.625</v>
      </c>
      <c r="C267">
        <v>-0.55523599000000001</v>
      </c>
      <c r="D267">
        <v>11.28089537</v>
      </c>
      <c r="E267">
        <v>0.105322575</v>
      </c>
      <c r="F267">
        <v>9.3481273229999999</v>
      </c>
      <c r="G267">
        <v>9.5611099490000004</v>
      </c>
      <c r="H267">
        <v>9.9041397090000007</v>
      </c>
      <c r="I267">
        <v>10.521669040000001</v>
      </c>
      <c r="J267">
        <v>11.28089537</v>
      </c>
      <c r="K267">
        <v>12.1288704</v>
      </c>
      <c r="L267">
        <v>12.98003694</v>
      </c>
      <c r="M267">
        <v>13.53472797</v>
      </c>
      <c r="N267">
        <v>13.91497124</v>
      </c>
      <c r="O267"/>
    </row>
    <row r="268" spans="1:15" x14ac:dyDescent="0.25">
      <c r="A268">
        <v>2</v>
      </c>
      <c r="B268" s="13">
        <v>1.7083333333333333</v>
      </c>
      <c r="C268">
        <v>-0.59992113000000002</v>
      </c>
      <c r="D268">
        <v>11.464397079999999</v>
      </c>
      <c r="E268">
        <v>0.10561278</v>
      </c>
      <c r="F268">
        <v>9.5027600739999993</v>
      </c>
      <c r="G268">
        <v>9.7181704240000002</v>
      </c>
      <c r="H268">
        <v>10.06548937</v>
      </c>
      <c r="I268">
        <v>10.69195601</v>
      </c>
      <c r="J268">
        <v>11.464397079999999</v>
      </c>
      <c r="K268">
        <v>12.330156199999999</v>
      </c>
      <c r="L268">
        <v>13.20250263</v>
      </c>
      <c r="M268">
        <v>13.77284102</v>
      </c>
      <c r="N268">
        <v>14.1646673</v>
      </c>
      <c r="O268"/>
    </row>
    <row r="269" spans="1:15" x14ac:dyDescent="0.25">
      <c r="A269">
        <v>2</v>
      </c>
      <c r="B269" s="13">
        <v>1.7916666666666667</v>
      </c>
      <c r="C269">
        <v>-0.64185418000000005</v>
      </c>
      <c r="D269">
        <v>11.640434020000001</v>
      </c>
      <c r="E269">
        <v>0.106007025</v>
      </c>
      <c r="F269">
        <v>9.6491621439999999</v>
      </c>
      <c r="G269">
        <v>9.8670812720000001</v>
      </c>
      <c r="H269">
        <v>10.21881956</v>
      </c>
      <c r="I269">
        <v>10.854461949999999</v>
      </c>
      <c r="J269">
        <v>11.640434020000001</v>
      </c>
      <c r="K269">
        <v>12.52439148</v>
      </c>
      <c r="L269">
        <v>13.418439129999999</v>
      </c>
      <c r="M269">
        <v>14.004843510000001</v>
      </c>
      <c r="N269">
        <v>14.408584189999999</v>
      </c>
      <c r="O269"/>
    </row>
    <row r="270" spans="1:15" x14ac:dyDescent="0.25">
      <c r="A270">
        <v>2</v>
      </c>
      <c r="B270" s="13">
        <v>1.875</v>
      </c>
      <c r="C270">
        <v>-0.68113809999999997</v>
      </c>
      <c r="D270">
        <v>11.810138950000001</v>
      </c>
      <c r="E270">
        <v>0.106497957</v>
      </c>
      <c r="F270">
        <v>9.7883547209999993</v>
      </c>
      <c r="G270">
        <v>10.008874049999999</v>
      </c>
      <c r="H270">
        <v>10.365179599999999</v>
      </c>
      <c r="I270">
        <v>11.01027128</v>
      </c>
      <c r="J270">
        <v>11.810138950000001</v>
      </c>
      <c r="K270">
        <v>12.712769420000001</v>
      </c>
      <c r="L270">
        <v>13.629107550000001</v>
      </c>
      <c r="M270">
        <v>14.232045469999999</v>
      </c>
      <c r="N270">
        <v>14.64806798</v>
      </c>
      <c r="O270"/>
    </row>
    <row r="271" spans="1:15" x14ac:dyDescent="0.25">
      <c r="A271">
        <v>2</v>
      </c>
      <c r="B271" s="13">
        <v>1.9583333333333333</v>
      </c>
      <c r="C271">
        <v>-0.71788282999999997</v>
      </c>
      <c r="D271">
        <v>11.97453748</v>
      </c>
      <c r="E271">
        <v>0.107078197</v>
      </c>
      <c r="F271">
        <v>9.9212805470000003</v>
      </c>
      <c r="G271">
        <v>10.144498909999999</v>
      </c>
      <c r="H271">
        <v>10.50553251</v>
      </c>
      <c r="I271">
        <v>11.160372969999999</v>
      </c>
      <c r="J271">
        <v>11.97453748</v>
      </c>
      <c r="K271">
        <v>12.896362720000001</v>
      </c>
      <c r="L271">
        <v>13.835635099999999</v>
      </c>
      <c r="M271">
        <v>14.45561433</v>
      </c>
      <c r="N271">
        <v>14.88431632</v>
      </c>
      <c r="O271"/>
    </row>
    <row r="272" spans="1:15" x14ac:dyDescent="0.25">
      <c r="A272">
        <v>2</v>
      </c>
      <c r="B272" s="13">
        <v>2</v>
      </c>
      <c r="C272">
        <v>-0.73533950999999997</v>
      </c>
      <c r="D272">
        <v>12.05503983</v>
      </c>
      <c r="E272">
        <v>0.107399495</v>
      </c>
      <c r="F272">
        <v>9.9856675619999997</v>
      </c>
      <c r="G272">
        <v>10.210274099999999</v>
      </c>
      <c r="H272">
        <v>10.573734829999999</v>
      </c>
      <c r="I272">
        <v>11.233567860000001</v>
      </c>
      <c r="J272">
        <v>12.05503983</v>
      </c>
      <c r="K272">
        <v>12.98666951</v>
      </c>
      <c r="L272">
        <v>13.93766409</v>
      </c>
      <c r="M272">
        <v>14.56636479</v>
      </c>
      <c r="N272">
        <v>15.00156359</v>
      </c>
      <c r="O272"/>
    </row>
    <row r="273" spans="1:15" x14ac:dyDescent="0.25">
      <c r="A273">
        <v>2</v>
      </c>
      <c r="B273" s="13">
        <v>2.0416666666666665</v>
      </c>
      <c r="C273">
        <v>-0.75220657000000002</v>
      </c>
      <c r="D273">
        <v>12.13455523</v>
      </c>
      <c r="E273">
        <v>0.107740345</v>
      </c>
      <c r="F273">
        <v>10.04880792</v>
      </c>
      <c r="G273">
        <v>10.27482893</v>
      </c>
      <c r="H273">
        <v>10.640759879999999</v>
      </c>
      <c r="I273">
        <v>11.30566642</v>
      </c>
      <c r="J273">
        <v>12.13455523</v>
      </c>
      <c r="K273">
        <v>13.07613207</v>
      </c>
      <c r="L273">
        <v>14.03902482</v>
      </c>
      <c r="M273">
        <v>14.676585510000001</v>
      </c>
      <c r="N273">
        <v>15.118389499999999</v>
      </c>
      <c r="O273"/>
    </row>
    <row r="274" spans="1:15" x14ac:dyDescent="0.25">
      <c r="A274">
        <v>2</v>
      </c>
      <c r="B274" s="13">
        <v>2.125</v>
      </c>
      <c r="C274">
        <v>-0.78423366000000005</v>
      </c>
      <c r="D274">
        <v>12.2910249</v>
      </c>
      <c r="E274">
        <v>0.10847701</v>
      </c>
      <c r="F274">
        <v>10.171734320000001</v>
      </c>
      <c r="G274">
        <v>10.400664150000001</v>
      </c>
      <c r="H274">
        <v>10.77166654</v>
      </c>
      <c r="I274">
        <v>11.446967280000001</v>
      </c>
      <c r="J274">
        <v>12.2910249</v>
      </c>
      <c r="K274">
        <v>13.25293458</v>
      </c>
      <c r="L274">
        <v>14.240165060000001</v>
      </c>
      <c r="M274">
        <v>14.89587242</v>
      </c>
      <c r="N274">
        <v>15.35122084</v>
      </c>
      <c r="O274"/>
    </row>
    <row r="275" spans="1:15" x14ac:dyDescent="0.25">
      <c r="A275">
        <v>2</v>
      </c>
      <c r="B275" s="13">
        <v>2.2083333333333335</v>
      </c>
      <c r="C275">
        <v>-0.81409582000000003</v>
      </c>
      <c r="D275">
        <v>12.44469258</v>
      </c>
      <c r="E275">
        <v>0.109280828</v>
      </c>
      <c r="F275">
        <v>10.29079033</v>
      </c>
      <c r="G275">
        <v>10.522735689999999</v>
      </c>
      <c r="H275">
        <v>10.898985120000001</v>
      </c>
      <c r="I275">
        <v>11.58501268</v>
      </c>
      <c r="J275">
        <v>12.44469258</v>
      </c>
      <c r="K275">
        <v>13.42753123</v>
      </c>
      <c r="L275">
        <v>14.439838249999999</v>
      </c>
      <c r="M275">
        <v>15.1142761</v>
      </c>
      <c r="N275">
        <v>15.583626860000001</v>
      </c>
      <c r="O275"/>
    </row>
    <row r="276" spans="1:15" x14ac:dyDescent="0.25">
      <c r="A276">
        <v>2</v>
      </c>
      <c r="B276" s="13">
        <v>2.2916666666666665</v>
      </c>
      <c r="C276">
        <v>-0.84193550399999995</v>
      </c>
      <c r="D276">
        <v>12.596223350000001</v>
      </c>
      <c r="E276">
        <v>0.110144488</v>
      </c>
      <c r="F276">
        <v>10.40664383</v>
      </c>
      <c r="G276">
        <v>10.64171007</v>
      </c>
      <c r="H276">
        <v>11.023380469999999</v>
      </c>
      <c r="I276">
        <v>11.72046615</v>
      </c>
      <c r="J276">
        <v>12.596223350000001</v>
      </c>
      <c r="K276">
        <v>13.60059358</v>
      </c>
      <c r="L276">
        <v>14.638729059999999</v>
      </c>
      <c r="M276">
        <v>15.33249457</v>
      </c>
      <c r="N276">
        <v>15.8163176</v>
      </c>
      <c r="O276"/>
    </row>
    <row r="277" spans="1:15" x14ac:dyDescent="0.25">
      <c r="A277">
        <v>2</v>
      </c>
      <c r="B277" s="13">
        <v>2.375</v>
      </c>
      <c r="C277">
        <v>-0.86788939799999998</v>
      </c>
      <c r="D277">
        <v>12.746209110000001</v>
      </c>
      <c r="E277">
        <v>0.11106081499999999</v>
      </c>
      <c r="F277">
        <v>10.519901709999999</v>
      </c>
      <c r="G277">
        <v>10.758191800000001</v>
      </c>
      <c r="H277">
        <v>11.14545358</v>
      </c>
      <c r="I277">
        <v>11.8539236</v>
      </c>
      <c r="J277">
        <v>12.746209110000001</v>
      </c>
      <c r="K277">
        <v>13.772712739999999</v>
      </c>
      <c r="L277">
        <v>14.837433150000001</v>
      </c>
      <c r="M277">
        <v>15.551130649999999</v>
      </c>
      <c r="N277">
        <v>16.049903400000002</v>
      </c>
      <c r="O277"/>
    </row>
    <row r="278" spans="1:15" x14ac:dyDescent="0.25">
      <c r="A278">
        <v>2</v>
      </c>
      <c r="B278" s="13">
        <v>2.4583333333333335</v>
      </c>
      <c r="C278">
        <v>-0.89210264699999997</v>
      </c>
      <c r="D278">
        <v>12.895172179999999</v>
      </c>
      <c r="E278">
        <v>0.112022759</v>
      </c>
      <c r="F278">
        <v>10.63111516</v>
      </c>
      <c r="G278">
        <v>10.872728199999999</v>
      </c>
      <c r="H278">
        <v>11.26574591</v>
      </c>
      <c r="I278">
        <v>11.985916919999999</v>
      </c>
      <c r="J278">
        <v>12.895172179999999</v>
      </c>
      <c r="K278">
        <v>13.944403830000001</v>
      </c>
      <c r="L278">
        <v>15.03646393</v>
      </c>
      <c r="M278">
        <v>15.770701000000001</v>
      </c>
      <c r="N278">
        <v>16.284905859999999</v>
      </c>
      <c r="O278"/>
    </row>
    <row r="279" spans="1:15" x14ac:dyDescent="0.25">
      <c r="A279">
        <v>2</v>
      </c>
      <c r="B279" s="13">
        <v>2.5416666666666665</v>
      </c>
      <c r="C279">
        <v>-0.91471881700000002</v>
      </c>
      <c r="D279">
        <v>13.04357164</v>
      </c>
      <c r="E279">
        <v>0.113023467</v>
      </c>
      <c r="F279">
        <v>10.74078194</v>
      </c>
      <c r="G279">
        <v>10.985812279999999</v>
      </c>
      <c r="H279">
        <v>11.384743029999999</v>
      </c>
      <c r="I279">
        <v>12.11691911</v>
      </c>
      <c r="J279">
        <v>13.04357164</v>
      </c>
      <c r="K279">
        <v>14.116113370000001</v>
      </c>
      <c r="L279">
        <v>15.23626013</v>
      </c>
      <c r="M279">
        <v>15.991643359999999</v>
      </c>
      <c r="N279">
        <v>16.521764690000001</v>
      </c>
      <c r="O279"/>
    </row>
    <row r="280" spans="1:15" x14ac:dyDescent="0.25">
      <c r="A280">
        <v>2</v>
      </c>
      <c r="B280" s="13">
        <v>2.625</v>
      </c>
      <c r="C280">
        <v>-0.93587658399999996</v>
      </c>
      <c r="D280">
        <v>13.191808740000001</v>
      </c>
      <c r="E280">
        <v>0.114056328</v>
      </c>
      <c r="F280">
        <v>10.849349330000001</v>
      </c>
      <c r="G280">
        <v>11.09788597</v>
      </c>
      <c r="H280">
        <v>11.50287836</v>
      </c>
      <c r="I280">
        <v>12.247348669999999</v>
      </c>
      <c r="J280">
        <v>13.191808740000001</v>
      </c>
      <c r="K280">
        <v>14.288225450000001</v>
      </c>
      <c r="L280">
        <v>15.43719269</v>
      </c>
      <c r="M280">
        <v>16.21432377</v>
      </c>
      <c r="N280">
        <v>16.760845079999999</v>
      </c>
      <c r="O280"/>
    </row>
    <row r="281" spans="1:15" x14ac:dyDescent="0.25">
      <c r="A281">
        <v>2</v>
      </c>
      <c r="B281" s="13">
        <v>2.7083333333333335</v>
      </c>
      <c r="C281">
        <v>-0.955723447</v>
      </c>
      <c r="D281">
        <v>13.34022934</v>
      </c>
      <c r="E281">
        <v>0.11511495300000001</v>
      </c>
      <c r="F281">
        <v>10.95721927</v>
      </c>
      <c r="G281">
        <v>11.209344700000001</v>
      </c>
      <c r="H281">
        <v>11.620536980000001</v>
      </c>
      <c r="I281">
        <v>12.377572560000001</v>
      </c>
      <c r="J281">
        <v>13.34022934</v>
      </c>
      <c r="K281">
        <v>14.46106492</v>
      </c>
      <c r="L281">
        <v>15.63957012</v>
      </c>
      <c r="M281">
        <v>16.439044289999998</v>
      </c>
      <c r="N281">
        <v>17.002447490000002</v>
      </c>
      <c r="O281"/>
    </row>
    <row r="282" spans="1:15" x14ac:dyDescent="0.25">
      <c r="A282">
        <v>2</v>
      </c>
      <c r="B282" s="13">
        <v>2.7916666666666665</v>
      </c>
      <c r="C282">
        <v>-0.97438336299999995</v>
      </c>
      <c r="D282">
        <v>13.48913319</v>
      </c>
      <c r="E282">
        <v>0.116193327</v>
      </c>
      <c r="F282">
        <v>11.0647471</v>
      </c>
      <c r="G282">
        <v>11.32053778</v>
      </c>
      <c r="H282">
        <v>11.7380584</v>
      </c>
      <c r="I282">
        <v>12.507912490000001</v>
      </c>
      <c r="J282">
        <v>13.48913319</v>
      </c>
      <c r="K282">
        <v>14.6349076</v>
      </c>
      <c r="L282">
        <v>15.8436466</v>
      </c>
      <c r="M282">
        <v>16.666047850000002</v>
      </c>
      <c r="N282">
        <v>17.24680927</v>
      </c>
      <c r="O282"/>
    </row>
    <row r="283" spans="1:15" x14ac:dyDescent="0.25">
      <c r="A283">
        <v>2</v>
      </c>
      <c r="B283" s="13">
        <v>2.875</v>
      </c>
      <c r="C283">
        <v>-0.99198075600000002</v>
      </c>
      <c r="D283">
        <v>13.63877446</v>
      </c>
      <c r="E283">
        <v>0.11728574999999999</v>
      </c>
      <c r="F283">
        <v>11.172247779999999</v>
      </c>
      <c r="G283">
        <v>11.431773570000001</v>
      </c>
      <c r="H283">
        <v>11.855740320000001</v>
      </c>
      <c r="I283">
        <v>12.638646720000001</v>
      </c>
      <c r="J283">
        <v>13.63877446</v>
      </c>
      <c r="K283">
        <v>14.809981349999999</v>
      </c>
      <c r="L283">
        <v>16.049626010000001</v>
      </c>
      <c r="M283">
        <v>16.895525639999999</v>
      </c>
      <c r="N283">
        <v>17.494115140000002</v>
      </c>
      <c r="O283"/>
    </row>
    <row r="284" spans="1:15" x14ac:dyDescent="0.25">
      <c r="A284">
        <v>2</v>
      </c>
      <c r="B284" s="13">
        <v>2.9583333333333335</v>
      </c>
      <c r="C284">
        <v>-1.0086407420000001</v>
      </c>
      <c r="D284">
        <v>13.78936547</v>
      </c>
      <c r="E284">
        <v>0.118386848</v>
      </c>
      <c r="F284">
        <v>11.27999893</v>
      </c>
      <c r="G284">
        <v>11.54332263</v>
      </c>
      <c r="H284">
        <v>11.973841800000001</v>
      </c>
      <c r="I284">
        <v>12.770013390000001</v>
      </c>
      <c r="J284">
        <v>13.78936547</v>
      </c>
      <c r="K284">
        <v>14.98647034</v>
      </c>
      <c r="L284">
        <v>16.257667059999999</v>
      </c>
      <c r="M284">
        <v>17.127622970000001</v>
      </c>
      <c r="N284">
        <v>17.744503720000001</v>
      </c>
      <c r="O284"/>
    </row>
    <row r="285" spans="1:15" x14ac:dyDescent="0.25">
      <c r="A285">
        <v>2</v>
      </c>
      <c r="B285" s="13">
        <v>3.0416666666666665</v>
      </c>
      <c r="C285">
        <v>-1.024471278</v>
      </c>
      <c r="D285">
        <v>13.941083320000001</v>
      </c>
      <c r="E285">
        <v>0.11949166899999999</v>
      </c>
      <c r="F285">
        <v>11.38824099</v>
      </c>
      <c r="G285">
        <v>11.655418790000001</v>
      </c>
      <c r="H285">
        <v>12.0925858</v>
      </c>
      <c r="I285">
        <v>12.902215289999999</v>
      </c>
      <c r="J285">
        <v>13.941083320000001</v>
      </c>
      <c r="K285">
        <v>15.16452247</v>
      </c>
      <c r="L285">
        <v>16.46788956</v>
      </c>
      <c r="M285">
        <v>17.3624437</v>
      </c>
      <c r="N285">
        <v>17.998069900000001</v>
      </c>
      <c r="O285"/>
    </row>
    <row r="286" spans="1:15" x14ac:dyDescent="0.25">
      <c r="A286">
        <v>2</v>
      </c>
      <c r="B286" s="13">
        <v>3.125</v>
      </c>
      <c r="C286">
        <v>-1.0395736040000001</v>
      </c>
      <c r="D286">
        <v>14.094071749999999</v>
      </c>
      <c r="E286">
        <v>0.12059565799999999</v>
      </c>
      <c r="F286">
        <v>11.49718137</v>
      </c>
      <c r="G286">
        <v>11.76826286</v>
      </c>
      <c r="H286">
        <v>12.21216229</v>
      </c>
      <c r="I286">
        <v>13.035422179999999</v>
      </c>
      <c r="J286">
        <v>14.094071749999999</v>
      </c>
      <c r="K286">
        <v>15.34425164</v>
      </c>
      <c r="L286">
        <v>16.680378340000001</v>
      </c>
      <c r="M286">
        <v>17.60005585</v>
      </c>
      <c r="N286">
        <v>18.25487219</v>
      </c>
      <c r="O286"/>
    </row>
    <row r="287" spans="1:15" x14ac:dyDescent="0.25">
      <c r="A287">
        <v>2</v>
      </c>
      <c r="B287" s="13">
        <v>3.2083333333333335</v>
      </c>
      <c r="C287">
        <v>-1.0540394790000001</v>
      </c>
      <c r="D287">
        <v>14.24844498</v>
      </c>
      <c r="E287">
        <v>0.121694676</v>
      </c>
      <c r="F287">
        <v>11.60699649</v>
      </c>
      <c r="G287">
        <v>11.88202491</v>
      </c>
      <c r="H287">
        <v>12.33273088</v>
      </c>
      <c r="I287">
        <v>13.16977393</v>
      </c>
      <c r="J287">
        <v>14.24844498</v>
      </c>
      <c r="K287">
        <v>15.525742080000001</v>
      </c>
      <c r="L287">
        <v>16.895187839999998</v>
      </c>
      <c r="M287">
        <v>17.840496210000001</v>
      </c>
      <c r="N287">
        <v>18.514937069999998</v>
      </c>
      <c r="O287"/>
    </row>
    <row r="288" spans="1:15" x14ac:dyDescent="0.25">
      <c r="A288">
        <v>2</v>
      </c>
      <c r="B288" s="13">
        <v>3.2916666666666665</v>
      </c>
      <c r="C288">
        <v>-1.0679467840000001</v>
      </c>
      <c r="D288">
        <v>14.404291690000001</v>
      </c>
      <c r="E288">
        <v>0.12278503</v>
      </c>
      <c r="F288">
        <v>11.717833430000001</v>
      </c>
      <c r="G288">
        <v>11.99684628</v>
      </c>
      <c r="H288">
        <v>12.454423240000001</v>
      </c>
      <c r="I288">
        <v>13.3053838</v>
      </c>
      <c r="J288">
        <v>14.404291690000001</v>
      </c>
      <c r="K288">
        <v>15.7090529</v>
      </c>
      <c r="L288">
        <v>17.11234657</v>
      </c>
      <c r="M288">
        <v>18.083774429999998</v>
      </c>
      <c r="N288">
        <v>18.778262680000001</v>
      </c>
      <c r="O288"/>
    </row>
    <row r="289" spans="1:15" x14ac:dyDescent="0.25">
      <c r="A289">
        <v>2</v>
      </c>
      <c r="B289" s="13">
        <v>3.375</v>
      </c>
      <c r="C289">
        <v>-1.0813741530000001</v>
      </c>
      <c r="D289">
        <v>14.56167529</v>
      </c>
      <c r="E289">
        <v>0.1238634</v>
      </c>
      <c r="F289">
        <v>11.829814649999999</v>
      </c>
      <c r="G289">
        <v>12.11284345</v>
      </c>
      <c r="H289">
        <v>12.57734604</v>
      </c>
      <c r="I289">
        <v>13.442339759999999</v>
      </c>
      <c r="J289">
        <v>14.56167529</v>
      </c>
      <c r="K289">
        <v>15.89421842</v>
      </c>
      <c r="L289">
        <v>17.331859560000002</v>
      </c>
      <c r="M289">
        <v>18.329878000000001</v>
      </c>
      <c r="N289">
        <v>19.044826270000002</v>
      </c>
      <c r="O289"/>
    </row>
    <row r="290" spans="1:15" x14ac:dyDescent="0.25">
      <c r="A290">
        <v>2</v>
      </c>
      <c r="B290" s="13">
        <v>3.4583333333333335</v>
      </c>
      <c r="C290">
        <v>-1.0943814089999999</v>
      </c>
      <c r="D290">
        <v>14.720640449999999</v>
      </c>
      <c r="E290">
        <v>0.124926943</v>
      </c>
      <c r="F290">
        <v>11.94303682</v>
      </c>
      <c r="G290">
        <v>12.23010816</v>
      </c>
      <c r="H290">
        <v>12.7015826</v>
      </c>
      <c r="I290">
        <v>13.580708850000001</v>
      </c>
      <c r="J290">
        <v>14.720640449999999</v>
      </c>
      <c r="K290">
        <v>16.081255509999998</v>
      </c>
      <c r="L290">
        <v>17.553713819999999</v>
      </c>
      <c r="M290">
        <v>18.578774849999999</v>
      </c>
      <c r="N290">
        <v>19.31458378</v>
      </c>
      <c r="O290"/>
    </row>
    <row r="291" spans="1:15" x14ac:dyDescent="0.25">
      <c r="A291">
        <v>2</v>
      </c>
      <c r="B291" s="13">
        <v>3.5416666666666665</v>
      </c>
      <c r="C291">
        <v>-1.1070216129999999</v>
      </c>
      <c r="D291">
        <v>14.881213519999999</v>
      </c>
      <c r="E291">
        <v>0.125973221</v>
      </c>
      <c r="F291">
        <v>12.05757491</v>
      </c>
      <c r="G291">
        <v>12.348710759999999</v>
      </c>
      <c r="H291">
        <v>12.82719552</v>
      </c>
      <c r="I291">
        <v>13.72053844</v>
      </c>
      <c r="J291">
        <v>14.881213519999999</v>
      </c>
      <c r="K291">
        <v>16.270164019999999</v>
      </c>
      <c r="L291">
        <v>17.777880459999999</v>
      </c>
      <c r="M291">
        <v>18.830417539999999</v>
      </c>
      <c r="N291">
        <v>19.587476079999998</v>
      </c>
      <c r="O291"/>
    </row>
    <row r="292" spans="1:15" x14ac:dyDescent="0.25">
      <c r="A292">
        <v>2</v>
      </c>
      <c r="B292" s="13">
        <v>3.625</v>
      </c>
      <c r="C292">
        <v>-1.1193386919999999</v>
      </c>
      <c r="D292">
        <v>15.043405529999999</v>
      </c>
      <c r="E292">
        <v>0.127000212</v>
      </c>
      <c r="F292">
        <v>12.17348363</v>
      </c>
      <c r="G292">
        <v>12.468701940000001</v>
      </c>
      <c r="H292">
        <v>12.954228649999999</v>
      </c>
      <c r="I292">
        <v>13.86185877</v>
      </c>
      <c r="J292">
        <v>15.043405529999999</v>
      </c>
      <c r="K292">
        <v>16.4609302</v>
      </c>
      <c r="L292">
        <v>18.00431807</v>
      </c>
      <c r="M292">
        <v>19.08474635</v>
      </c>
      <c r="N292">
        <v>19.863431689999999</v>
      </c>
      <c r="O292"/>
    </row>
    <row r="293" spans="1:15" x14ac:dyDescent="0.25">
      <c r="A293">
        <v>2</v>
      </c>
      <c r="B293" s="13">
        <v>3.7083333333333335</v>
      </c>
      <c r="C293">
        <v>-1.1313678309999999</v>
      </c>
      <c r="D293">
        <v>15.207214430000001</v>
      </c>
      <c r="E293">
        <v>0.12800629199999999</v>
      </c>
      <c r="F293">
        <v>12.29079939</v>
      </c>
      <c r="G293">
        <v>12.59011469</v>
      </c>
      <c r="H293">
        <v>13.082709059999999</v>
      </c>
      <c r="I293">
        <v>14.00468502</v>
      </c>
      <c r="J293">
        <v>15.207214430000001</v>
      </c>
      <c r="K293">
        <v>16.65352914</v>
      </c>
      <c r="L293">
        <v>18.23297548</v>
      </c>
      <c r="M293">
        <v>19.341692269999999</v>
      </c>
      <c r="N293">
        <v>20.142369850000001</v>
      </c>
      <c r="O293"/>
    </row>
    <row r="294" spans="1:15" x14ac:dyDescent="0.25">
      <c r="A294">
        <v>2</v>
      </c>
      <c r="B294" s="13">
        <v>3.7916666666666665</v>
      </c>
      <c r="C294">
        <v>-1.143135936</v>
      </c>
      <c r="D294">
        <v>15.37262729</v>
      </c>
      <c r="E294">
        <v>0.12899022499999999</v>
      </c>
      <c r="F294">
        <v>12.409542070000001</v>
      </c>
      <c r="G294">
        <v>12.71296607</v>
      </c>
      <c r="H294">
        <v>13.212648959999999</v>
      </c>
      <c r="I294">
        <v>14.14901929</v>
      </c>
      <c r="J294">
        <v>15.37262729</v>
      </c>
      <c r="K294">
        <v>16.84792719</v>
      </c>
      <c r="L294">
        <v>18.463794350000001</v>
      </c>
      <c r="M294">
        <v>19.601179680000001</v>
      </c>
      <c r="N294">
        <v>20.424203349999999</v>
      </c>
      <c r="O294"/>
    </row>
    <row r="295" spans="1:15" x14ac:dyDescent="0.25">
      <c r="A295">
        <v>2</v>
      </c>
      <c r="B295" s="13">
        <v>3.875</v>
      </c>
      <c r="C295">
        <v>-1.1546621500000001</v>
      </c>
      <c r="D295">
        <v>15.539622209999999</v>
      </c>
      <c r="E295">
        <v>0.12995114299999999</v>
      </c>
      <c r="F295">
        <v>12.52971675</v>
      </c>
      <c r="G295">
        <v>12.837259</v>
      </c>
      <c r="H295">
        <v>13.344047399999999</v>
      </c>
      <c r="I295">
        <v>14.294852479999999</v>
      </c>
      <c r="J295">
        <v>15.539622209999999</v>
      </c>
      <c r="K295">
        <v>17.04408407</v>
      </c>
      <c r="L295">
        <v>18.69671155</v>
      </c>
      <c r="M295">
        <v>19.863128880000001</v>
      </c>
      <c r="N295">
        <v>20.708841060000001</v>
      </c>
      <c r="O295"/>
    </row>
    <row r="296" spans="1:15" x14ac:dyDescent="0.25">
      <c r="A296">
        <v>2</v>
      </c>
      <c r="B296" s="13">
        <v>3.9583333333333335</v>
      </c>
      <c r="C296">
        <v>-1.1659583920000001</v>
      </c>
      <c r="D296">
        <v>15.708170170000001</v>
      </c>
      <c r="E296">
        <v>0.130888527</v>
      </c>
      <c r="F296">
        <v>12.65131534</v>
      </c>
      <c r="G296">
        <v>12.96298387</v>
      </c>
      <c r="H296">
        <v>13.47689199</v>
      </c>
      <c r="I296">
        <v>14.44216593</v>
      </c>
      <c r="J296">
        <v>15.708170170000001</v>
      </c>
      <c r="K296">
        <v>17.241954880000002</v>
      </c>
      <c r="L296">
        <v>18.931661299999998</v>
      </c>
      <c r="M296">
        <v>20.127458359999999</v>
      </c>
      <c r="N296">
        <v>20.99619028</v>
      </c>
      <c r="O296"/>
    </row>
    <row r="297" spans="1:15" x14ac:dyDescent="0.25">
      <c r="A297">
        <v>2</v>
      </c>
      <c r="B297" s="13">
        <v>4.041666666666667</v>
      </c>
      <c r="C297">
        <v>-1.177029925</v>
      </c>
      <c r="D297">
        <v>15.878236680000001</v>
      </c>
      <c r="E297">
        <v>0.13180218599999999</v>
      </c>
      <c r="F297">
        <v>12.77431816</v>
      </c>
      <c r="G297">
        <v>13.09012012</v>
      </c>
      <c r="H297">
        <v>13.611160440000001</v>
      </c>
      <c r="I297">
        <v>14.59093307</v>
      </c>
      <c r="J297">
        <v>15.878236680000001</v>
      </c>
      <c r="K297">
        <v>17.441491840000001</v>
      </c>
      <c r="L297">
        <v>19.168577129999999</v>
      </c>
      <c r="M297">
        <v>20.3940868</v>
      </c>
      <c r="N297">
        <v>21.286158839999999</v>
      </c>
      <c r="O297"/>
    </row>
    <row r="298" spans="1:15" x14ac:dyDescent="0.25">
      <c r="A298">
        <v>2</v>
      </c>
      <c r="B298" s="13">
        <v>4.125</v>
      </c>
      <c r="C298">
        <v>-1.187871001</v>
      </c>
      <c r="D298">
        <v>16.049784519999999</v>
      </c>
      <c r="E298">
        <v>0.132692269</v>
      </c>
      <c r="F298">
        <v>12.89869431</v>
      </c>
      <c r="G298">
        <v>13.21863694</v>
      </c>
      <c r="H298">
        <v>13.74682181</v>
      </c>
      <c r="I298">
        <v>14.74112146</v>
      </c>
      <c r="J298">
        <v>16.049784519999999</v>
      </c>
      <c r="K298">
        <v>17.642647360000002</v>
      </c>
      <c r="L298">
        <v>19.407394369999999</v>
      </c>
      <c r="M298">
        <v>20.662934620000001</v>
      </c>
      <c r="N298">
        <v>21.578655489999999</v>
      </c>
      <c r="O298"/>
    </row>
    <row r="299" spans="1:15" x14ac:dyDescent="0.25">
      <c r="A299">
        <v>2</v>
      </c>
      <c r="B299" s="13">
        <v>4.208333333333333</v>
      </c>
      <c r="C299">
        <v>-1.1984840729999999</v>
      </c>
      <c r="D299">
        <v>16.2227706</v>
      </c>
      <c r="E299">
        <v>0.13355910800000001</v>
      </c>
      <c r="F299">
        <v>13.024407200000001</v>
      </c>
      <c r="G299">
        <v>13.34849756</v>
      </c>
      <c r="H299">
        <v>13.883838819999999</v>
      </c>
      <c r="I299">
        <v>14.892692090000001</v>
      </c>
      <c r="J299">
        <v>16.2227706</v>
      </c>
      <c r="K299">
        <v>17.845370169999999</v>
      </c>
      <c r="L299">
        <v>19.648048889999998</v>
      </c>
      <c r="M299">
        <v>20.93392691</v>
      </c>
      <c r="N299">
        <v>21.873597199999999</v>
      </c>
      <c r="O299"/>
    </row>
    <row r="300" spans="1:15" x14ac:dyDescent="0.25">
      <c r="A300">
        <v>2</v>
      </c>
      <c r="B300" s="13">
        <v>4.291666666666667</v>
      </c>
      <c r="C300">
        <v>-1.2088539469999999</v>
      </c>
      <c r="D300">
        <v>16.397153629999998</v>
      </c>
      <c r="E300">
        <v>0.13440338600000001</v>
      </c>
      <c r="F300">
        <v>13.151410090000001</v>
      </c>
      <c r="G300">
        <v>13.47965651</v>
      </c>
      <c r="H300">
        <v>14.022167809999999</v>
      </c>
      <c r="I300">
        <v>15.045603549999999</v>
      </c>
      <c r="J300">
        <v>16.397153629999998</v>
      </c>
      <c r="K300">
        <v>18.049614139999999</v>
      </c>
      <c r="L300">
        <v>19.890482500000001</v>
      </c>
      <c r="M300">
        <v>21.206993050000001</v>
      </c>
      <c r="N300">
        <v>22.170902760000001</v>
      </c>
      <c r="O300"/>
    </row>
    <row r="301" spans="1:15" x14ac:dyDescent="0.25">
      <c r="A301">
        <v>2</v>
      </c>
      <c r="B301" s="13">
        <v>4.375</v>
      </c>
      <c r="C301">
        <v>-1.2189650869999999</v>
      </c>
      <c r="D301">
        <v>16.572891219999999</v>
      </c>
      <c r="E301">
        <v>0.13522598999999999</v>
      </c>
      <c r="F301">
        <v>13.279650999999999</v>
      </c>
      <c r="G301">
        <v>13.61206342</v>
      </c>
      <c r="H301">
        <v>14.161760790000001</v>
      </c>
      <c r="I301">
        <v>15.199811370000001</v>
      </c>
      <c r="J301">
        <v>16.572891219999999</v>
      </c>
      <c r="K301">
        <v>18.255334690000002</v>
      </c>
      <c r="L301">
        <v>20.134641640000002</v>
      </c>
      <c r="M301">
        <v>21.482069119999998</v>
      </c>
      <c r="N301">
        <v>22.470499069999999</v>
      </c>
      <c r="O301"/>
    </row>
    <row r="302" spans="1:15" x14ac:dyDescent="0.25">
      <c r="A302">
        <v>2</v>
      </c>
      <c r="B302" s="13">
        <v>4.458333333333333</v>
      </c>
      <c r="C302">
        <v>-1.2287982120000001</v>
      </c>
      <c r="D302">
        <v>16.749941870000001</v>
      </c>
      <c r="E302">
        <v>0.136028014</v>
      </c>
      <c r="F302">
        <v>13.409073019999999</v>
      </c>
      <c r="G302">
        <v>13.745663540000001</v>
      </c>
      <c r="H302">
        <v>14.302566410000001</v>
      </c>
      <c r="I302">
        <v>15.355269529999999</v>
      </c>
      <c r="J302">
        <v>16.749941870000001</v>
      </c>
      <c r="K302">
        <v>18.46249096</v>
      </c>
      <c r="L302">
        <v>20.380479050000002</v>
      </c>
      <c r="M302">
        <v>21.759098810000001</v>
      </c>
      <c r="N302">
        <v>22.772321099999999</v>
      </c>
      <c r="O302"/>
    </row>
    <row r="303" spans="1:15" x14ac:dyDescent="0.25">
      <c r="A303">
        <v>2</v>
      </c>
      <c r="B303" s="13">
        <v>4.541666666666667</v>
      </c>
      <c r="C303">
        <v>-1.2383308550000001</v>
      </c>
      <c r="D303">
        <v>16.928265870000001</v>
      </c>
      <c r="E303">
        <v>0.13681073899999999</v>
      </c>
      <c r="F303">
        <v>13.539615469999999</v>
      </c>
      <c r="G303">
        <v>13.88039891</v>
      </c>
      <c r="H303">
        <v>14.444530950000001</v>
      </c>
      <c r="I303">
        <v>15.51193144</v>
      </c>
      <c r="J303">
        <v>16.928265870000001</v>
      </c>
      <c r="K303">
        <v>18.671046659999998</v>
      </c>
      <c r="L303">
        <v>20.627954670000001</v>
      </c>
      <c r="M303">
        <v>22.0380343</v>
      </c>
      <c r="N303">
        <v>23.076312869999999</v>
      </c>
      <c r="O303"/>
    </row>
    <row r="304" spans="1:15" x14ac:dyDescent="0.25">
      <c r="A304">
        <v>2</v>
      </c>
      <c r="B304" s="13">
        <v>4.625</v>
      </c>
      <c r="C304">
        <v>-1.247537914</v>
      </c>
      <c r="D304">
        <v>17.107826150000001</v>
      </c>
      <c r="E304">
        <v>0.13757560599999999</v>
      </c>
      <c r="F304">
        <v>13.67121491</v>
      </c>
      <c r="G304">
        <v>14.0162093</v>
      </c>
      <c r="H304">
        <v>14.58759933</v>
      </c>
      <c r="I304">
        <v>15.669750840000001</v>
      </c>
      <c r="J304">
        <v>17.107826150000001</v>
      </c>
      <c r="K304">
        <v>18.880970860000001</v>
      </c>
      <c r="L304">
        <v>20.87703643</v>
      </c>
      <c r="M304">
        <v>22.318837089999999</v>
      </c>
      <c r="N304">
        <v>23.382428300000001</v>
      </c>
      <c r="O304"/>
    </row>
    <row r="305" spans="1:15" x14ac:dyDescent="0.25">
      <c r="A305">
        <v>2</v>
      </c>
      <c r="B305" s="13">
        <v>4.708333333333333</v>
      </c>
      <c r="C305">
        <v>-1.2563921790000001</v>
      </c>
      <c r="D305">
        <v>17.28858894</v>
      </c>
      <c r="E305">
        <v>0.13832419300000001</v>
      </c>
      <c r="F305">
        <v>13.803806140000001</v>
      </c>
      <c r="G305">
        <v>14.153033219999999</v>
      </c>
      <c r="H305">
        <v>14.731716</v>
      </c>
      <c r="I305">
        <v>15.82868259</v>
      </c>
      <c r="J305">
        <v>17.28858894</v>
      </c>
      <c r="K305">
        <v>19.09223862</v>
      </c>
      <c r="L305">
        <v>21.127700839999999</v>
      </c>
      <c r="M305">
        <v>22.601478650000001</v>
      </c>
      <c r="N305">
        <v>23.690631870000001</v>
      </c>
      <c r="O305"/>
    </row>
    <row r="306" spans="1:15" x14ac:dyDescent="0.25">
      <c r="A306">
        <v>2</v>
      </c>
      <c r="B306" s="13">
        <v>4.791666666666667</v>
      </c>
      <c r="C306">
        <v>-1.264864846</v>
      </c>
      <c r="D306">
        <v>17.470524439999998</v>
      </c>
      <c r="E306">
        <v>0.139058192</v>
      </c>
      <c r="F306">
        <v>13.9373231</v>
      </c>
      <c r="G306">
        <v>14.29080875</v>
      </c>
      <c r="H306">
        <v>14.87682577</v>
      </c>
      <c r="I306">
        <v>15.988683399999999</v>
      </c>
      <c r="J306">
        <v>17.470524439999998</v>
      </c>
      <c r="K306">
        <v>19.304831530000001</v>
      </c>
      <c r="L306">
        <v>21.379933529999999</v>
      </c>
      <c r="M306">
        <v>22.88594093</v>
      </c>
      <c r="N306">
        <v>24.000899130000001</v>
      </c>
      <c r="O306"/>
    </row>
    <row r="307" spans="1:15" x14ac:dyDescent="0.25">
      <c r="A307">
        <v>2</v>
      </c>
      <c r="B307" s="13">
        <v>4.875</v>
      </c>
      <c r="C307">
        <v>-1.272926011</v>
      </c>
      <c r="D307">
        <v>17.65360733</v>
      </c>
      <c r="E307">
        <v>0.139779387</v>
      </c>
      <c r="F307">
        <v>14.07169977</v>
      </c>
      <c r="G307">
        <v>14.429474409999999</v>
      </c>
      <c r="H307">
        <v>15.022874529999999</v>
      </c>
      <c r="I307">
        <v>16.149712510000001</v>
      </c>
      <c r="J307">
        <v>17.65360733</v>
      </c>
      <c r="K307">
        <v>19.51873814</v>
      </c>
      <c r="L307">
        <v>21.63372961</v>
      </c>
      <c r="M307">
        <v>23.172216769999999</v>
      </c>
      <c r="N307">
        <v>24.31321719</v>
      </c>
      <c r="O307"/>
    </row>
    <row r="308" spans="1:15" x14ac:dyDescent="0.25">
      <c r="A308">
        <v>2</v>
      </c>
      <c r="B308" s="13">
        <v>4.958333333333333</v>
      </c>
      <c r="C308">
        <v>-1.2805451400000001</v>
      </c>
      <c r="D308">
        <v>17.837817220000002</v>
      </c>
      <c r="E308">
        <v>0.140489635</v>
      </c>
      <c r="F308">
        <v>14.20687088</v>
      </c>
      <c r="G308">
        <v>14.568969859999999</v>
      </c>
      <c r="H308">
        <v>15.16981002</v>
      </c>
      <c r="I308">
        <v>16.311732240000001</v>
      </c>
      <c r="J308">
        <v>17.837817220000002</v>
      </c>
      <c r="K308">
        <v>19.73395429</v>
      </c>
      <c r="L308">
        <v>21.88909396</v>
      </c>
      <c r="M308">
        <v>23.460310119999999</v>
      </c>
      <c r="N308">
        <v>24.62758492</v>
      </c>
      <c r="O308"/>
    </row>
    <row r="309" spans="1:15" x14ac:dyDescent="0.25">
      <c r="A309">
        <v>2</v>
      </c>
      <c r="B309" s="13">
        <v>5.041666666666667</v>
      </c>
      <c r="C309">
        <v>-1.2876915250000001</v>
      </c>
      <c r="D309">
        <v>18.02313904</v>
      </c>
      <c r="E309">
        <v>0.14119084200000001</v>
      </c>
      <c r="F309">
        <v>14.34277271</v>
      </c>
      <c r="G309">
        <v>14.70923661</v>
      </c>
      <c r="H309">
        <v>15.31758235</v>
      </c>
      <c r="I309">
        <v>16.47470852</v>
      </c>
      <c r="J309">
        <v>18.02313904</v>
      </c>
      <c r="K309">
        <v>19.95048336</v>
      </c>
      <c r="L309">
        <v>22.146041360000002</v>
      </c>
      <c r="M309">
        <v>23.750236260000001</v>
      </c>
      <c r="N309">
        <v>24.944013170000002</v>
      </c>
      <c r="O309"/>
    </row>
    <row r="310" spans="1:15" x14ac:dyDescent="0.25">
      <c r="A310">
        <v>2</v>
      </c>
      <c r="B310" s="13">
        <v>5.125</v>
      </c>
      <c r="C310">
        <v>-1.2943320760000001</v>
      </c>
      <c r="D310">
        <v>18.209564180000001</v>
      </c>
      <c r="E310">
        <v>0.141884974</v>
      </c>
      <c r="F310">
        <v>14.47934293</v>
      </c>
      <c r="G310">
        <v>14.85021811</v>
      </c>
      <c r="H310">
        <v>15.466144440000001</v>
      </c>
      <c r="I310">
        <v>16.63861163</v>
      </c>
      <c r="J310">
        <v>18.209564180000001</v>
      </c>
      <c r="K310">
        <v>20.168337470000001</v>
      </c>
      <c r="L310">
        <v>22.40459718</v>
      </c>
      <c r="M310">
        <v>24.04202158</v>
      </c>
      <c r="N310">
        <v>25.262523689999998</v>
      </c>
      <c r="O310"/>
    </row>
    <row r="311" spans="1:15" x14ac:dyDescent="0.25">
      <c r="A311">
        <v>2</v>
      </c>
      <c r="B311" s="13">
        <v>5.208333333333333</v>
      </c>
      <c r="C311">
        <v>-1.300441561</v>
      </c>
      <c r="D311">
        <v>18.397087599999999</v>
      </c>
      <c r="E311">
        <v>0.14257393900000001</v>
      </c>
      <c r="F311">
        <v>14.61652406</v>
      </c>
      <c r="G311">
        <v>14.991862299999999</v>
      </c>
      <c r="H311">
        <v>15.61545325</v>
      </c>
      <c r="I311">
        <v>16.803415430000001</v>
      </c>
      <c r="J311">
        <v>18.397087599999999</v>
      </c>
      <c r="K311">
        <v>20.38753372</v>
      </c>
      <c r="L311">
        <v>22.664795130000002</v>
      </c>
      <c r="M311">
        <v>24.335704289999999</v>
      </c>
      <c r="N311">
        <v>25.583153200000002</v>
      </c>
      <c r="O311"/>
    </row>
    <row r="312" spans="1:15" x14ac:dyDescent="0.25">
      <c r="A312">
        <v>2</v>
      </c>
      <c r="B312" s="13">
        <v>5.291666666666667</v>
      </c>
      <c r="C312">
        <v>-1.3059890110000001</v>
      </c>
      <c r="D312">
        <v>18.585712430000001</v>
      </c>
      <c r="E312">
        <v>0.14325970900000001</v>
      </c>
      <c r="F312">
        <v>14.754260009999999</v>
      </c>
      <c r="G312">
        <v>15.134119289999999</v>
      </c>
      <c r="H312">
        <v>15.76546914</v>
      </c>
      <c r="I312">
        <v>16.96909934</v>
      </c>
      <c r="J312">
        <v>18.585712430000001</v>
      </c>
      <c r="K312">
        <v>20.608099639999999</v>
      </c>
      <c r="L312">
        <v>22.926680269999999</v>
      </c>
      <c r="M312">
        <v>24.631333250000001</v>
      </c>
      <c r="N312">
        <v>25.905947479999998</v>
      </c>
      <c r="O312"/>
    </row>
    <row r="313" spans="1:15" x14ac:dyDescent="0.25">
      <c r="A313">
        <v>2</v>
      </c>
      <c r="B313" s="13">
        <v>5.375</v>
      </c>
      <c r="C313">
        <v>-1.3109469410000001</v>
      </c>
      <c r="D313">
        <v>18.775447280000002</v>
      </c>
      <c r="E313">
        <v>0.14394421600000001</v>
      </c>
      <c r="F313">
        <v>14.89249907</v>
      </c>
      <c r="G313">
        <v>15.27694359</v>
      </c>
      <c r="H313">
        <v>15.91615695</v>
      </c>
      <c r="I313">
        <v>17.135647559999999</v>
      </c>
      <c r="J313">
        <v>18.775447280000002</v>
      </c>
      <c r="K313">
        <v>20.830069689999998</v>
      </c>
      <c r="L313">
        <v>23.19030686</v>
      </c>
      <c r="M313">
        <v>24.928968350000002</v>
      </c>
      <c r="N313">
        <v>26.23096473</v>
      </c>
      <c r="O313"/>
    </row>
    <row r="314" spans="1:15" x14ac:dyDescent="0.25">
      <c r="A314">
        <v>2</v>
      </c>
      <c r="B314" s="13">
        <v>5.458333333333333</v>
      </c>
      <c r="C314">
        <v>-1.3152895339999999</v>
      </c>
      <c r="D314">
        <v>18.966307</v>
      </c>
      <c r="E314">
        <v>0.14462935900000001</v>
      </c>
      <c r="F314">
        <v>15.031193760000001</v>
      </c>
      <c r="G314">
        <v>15.42029408</v>
      </c>
      <c r="H314">
        <v>16.067486150000001</v>
      </c>
      <c r="I314">
        <v>17.303049560000002</v>
      </c>
      <c r="J314">
        <v>18.966307</v>
      </c>
      <c r="K314">
        <v>21.053485989999999</v>
      </c>
      <c r="L314">
        <v>23.455738570000001</v>
      </c>
      <c r="M314">
        <v>25.228680069999999</v>
      </c>
      <c r="N314">
        <v>26.558274430000001</v>
      </c>
      <c r="O314"/>
    </row>
    <row r="315" spans="1:15" x14ac:dyDescent="0.25">
      <c r="A315">
        <v>2</v>
      </c>
      <c r="B315" s="13">
        <v>5.541666666666667</v>
      </c>
      <c r="C315">
        <v>-1.3189929250000001</v>
      </c>
      <c r="D315">
        <v>19.158312670000001</v>
      </c>
      <c r="E315">
        <v>0.14531699000000001</v>
      </c>
      <c r="F315">
        <v>15.17030121</v>
      </c>
      <c r="G315">
        <v>15.56413437</v>
      </c>
      <c r="H315">
        <v>16.21943117</v>
      </c>
      <c r="I315">
        <v>17.471300200000002</v>
      </c>
      <c r="J315">
        <v>19.158312670000001</v>
      </c>
      <c r="K315">
        <v>21.278398159999998</v>
      </c>
      <c r="L315">
        <v>23.723048160000001</v>
      </c>
      <c r="M315">
        <v>25.530549100000002</v>
      </c>
      <c r="N315">
        <v>26.887956939999999</v>
      </c>
      <c r="O315"/>
    </row>
    <row r="316" spans="1:15" x14ac:dyDescent="0.25">
      <c r="A316">
        <v>2</v>
      </c>
      <c r="B316" s="13">
        <v>5.625</v>
      </c>
      <c r="C316">
        <v>-1.3220353149999999</v>
      </c>
      <c r="D316">
        <v>19.351491630000002</v>
      </c>
      <c r="E316">
        <v>0.146008903</v>
      </c>
      <c r="F316">
        <v>15.309783380000001</v>
      </c>
      <c r="G316">
        <v>15.70843301</v>
      </c>
      <c r="H316">
        <v>16.371971550000001</v>
      </c>
      <c r="I316">
        <v>17.64039992</v>
      </c>
      <c r="J316">
        <v>19.351491630000002</v>
      </c>
      <c r="K316">
        <v>21.504863159999999</v>
      </c>
      <c r="L316">
        <v>23.992317119999999</v>
      </c>
      <c r="M316">
        <v>25.834665810000001</v>
      </c>
      <c r="N316">
        <v>27.220102900000001</v>
      </c>
      <c r="O316"/>
    </row>
    <row r="317" spans="1:15" x14ac:dyDescent="0.25">
      <c r="A317">
        <v>2</v>
      </c>
      <c r="B317" s="13">
        <v>5.708333333333333</v>
      </c>
      <c r="C317">
        <v>-1.3243981330000001</v>
      </c>
      <c r="D317">
        <v>19.54587708</v>
      </c>
      <c r="E317">
        <v>0.14670681299999999</v>
      </c>
      <c r="F317">
        <v>15.4496077</v>
      </c>
      <c r="G317">
        <v>15.853163970000001</v>
      </c>
      <c r="H317">
        <v>16.52509225</v>
      </c>
      <c r="I317">
        <v>17.810354629999999</v>
      </c>
      <c r="J317">
        <v>19.54587708</v>
      </c>
      <c r="K317">
        <v>21.7329446</v>
      </c>
      <c r="L317">
        <v>24.263635000000001</v>
      </c>
      <c r="M317">
        <v>26.14112991</v>
      </c>
      <c r="N317">
        <v>27.554813209999999</v>
      </c>
      <c r="O317"/>
    </row>
    <row r="318" spans="1:15" x14ac:dyDescent="0.25">
      <c r="A318">
        <v>2</v>
      </c>
      <c r="B318" s="13">
        <v>5.791666666666667</v>
      </c>
      <c r="C318">
        <v>-1.3260645390000001</v>
      </c>
      <c r="D318">
        <v>19.741508540000002</v>
      </c>
      <c r="E318">
        <v>0.14741236299999999</v>
      </c>
      <c r="F318">
        <v>15.589746699999999</v>
      </c>
      <c r="G318">
        <v>15.998306449999999</v>
      </c>
      <c r="H318">
        <v>16.678783630000002</v>
      </c>
      <c r="I318">
        <v>17.981176059999999</v>
      </c>
      <c r="J318">
        <v>19.741508540000002</v>
      </c>
      <c r="K318">
        <v>21.96271325</v>
      </c>
      <c r="L318">
        <v>24.53709941</v>
      </c>
      <c r="M318">
        <v>26.45004964</v>
      </c>
      <c r="N318">
        <v>27.892197580000001</v>
      </c>
      <c r="O318"/>
    </row>
    <row r="319" spans="1:15" x14ac:dyDescent="0.25">
      <c r="A319">
        <v>2</v>
      </c>
      <c r="B319" s="13">
        <v>5.875</v>
      </c>
      <c r="C319">
        <v>-1.327020415</v>
      </c>
      <c r="D319">
        <v>19.93843145</v>
      </c>
      <c r="E319">
        <v>0.14812710900000001</v>
      </c>
      <c r="F319">
        <v>15.73017845</v>
      </c>
      <c r="G319">
        <v>16.143845200000001</v>
      </c>
      <c r="H319">
        <v>16.83304163</v>
      </c>
      <c r="I319">
        <v>18.152881529999998</v>
      </c>
      <c r="J319">
        <v>19.93843145</v>
      </c>
      <c r="K319">
        <v>22.194246270000001</v>
      </c>
      <c r="L319">
        <v>24.812815199999999</v>
      </c>
      <c r="M319">
        <v>26.76154129</v>
      </c>
      <c r="N319">
        <v>28.2323743</v>
      </c>
      <c r="O319"/>
    </row>
    <row r="320" spans="1:15" x14ac:dyDescent="0.25">
      <c r="A320">
        <v>2</v>
      </c>
      <c r="B320" s="13">
        <v>5.958333333333333</v>
      </c>
      <c r="C320">
        <v>-1.327256387</v>
      </c>
      <c r="D320">
        <v>20.136696229999998</v>
      </c>
      <c r="E320">
        <v>0.14885248200000001</v>
      </c>
      <c r="F320">
        <v>15.87088741</v>
      </c>
      <c r="G320">
        <v>16.289771089999999</v>
      </c>
      <c r="H320">
        <v>16.987867980000001</v>
      </c>
      <c r="I320">
        <v>18.325493760000001</v>
      </c>
      <c r="J320">
        <v>20.136696229999998</v>
      </c>
      <c r="K320">
        <v>22.427625979999998</v>
      </c>
      <c r="L320">
        <v>25.090893430000001</v>
      </c>
      <c r="M320">
        <v>27.075728649999999</v>
      </c>
      <c r="N320">
        <v>28.575470419999998</v>
      </c>
      <c r="O320"/>
    </row>
    <row r="321" spans="1:15" x14ac:dyDescent="0.25">
      <c r="A321">
        <v>2</v>
      </c>
      <c r="B321" s="13">
        <v>6.041666666666667</v>
      </c>
      <c r="C321">
        <v>-1.3267638340000001</v>
      </c>
      <c r="D321">
        <v>20.336359609999999</v>
      </c>
      <c r="E321">
        <v>0.149589838</v>
      </c>
      <c r="F321">
        <v>16.011863030000001</v>
      </c>
      <c r="G321">
        <v>16.436080189999998</v>
      </c>
      <c r="H321">
        <v>17.143269849999999</v>
      </c>
      <c r="I321">
        <v>18.499041250000001</v>
      </c>
      <c r="J321">
        <v>20.336359609999999</v>
      </c>
      <c r="K321">
        <v>22.662941379999999</v>
      </c>
      <c r="L321">
        <v>25.3714519</v>
      </c>
      <c r="M321">
        <v>27.39274198</v>
      </c>
      <c r="N321">
        <v>28.921619060000001</v>
      </c>
      <c r="O321"/>
    </row>
    <row r="322" spans="1:15" x14ac:dyDescent="0.25">
      <c r="A322">
        <v>2</v>
      </c>
      <c r="B322" s="13">
        <v>6.125</v>
      </c>
      <c r="C322">
        <v>-1.3255386680000001</v>
      </c>
      <c r="D322">
        <v>20.53748298</v>
      </c>
      <c r="E322">
        <v>0.15034040000000001</v>
      </c>
      <c r="F322">
        <v>16.153101119999999</v>
      </c>
      <c r="G322">
        <v>16.58277468</v>
      </c>
      <c r="H322">
        <v>17.29926017</v>
      </c>
      <c r="I322">
        <v>18.673557750000001</v>
      </c>
      <c r="J322">
        <v>20.53748298</v>
      </c>
      <c r="K322">
        <v>22.900285969999999</v>
      </c>
      <c r="L322">
        <v>25.65461346</v>
      </c>
      <c r="M322">
        <v>27.71271759</v>
      </c>
      <c r="N322">
        <v>29.270960420000002</v>
      </c>
      <c r="O322"/>
    </row>
    <row r="323" spans="1:15" x14ac:dyDescent="0.25">
      <c r="A323">
        <v>2</v>
      </c>
      <c r="B323" s="13">
        <v>6.208333333333333</v>
      </c>
      <c r="C323">
        <v>-1.323579654</v>
      </c>
      <c r="D323">
        <v>20.740132769999999</v>
      </c>
      <c r="E323">
        <v>0.15110527700000001</v>
      </c>
      <c r="F323">
        <v>16.294603290000001</v>
      </c>
      <c r="G323">
        <v>16.729862430000001</v>
      </c>
      <c r="H323">
        <v>17.455857399999999</v>
      </c>
      <c r="I323">
        <v>18.849082240000001</v>
      </c>
      <c r="J323">
        <v>20.740132769999999</v>
      </c>
      <c r="K323">
        <v>23.139758069999999</v>
      </c>
      <c r="L323">
        <v>25.940505890000001</v>
      </c>
      <c r="M323">
        <v>28.035796940000001</v>
      </c>
      <c r="N323">
        <v>29.62364011</v>
      </c>
      <c r="O323"/>
    </row>
    <row r="324" spans="1:15" x14ac:dyDescent="0.25">
      <c r="A324">
        <v>2</v>
      </c>
      <c r="B324" s="13">
        <v>6.291666666666667</v>
      </c>
      <c r="C324">
        <v>-1.3208880119999999</v>
      </c>
      <c r="D324">
        <v>20.944380280000001</v>
      </c>
      <c r="E324">
        <v>0.151885464</v>
      </c>
      <c r="F324">
        <v>16.436376689999999</v>
      </c>
      <c r="G324">
        <v>16.877356819999999</v>
      </c>
      <c r="H324">
        <v>17.613085420000001</v>
      </c>
      <c r="I324">
        <v>19.025658920000001</v>
      </c>
      <c r="J324">
        <v>20.944380280000001</v>
      </c>
      <c r="K324">
        <v>23.38146064</v>
      </c>
      <c r="L324">
        <v>26.229261309999998</v>
      </c>
      <c r="M324">
        <v>28.36212579</v>
      </c>
      <c r="N324">
        <v>29.97980811</v>
      </c>
      <c r="O324"/>
    </row>
    <row r="325" spans="1:15" x14ac:dyDescent="0.25">
      <c r="A325">
        <v>2</v>
      </c>
      <c r="B325" s="13">
        <v>6.375</v>
      </c>
      <c r="C325">
        <v>-1.3174686950000001</v>
      </c>
      <c r="D325">
        <v>21.15030093</v>
      </c>
      <c r="E325">
        <v>0.152681819</v>
      </c>
      <c r="F325">
        <v>16.57843458</v>
      </c>
      <c r="G325">
        <v>17.025277070000001</v>
      </c>
      <c r="H325">
        <v>17.770973560000002</v>
      </c>
      <c r="I325">
        <v>19.203336790000002</v>
      </c>
      <c r="J325">
        <v>21.15030093</v>
      </c>
      <c r="K325">
        <v>23.625500089999999</v>
      </c>
      <c r="L325">
        <v>26.521015160000001</v>
      </c>
      <c r="M325">
        <v>28.691853510000001</v>
      </c>
      <c r="N325">
        <v>30.339618529999999</v>
      </c>
      <c r="O325"/>
    </row>
    <row r="326" spans="1:15" x14ac:dyDescent="0.25">
      <c r="A326">
        <v>2</v>
      </c>
      <c r="B326" s="13">
        <v>6.458333333333333</v>
      </c>
      <c r="C326">
        <v>-1.3133314460000001</v>
      </c>
      <c r="D326">
        <v>21.357973319999999</v>
      </c>
      <c r="E326">
        <v>0.15349504999999999</v>
      </c>
      <c r="F326">
        <v>16.72079656</v>
      </c>
      <c r="G326">
        <v>17.173648409999998</v>
      </c>
      <c r="H326">
        <v>17.929556560000002</v>
      </c>
      <c r="I326">
        <v>19.382169220000002</v>
      </c>
      <c r="J326">
        <v>21.357973319999999</v>
      </c>
      <c r="K326">
        <v>23.871985070000001</v>
      </c>
      <c r="L326">
        <v>26.815905000000001</v>
      </c>
      <c r="M326">
        <v>29.02513239</v>
      </c>
      <c r="N326">
        <v>30.703229480000001</v>
      </c>
      <c r="O326"/>
    </row>
    <row r="327" spans="1:15" x14ac:dyDescent="0.25">
      <c r="A327">
        <v>2</v>
      </c>
      <c r="B327" s="13">
        <v>6.541666666666667</v>
      </c>
      <c r="C327">
        <v>-1.308487081</v>
      </c>
      <c r="D327">
        <v>21.567480450000001</v>
      </c>
      <c r="E327">
        <v>0.15432575600000001</v>
      </c>
      <c r="F327">
        <v>16.863487129999999</v>
      </c>
      <c r="G327">
        <v>17.322500909999999</v>
      </c>
      <c r="H327">
        <v>18.08887399</v>
      </c>
      <c r="I327">
        <v>19.562214279999999</v>
      </c>
      <c r="J327">
        <v>21.567480450000001</v>
      </c>
      <c r="K327">
        <v>24.121028020000001</v>
      </c>
      <c r="L327">
        <v>27.114071119999998</v>
      </c>
      <c r="M327">
        <v>29.362116440000001</v>
      </c>
      <c r="N327">
        <v>31.070800080000001</v>
      </c>
      <c r="O327"/>
    </row>
    <row r="328" spans="1:15" x14ac:dyDescent="0.25">
      <c r="A328">
        <v>2</v>
      </c>
      <c r="B328" s="13">
        <v>6.625</v>
      </c>
      <c r="C328">
        <v>-1.3029481730000001</v>
      </c>
      <c r="D328">
        <v>21.77890902</v>
      </c>
      <c r="E328">
        <v>0.15517441400000001</v>
      </c>
      <c r="F328">
        <v>17.006535719999999</v>
      </c>
      <c r="G328">
        <v>17.471869529999999</v>
      </c>
      <c r="H328">
        <v>18.248970119999999</v>
      </c>
      <c r="I328">
        <v>19.743534360000002</v>
      </c>
      <c r="J328">
        <v>21.77890902</v>
      </c>
      <c r="K328">
        <v>24.37274421</v>
      </c>
      <c r="L328">
        <v>27.415655560000001</v>
      </c>
      <c r="M328">
        <v>29.702960690000001</v>
      </c>
      <c r="N328">
        <v>31.44248988</v>
      </c>
      <c r="O328"/>
    </row>
    <row r="329" spans="1:15" x14ac:dyDescent="0.25">
      <c r="A329">
        <v>2</v>
      </c>
      <c r="B329" s="13">
        <v>6.708333333333333</v>
      </c>
      <c r="C329">
        <v>-1.296733913</v>
      </c>
      <c r="D329">
        <v>21.992346860000001</v>
      </c>
      <c r="E329">
        <v>0.15604132000000001</v>
      </c>
      <c r="F329">
        <v>17.149978709999999</v>
      </c>
      <c r="G329">
        <v>17.62179544</v>
      </c>
      <c r="H329">
        <v>18.409894349999998</v>
      </c>
      <c r="I329">
        <v>19.926195069999999</v>
      </c>
      <c r="J329">
        <v>21.992346860000001</v>
      </c>
      <c r="K329">
        <v>24.62724833</v>
      </c>
      <c r="L329">
        <v>27.720799580000001</v>
      </c>
      <c r="M329">
        <v>30.047820730000002</v>
      </c>
      <c r="N329">
        <v>31.818461070000001</v>
      </c>
      <c r="O329"/>
    </row>
    <row r="330" spans="1:15" x14ac:dyDescent="0.25">
      <c r="A330">
        <v>2</v>
      </c>
      <c r="B330" s="13">
        <v>6.791666666666667</v>
      </c>
      <c r="C330">
        <v>-1.2898633289999999</v>
      </c>
      <c r="D330">
        <v>22.207885409999999</v>
      </c>
      <c r="E330">
        <v>0.15692666699999999</v>
      </c>
      <c r="F330">
        <v>17.293856399999999</v>
      </c>
      <c r="G330">
        <v>17.77232382</v>
      </c>
      <c r="H330">
        <v>18.571700119999999</v>
      </c>
      <c r="I330">
        <v>20.110265999999999</v>
      </c>
      <c r="J330">
        <v>22.207885409999999</v>
      </c>
      <c r="K330">
        <v>24.884657740000002</v>
      </c>
      <c r="L330">
        <v>28.029645330000001</v>
      </c>
      <c r="M330">
        <v>30.396851309999999</v>
      </c>
      <c r="N330">
        <v>32.198873519999999</v>
      </c>
      <c r="O330"/>
    </row>
    <row r="331" spans="1:15" x14ac:dyDescent="0.25">
      <c r="A331">
        <v>2</v>
      </c>
      <c r="B331" s="13">
        <v>6.875</v>
      </c>
      <c r="C331">
        <v>-1.2823587620000001</v>
      </c>
      <c r="D331">
        <v>22.4256177</v>
      </c>
      <c r="E331">
        <v>0.15783050400000001</v>
      </c>
      <c r="F331">
        <v>17.438214370000001</v>
      </c>
      <c r="G331">
        <v>17.923504739999998</v>
      </c>
      <c r="H331">
        <v>18.73444512</v>
      </c>
      <c r="I331">
        <v>20.295819810000001</v>
      </c>
      <c r="J331">
        <v>22.4256177</v>
      </c>
      <c r="K331">
        <v>25.145089810000002</v>
      </c>
      <c r="L331">
        <v>28.342333799999999</v>
      </c>
      <c r="M331">
        <v>30.75020585</v>
      </c>
      <c r="N331">
        <v>32.583886110000002</v>
      </c>
      <c r="O331"/>
    </row>
    <row r="332" spans="1:15" x14ac:dyDescent="0.25">
      <c r="A332">
        <v>2</v>
      </c>
      <c r="B332" s="13">
        <v>6.958333333333333</v>
      </c>
      <c r="C332">
        <v>-1.2742449309999999</v>
      </c>
      <c r="D332">
        <v>22.64563824</v>
      </c>
      <c r="E332">
        <v>0.158752743</v>
      </c>
      <c r="F332">
        <v>17.583102950000001</v>
      </c>
      <c r="G332">
        <v>18.075392650000001</v>
      </c>
      <c r="H332">
        <v>18.898190889999999</v>
      </c>
      <c r="I332">
        <v>20.482932030000001</v>
      </c>
      <c r="J332">
        <v>22.64563824</v>
      </c>
      <c r="K332">
        <v>25.408661819999999</v>
      </c>
      <c r="L332">
        <v>28.65900443</v>
      </c>
      <c r="M332">
        <v>31.108035529999999</v>
      </c>
      <c r="N332">
        <v>32.973655350000001</v>
      </c>
      <c r="O332"/>
    </row>
    <row r="333" spans="1:15" x14ac:dyDescent="0.25">
      <c r="A333">
        <v>2</v>
      </c>
      <c r="B333" s="13">
        <v>7.041666666666667</v>
      </c>
      <c r="C333">
        <v>-1.265548787</v>
      </c>
      <c r="D333">
        <v>22.868042580000001</v>
      </c>
      <c r="E333">
        <v>0.159693163</v>
      </c>
      <c r="F333">
        <v>17.728576929999999</v>
      </c>
      <c r="G333">
        <v>18.228046200000001</v>
      </c>
      <c r="H333">
        <v>19.063002610000002</v>
      </c>
      <c r="I333">
        <v>20.67168066</v>
      </c>
      <c r="J333">
        <v>22.868042580000001</v>
      </c>
      <c r="K333">
        <v>25.675490320000002</v>
      </c>
      <c r="L333">
        <v>28.97979428</v>
      </c>
      <c r="M333">
        <v>31.47048848</v>
      </c>
      <c r="N333">
        <v>33.368334599999997</v>
      </c>
      <c r="O333"/>
    </row>
    <row r="334" spans="1:15" x14ac:dyDescent="0.25">
      <c r="A334">
        <v>2</v>
      </c>
      <c r="B334" s="13">
        <v>7.125</v>
      </c>
      <c r="C334">
        <v>-1.256299378</v>
      </c>
      <c r="D334">
        <v>23.09292679</v>
      </c>
      <c r="E334">
        <v>0.16065140999999999</v>
      </c>
      <c r="F334">
        <v>17.874695419999998</v>
      </c>
      <c r="G334">
        <v>18.381527940000002</v>
      </c>
      <c r="H334">
        <v>19.228948729999999</v>
      </c>
      <c r="I334">
        <v>20.862145819999999</v>
      </c>
      <c r="J334">
        <v>23.09292679</v>
      </c>
      <c r="K334">
        <v>25.945690549999998</v>
      </c>
      <c r="L334">
        <v>29.304837410000001</v>
      </c>
      <c r="M334">
        <v>31.837709010000001</v>
      </c>
      <c r="N334">
        <v>33.768073190000003</v>
      </c>
      <c r="O334"/>
    </row>
    <row r="335" spans="1:15" x14ac:dyDescent="0.25">
      <c r="A335">
        <v>2</v>
      </c>
      <c r="B335" s="13">
        <v>7.208333333333333</v>
      </c>
      <c r="C335">
        <v>-1.2465306599999999</v>
      </c>
      <c r="D335">
        <v>23.32038549</v>
      </c>
      <c r="E335">
        <v>0.16162695599999999</v>
      </c>
      <c r="F335">
        <v>18.02152302</v>
      </c>
      <c r="G335">
        <v>18.53590513</v>
      </c>
      <c r="H335">
        <v>19.396101179999999</v>
      </c>
      <c r="I335">
        <v>21.054408840000001</v>
      </c>
      <c r="J335">
        <v>23.32038549</v>
      </c>
      <c r="K335">
        <v>26.219373780000002</v>
      </c>
      <c r="L335">
        <v>29.63426278</v>
      </c>
      <c r="M335">
        <v>32.209837100000001</v>
      </c>
      <c r="N335">
        <v>34.173017850000001</v>
      </c>
      <c r="O335"/>
    </row>
    <row r="336" spans="1:15" x14ac:dyDescent="0.25">
      <c r="A336">
        <v>2</v>
      </c>
      <c r="B336" s="13">
        <v>7.291666666666667</v>
      </c>
      <c r="C336">
        <v>-1.2362668320000001</v>
      </c>
      <c r="D336">
        <v>23.550518709999999</v>
      </c>
      <c r="E336">
        <v>0.16261930799999999</v>
      </c>
      <c r="F336">
        <v>18.169122460000001</v>
      </c>
      <c r="G336">
        <v>18.691244279999999</v>
      </c>
      <c r="H336">
        <v>19.56453273</v>
      </c>
      <c r="I336">
        <v>21.248554460000001</v>
      </c>
      <c r="J336">
        <v>23.550518709999999</v>
      </c>
      <c r="K336">
        <v>26.496656569999999</v>
      </c>
      <c r="L336">
        <v>29.96819988</v>
      </c>
      <c r="M336">
        <v>32.587006279999997</v>
      </c>
      <c r="N336">
        <v>34.583301400000003</v>
      </c>
      <c r="O336"/>
    </row>
    <row r="337" spans="1:15" x14ac:dyDescent="0.25">
      <c r="A337">
        <v>2</v>
      </c>
      <c r="B337" s="13">
        <v>7.375</v>
      </c>
      <c r="C337">
        <v>-1.2255513440000001</v>
      </c>
      <c r="D337">
        <v>23.783416519999999</v>
      </c>
      <c r="E337">
        <v>0.16362760000000001</v>
      </c>
      <c r="F337">
        <v>18.31756871</v>
      </c>
      <c r="G337">
        <v>18.847621369999999</v>
      </c>
      <c r="H337">
        <v>19.734321340000001</v>
      </c>
      <c r="I337">
        <v>21.444665180000001</v>
      </c>
      <c r="J337">
        <v>23.783416519999999</v>
      </c>
      <c r="K337">
        <v>26.777640340000001</v>
      </c>
      <c r="L337">
        <v>30.30676532</v>
      </c>
      <c r="M337">
        <v>32.969345680000004</v>
      </c>
      <c r="N337">
        <v>34.999063169999999</v>
      </c>
      <c r="O337"/>
    </row>
    <row r="338" spans="1:15" x14ac:dyDescent="0.25">
      <c r="A338">
        <v>2</v>
      </c>
      <c r="B338" s="13">
        <v>7.458333333333333</v>
      </c>
      <c r="C338">
        <v>-1.2144109139999999</v>
      </c>
      <c r="D338">
        <v>24.019177030000002</v>
      </c>
      <c r="E338">
        <v>0.16465109999999999</v>
      </c>
      <c r="F338">
        <v>18.46693089</v>
      </c>
      <c r="G338">
        <v>19.005108490000001</v>
      </c>
      <c r="H338">
        <v>19.905544030000001</v>
      </c>
      <c r="I338">
        <v>21.642827369999999</v>
      </c>
      <c r="J338">
        <v>24.019177030000002</v>
      </c>
      <c r="K338">
        <v>27.06243533</v>
      </c>
      <c r="L338">
        <v>30.650077970000002</v>
      </c>
      <c r="M338">
        <v>33.356975849999998</v>
      </c>
      <c r="N338">
        <v>35.420422080000002</v>
      </c>
      <c r="O338"/>
    </row>
    <row r="339" spans="1:15" x14ac:dyDescent="0.25">
      <c r="A339">
        <v>2</v>
      </c>
      <c r="B339" s="13">
        <v>7.541666666666667</v>
      </c>
      <c r="C339">
        <v>-1.2028843890000001</v>
      </c>
      <c r="D339">
        <v>24.257890740000001</v>
      </c>
      <c r="E339">
        <v>0.16568880799999999</v>
      </c>
      <c r="F339">
        <v>18.617286530000001</v>
      </c>
      <c r="G339">
        <v>19.163784209999999</v>
      </c>
      <c r="H339">
        <v>20.07828129</v>
      </c>
      <c r="I339">
        <v>21.843125539999999</v>
      </c>
      <c r="J339">
        <v>24.257890740000001</v>
      </c>
      <c r="K339">
        <v>27.351139960000001</v>
      </c>
      <c r="L339">
        <v>30.998245319999999</v>
      </c>
      <c r="M339">
        <v>33.750010969999998</v>
      </c>
      <c r="N339">
        <v>35.847497369999999</v>
      </c>
      <c r="O339"/>
    </row>
    <row r="340" spans="1:15" x14ac:dyDescent="0.25">
      <c r="A340">
        <v>2</v>
      </c>
      <c r="B340" s="13">
        <v>7.625</v>
      </c>
      <c r="C340">
        <v>-1.1910079060000001</v>
      </c>
      <c r="D340">
        <v>24.49964778</v>
      </c>
      <c r="E340">
        <v>0.16673966200000001</v>
      </c>
      <c r="F340">
        <v>18.768713940000001</v>
      </c>
      <c r="G340">
        <v>19.323727890000001</v>
      </c>
      <c r="H340">
        <v>20.252614319999999</v>
      </c>
      <c r="I340">
        <v>22.045644630000002</v>
      </c>
      <c r="J340">
        <v>24.49964778</v>
      </c>
      <c r="K340">
        <v>27.643850459999999</v>
      </c>
      <c r="L340">
        <v>31.351369500000001</v>
      </c>
      <c r="M340">
        <v>34.148556650000003</v>
      </c>
      <c r="N340">
        <v>36.280397030000003</v>
      </c>
      <c r="O340"/>
    </row>
    <row r="341" spans="1:15" x14ac:dyDescent="0.25">
      <c r="A341">
        <v>2</v>
      </c>
      <c r="B341" s="13">
        <v>7.708333333333333</v>
      </c>
      <c r="C341">
        <v>-1.178818621</v>
      </c>
      <c r="D341">
        <v>24.74453536</v>
      </c>
      <c r="E341">
        <v>0.167802495</v>
      </c>
      <c r="F341">
        <v>18.92129383</v>
      </c>
      <c r="G341">
        <v>19.485020769999998</v>
      </c>
      <c r="H341">
        <v>20.428625310000001</v>
      </c>
      <c r="I341">
        <v>22.250468919999999</v>
      </c>
      <c r="J341">
        <v>24.74453536</v>
      </c>
      <c r="K341">
        <v>27.940657569999999</v>
      </c>
      <c r="L341">
        <v>31.70954484</v>
      </c>
      <c r="M341">
        <v>34.552709810000003</v>
      </c>
      <c r="N341">
        <v>36.719220129999997</v>
      </c>
      <c r="O341"/>
    </row>
    <row r="342" spans="1:15" x14ac:dyDescent="0.25">
      <c r="A342">
        <v>2</v>
      </c>
      <c r="B342" s="13">
        <v>7.791666666666667</v>
      </c>
      <c r="C342">
        <v>-1.1663543759999999</v>
      </c>
      <c r="D342">
        <v>24.992637349999999</v>
      </c>
      <c r="E342">
        <v>0.16887603700000001</v>
      </c>
      <c r="F342">
        <v>19.07510898</v>
      </c>
      <c r="G342">
        <v>19.647745629999999</v>
      </c>
      <c r="H342">
        <v>20.60639712</v>
      </c>
      <c r="I342">
        <v>22.457681579999999</v>
      </c>
      <c r="J342">
        <v>24.992637349999999</v>
      </c>
      <c r="K342">
        <v>28.241646110000001</v>
      </c>
      <c r="L342">
        <v>32.072857419999998</v>
      </c>
      <c r="M342">
        <v>34.962557990000001</v>
      </c>
      <c r="N342">
        <v>37.164056090000003</v>
      </c>
      <c r="O342"/>
    </row>
    <row r="343" spans="1:15" x14ac:dyDescent="0.25">
      <c r="A343">
        <v>2</v>
      </c>
      <c r="B343" s="13">
        <v>7.875</v>
      </c>
      <c r="C343">
        <v>-1.1536536879999999</v>
      </c>
      <c r="D343">
        <v>25.24403371</v>
      </c>
      <c r="E343">
        <v>0.16995892200000001</v>
      </c>
      <c r="F343">
        <v>19.230244020000001</v>
      </c>
      <c r="G343">
        <v>19.8119865</v>
      </c>
      <c r="H343">
        <v>20.786012899999999</v>
      </c>
      <c r="I343">
        <v>22.667364299999999</v>
      </c>
      <c r="J343">
        <v>25.24403371</v>
      </c>
      <c r="K343">
        <v>28.546894309999999</v>
      </c>
      <c r="L343">
        <v>32.441384360000001</v>
      </c>
      <c r="M343">
        <v>35.378178849999998</v>
      </c>
      <c r="N343">
        <v>37.614984290000002</v>
      </c>
      <c r="O343"/>
    </row>
    <row r="344" spans="1:15" x14ac:dyDescent="0.25">
      <c r="A344">
        <v>2</v>
      </c>
      <c r="B344" s="13">
        <v>7.958333333333333</v>
      </c>
      <c r="C344">
        <v>-1.140751404</v>
      </c>
      <c r="D344">
        <v>25.498802640000001</v>
      </c>
      <c r="E344">
        <v>0.171049756</v>
      </c>
      <c r="F344">
        <v>19.386782669999999</v>
      </c>
      <c r="G344">
        <v>19.9778266</v>
      </c>
      <c r="H344">
        <v>20.96755499</v>
      </c>
      <c r="I344">
        <v>22.87959773</v>
      </c>
      <c r="J344">
        <v>25.498802640000001</v>
      </c>
      <c r="K344">
        <v>28.856476690000001</v>
      </c>
      <c r="L344">
        <v>32.815195539999998</v>
      </c>
      <c r="M344">
        <v>35.799639159999998</v>
      </c>
      <c r="N344">
        <v>38.072069910000003</v>
      </c>
      <c r="O344"/>
    </row>
    <row r="345" spans="1:15" x14ac:dyDescent="0.25">
      <c r="A345">
        <v>2</v>
      </c>
      <c r="B345" s="13">
        <v>8.0416666666666661</v>
      </c>
      <c r="C345">
        <v>-1.127684095</v>
      </c>
      <c r="D345">
        <v>25.757016799999999</v>
      </c>
      <c r="E345">
        <v>0.172147043</v>
      </c>
      <c r="F345">
        <v>19.544810569999999</v>
      </c>
      <c r="G345">
        <v>20.145350229999998</v>
      </c>
      <c r="H345">
        <v>21.15110555</v>
      </c>
      <c r="I345">
        <v>23.09445998</v>
      </c>
      <c r="J345">
        <v>25.757016799999999</v>
      </c>
      <c r="K345">
        <v>29.17045929</v>
      </c>
      <c r="L345">
        <v>33.194350249999999</v>
      </c>
      <c r="M345">
        <v>36.226994900000001</v>
      </c>
      <c r="N345">
        <v>38.535368089999999</v>
      </c>
      <c r="O345"/>
    </row>
    <row r="346" spans="1:15" x14ac:dyDescent="0.25">
      <c r="A346">
        <v>2</v>
      </c>
      <c r="B346" s="13">
        <v>8.125</v>
      </c>
      <c r="C346">
        <v>-1.114490244</v>
      </c>
      <c r="D346">
        <v>26.01874261</v>
      </c>
      <c r="E346">
        <v>0.173249185</v>
      </c>
      <c r="F346">
        <v>19.704415269999998</v>
      </c>
      <c r="G346">
        <v>20.314642760000002</v>
      </c>
      <c r="H346">
        <v>21.336746349999999</v>
      </c>
      <c r="I346">
        <v>23.312026079999999</v>
      </c>
      <c r="J346">
        <v>26.01874261</v>
      </c>
      <c r="K346">
        <v>29.4888987</v>
      </c>
      <c r="L346">
        <v>33.578896499999999</v>
      </c>
      <c r="M346">
        <v>36.660290910000001</v>
      </c>
      <c r="N346">
        <v>39.004923959999999</v>
      </c>
      <c r="O346"/>
    </row>
    <row r="347" spans="1:15" x14ac:dyDescent="0.25">
      <c r="A347">
        <v>2</v>
      </c>
      <c r="B347" s="13">
        <v>8.2083333333333339</v>
      </c>
      <c r="C347">
        <v>-1.1012048480000001</v>
      </c>
      <c r="D347">
        <v>26.28404312</v>
      </c>
      <c r="E347">
        <v>0.17435456899999999</v>
      </c>
      <c r="F347">
        <v>19.865682719999999</v>
      </c>
      <c r="G347">
        <v>20.485787909999999</v>
      </c>
      <c r="H347">
        <v>21.524557359999999</v>
      </c>
      <c r="I347">
        <v>23.532368829999999</v>
      </c>
      <c r="J347">
        <v>26.28404312</v>
      </c>
      <c r="K347">
        <v>29.8118461</v>
      </c>
      <c r="L347">
        <v>33.9688734</v>
      </c>
      <c r="M347">
        <v>37.099559820000003</v>
      </c>
      <c r="N347">
        <v>39.480767460000003</v>
      </c>
      <c r="O347"/>
    </row>
    <row r="348" spans="1:15" x14ac:dyDescent="0.25">
      <c r="A348">
        <v>2</v>
      </c>
      <c r="B348" s="13">
        <v>8.2916666666666661</v>
      </c>
      <c r="C348">
        <v>-1.087863413</v>
      </c>
      <c r="D348">
        <v>26.552975069999999</v>
      </c>
      <c r="E348">
        <v>0.17546151199999999</v>
      </c>
      <c r="F348">
        <v>20.02869944</v>
      </c>
      <c r="G348">
        <v>20.658869240000001</v>
      </c>
      <c r="H348">
        <v>21.71461721</v>
      </c>
      <c r="I348">
        <v>23.75555744</v>
      </c>
      <c r="J348">
        <v>26.552975069999999</v>
      </c>
      <c r="K348">
        <v>30.139343409999999</v>
      </c>
      <c r="L348">
        <v>34.364308600000001</v>
      </c>
      <c r="M348">
        <v>37.544822150000002</v>
      </c>
      <c r="N348">
        <v>39.96291669</v>
      </c>
      <c r="O348"/>
    </row>
    <row r="349" spans="1:15" x14ac:dyDescent="0.25">
      <c r="A349">
        <v>2</v>
      </c>
      <c r="B349" s="13">
        <v>8.375</v>
      </c>
      <c r="C349">
        <v>-1.0745009270000001</v>
      </c>
      <c r="D349">
        <v>26.825589040000001</v>
      </c>
      <c r="E349">
        <v>0.17656828399999999</v>
      </c>
      <c r="F349">
        <v>20.19355165</v>
      </c>
      <c r="G349">
        <v>20.833969419999999</v>
      </c>
      <c r="H349">
        <v>21.907002680000002</v>
      </c>
      <c r="I349">
        <v>23.98165745</v>
      </c>
      <c r="J349">
        <v>26.825589040000001</v>
      </c>
      <c r="K349">
        <v>30.471423640000001</v>
      </c>
      <c r="L349">
        <v>34.765218339999997</v>
      </c>
      <c r="M349">
        <v>37.996085890000003</v>
      </c>
      <c r="N349">
        <v>40.451376719999999</v>
      </c>
      <c r="O349"/>
    </row>
    <row r="350" spans="1:15" x14ac:dyDescent="0.25">
      <c r="A350">
        <v>2</v>
      </c>
      <c r="B350" s="13">
        <v>8.4583333333333339</v>
      </c>
      <c r="C350">
        <v>-1.061151213</v>
      </c>
      <c r="D350">
        <v>27.101929500000001</v>
      </c>
      <c r="E350">
        <v>0.17767312399999999</v>
      </c>
      <c r="F350">
        <v>20.36032458</v>
      </c>
      <c r="G350">
        <v>21.011169679999998</v>
      </c>
      <c r="H350">
        <v>22.101788259999999</v>
      </c>
      <c r="I350">
        <v>24.210730430000002</v>
      </c>
      <c r="J350">
        <v>27.101929500000001</v>
      </c>
      <c r="K350">
        <v>30.808111060000002</v>
      </c>
      <c r="L350">
        <v>35.171607510000001</v>
      </c>
      <c r="M350">
        <v>38.453346080000003</v>
      </c>
      <c r="N350">
        <v>40.946138810000001</v>
      </c>
      <c r="O350"/>
    </row>
    <row r="351" spans="1:15" x14ac:dyDescent="0.25">
      <c r="A351">
        <v>2</v>
      </c>
      <c r="B351" s="13">
        <v>8.5416666666666661</v>
      </c>
      <c r="C351">
        <v>-1.0478471410000001</v>
      </c>
      <c r="D351">
        <v>27.382034220000001</v>
      </c>
      <c r="E351">
        <v>0.178774242</v>
      </c>
      <c r="F351">
        <v>20.529102389999998</v>
      </c>
      <c r="G351">
        <v>21.19054959</v>
      </c>
      <c r="H351">
        <v>22.299045889999999</v>
      </c>
      <c r="I351">
        <v>24.442833650000001</v>
      </c>
      <c r="J351">
        <v>27.382034220000001</v>
      </c>
      <c r="K351">
        <v>31.149420580000001</v>
      </c>
      <c r="L351">
        <v>35.583469139999998</v>
      </c>
      <c r="M351">
        <v>38.916584649999997</v>
      </c>
      <c r="N351">
        <v>41.447180439999997</v>
      </c>
      <c r="O351"/>
    </row>
    <row r="352" spans="1:15" x14ac:dyDescent="0.25">
      <c r="A352">
        <v>2</v>
      </c>
      <c r="B352" s="13">
        <v>8.625</v>
      </c>
      <c r="C352">
        <v>-1.0346205509999999</v>
      </c>
      <c r="D352">
        <v>27.665934020000002</v>
      </c>
      <c r="E352">
        <v>0.17986982900000001</v>
      </c>
      <c r="F352">
        <v>20.6999678</v>
      </c>
      <c r="G352">
        <v>21.372186769999999</v>
      </c>
      <c r="H352">
        <v>22.498844590000001</v>
      </c>
      <c r="I352">
        <v>24.678019689999999</v>
      </c>
      <c r="J352">
        <v>27.665934020000002</v>
      </c>
      <c r="K352">
        <v>31.495357469999998</v>
      </c>
      <c r="L352">
        <v>36.000784209999999</v>
      </c>
      <c r="M352">
        <v>39.385770139999998</v>
      </c>
      <c r="N352">
        <v>41.954465059999997</v>
      </c>
      <c r="O352"/>
    </row>
    <row r="353" spans="1:15" x14ac:dyDescent="0.25">
      <c r="A353">
        <v>2</v>
      </c>
      <c r="B353" s="13">
        <v>8.7083333333333339</v>
      </c>
      <c r="C353">
        <v>-1.021502197</v>
      </c>
      <c r="D353">
        <v>27.953652399999999</v>
      </c>
      <c r="E353">
        <v>0.180958063</v>
      </c>
      <c r="F353">
        <v>20.873001800000001</v>
      </c>
      <c r="G353">
        <v>21.556156529999999</v>
      </c>
      <c r="H353">
        <v>22.7012502</v>
      </c>
      <c r="I353">
        <v>24.9163362</v>
      </c>
      <c r="J353">
        <v>27.953652399999999</v>
      </c>
      <c r="K353">
        <v>31.845917100000001</v>
      </c>
      <c r="L353">
        <v>36.423521360000002</v>
      </c>
      <c r="M353">
        <v>39.860857559999999</v>
      </c>
      <c r="N353">
        <v>42.467941949999997</v>
      </c>
      <c r="O353"/>
    </row>
    <row r="354" spans="1:15" x14ac:dyDescent="0.25">
      <c r="A354">
        <v>2</v>
      </c>
      <c r="B354" s="13">
        <v>8.7916666666666661</v>
      </c>
      <c r="C354">
        <v>-1.008521695</v>
      </c>
      <c r="D354">
        <v>28.245205309999999</v>
      </c>
      <c r="E354">
        <v>0.182037118</v>
      </c>
      <c r="F354">
        <v>21.048283359999999</v>
      </c>
      <c r="G354">
        <v>21.742531639999999</v>
      </c>
      <c r="H354">
        <v>22.90632506</v>
      </c>
      <c r="I354">
        <v>25.157825509999999</v>
      </c>
      <c r="J354">
        <v>28.245205309999999</v>
      </c>
      <c r="K354">
        <v>32.201084680000001</v>
      </c>
      <c r="L354">
        <v>36.851636749999997</v>
      </c>
      <c r="M354">
        <v>40.341788200000003</v>
      </c>
      <c r="N354">
        <v>42.987546090000002</v>
      </c>
      <c r="O354"/>
    </row>
    <row r="355" spans="1:15" x14ac:dyDescent="0.25">
      <c r="A355">
        <v>2</v>
      </c>
      <c r="B355" s="13">
        <v>8.875</v>
      </c>
      <c r="C355">
        <v>-0.99570749400000003</v>
      </c>
      <c r="D355">
        <v>28.540600850000001</v>
      </c>
      <c r="E355">
        <v>0.18310517200000001</v>
      </c>
      <c r="F355">
        <v>21.225889110000001</v>
      </c>
      <c r="G355">
        <v>21.93138197</v>
      </c>
      <c r="H355">
        <v>23.114127700000001</v>
      </c>
      <c r="I355">
        <v>25.40252443</v>
      </c>
      <c r="J355">
        <v>28.540600850000001</v>
      </c>
      <c r="K355">
        <v>32.560835070000003</v>
      </c>
      <c r="L355">
        <v>37.285073920000002</v>
      </c>
      <c r="M355">
        <v>40.828489570000002</v>
      </c>
      <c r="N355">
        <v>43.513198070000001</v>
      </c>
      <c r="O355"/>
    </row>
    <row r="356" spans="1:15" x14ac:dyDescent="0.25">
      <c r="A356">
        <v>2</v>
      </c>
      <c r="B356" s="13">
        <v>8.9583333333333339</v>
      </c>
      <c r="C356">
        <v>-0.98308684400000002</v>
      </c>
      <c r="D356">
        <v>28.83983907</v>
      </c>
      <c r="E356">
        <v>0.18416041</v>
      </c>
      <c r="F356">
        <v>21.405893070000001</v>
      </c>
      <c r="G356">
        <v>22.122774230000001</v>
      </c>
      <c r="H356">
        <v>23.324712569999999</v>
      </c>
      <c r="I356">
        <v>25.65046392</v>
      </c>
      <c r="J356">
        <v>28.83983907</v>
      </c>
      <c r="K356">
        <v>32.925132550000001</v>
      </c>
      <c r="L356">
        <v>37.723763650000002</v>
      </c>
      <c r="M356">
        <v>41.320875309999998</v>
      </c>
      <c r="N356">
        <v>44.04480409</v>
      </c>
      <c r="O356"/>
    </row>
    <row r="357" spans="1:15" x14ac:dyDescent="0.25">
      <c r="A357">
        <v>2</v>
      </c>
      <c r="B357" s="13">
        <v>9.0416666666666661</v>
      </c>
      <c r="C357">
        <v>-0.97068578900000002</v>
      </c>
      <c r="D357">
        <v>29.14291171</v>
      </c>
      <c r="E357">
        <v>0.18520103900000001</v>
      </c>
      <c r="F357">
        <v>21.588366359999998</v>
      </c>
      <c r="G357">
        <v>22.316771689999999</v>
      </c>
      <c r="H357">
        <v>23.538129789999999</v>
      </c>
      <c r="I357">
        <v>25.90166889</v>
      </c>
      <c r="J357">
        <v>29.14291171</v>
      </c>
      <c r="K357">
        <v>33.29393074</v>
      </c>
      <c r="L357">
        <v>38.167623890000002</v>
      </c>
      <c r="M357">
        <v>41.818845199999998</v>
      </c>
      <c r="N357">
        <v>44.582255930000002</v>
      </c>
      <c r="O357"/>
    </row>
    <row r="358" spans="1:15" x14ac:dyDescent="0.25">
      <c r="A358">
        <v>2</v>
      </c>
      <c r="B358" s="13">
        <v>9.125</v>
      </c>
      <c r="C358">
        <v>-0.95852915699999997</v>
      </c>
      <c r="D358">
        <v>29.449802080000001</v>
      </c>
      <c r="E358">
        <v>0.18622528699999999</v>
      </c>
      <c r="F358">
        <v>21.773376890000002</v>
      </c>
      <c r="G358">
        <v>22.513433880000001</v>
      </c>
      <c r="H358">
        <v>23.754424839999999</v>
      </c>
      <c r="I358">
        <v>26.156157919999998</v>
      </c>
      <c r="J358">
        <v>29.449802080000001</v>
      </c>
      <c r="K358">
        <v>33.667172389999998</v>
      </c>
      <c r="L358">
        <v>38.616559760000001</v>
      </c>
      <c r="M358">
        <v>42.322285149999999</v>
      </c>
      <c r="N358">
        <v>45.125430979999997</v>
      </c>
      <c r="O358"/>
    </row>
    <row r="359" spans="1:15" x14ac:dyDescent="0.25">
      <c r="A359">
        <v>2</v>
      </c>
      <c r="B359" s="13">
        <v>9.2083333333333339</v>
      </c>
      <c r="C359">
        <v>-0.94664056799999996</v>
      </c>
      <c r="D359">
        <v>29.76048479</v>
      </c>
      <c r="E359">
        <v>0.18723141600000001</v>
      </c>
      <c r="F359">
        <v>21.960989139999999</v>
      </c>
      <c r="G359">
        <v>22.71281638</v>
      </c>
      <c r="H359">
        <v>23.973638340000001</v>
      </c>
      <c r="I359">
        <v>26.413943060000001</v>
      </c>
      <c r="J359">
        <v>29.76048479</v>
      </c>
      <c r="K359">
        <v>34.044789369999997</v>
      </c>
      <c r="L359">
        <v>39.070463500000002</v>
      </c>
      <c r="M359">
        <v>42.831067249999997</v>
      </c>
      <c r="N359">
        <v>45.674192419999997</v>
      </c>
      <c r="O359"/>
    </row>
    <row r="360" spans="1:15" x14ac:dyDescent="0.25">
      <c r="A360">
        <v>2</v>
      </c>
      <c r="B360" s="13">
        <v>9.2916666666666661</v>
      </c>
      <c r="C360">
        <v>-0.93504244700000005</v>
      </c>
      <c r="D360">
        <v>30.074925700000001</v>
      </c>
      <c r="E360">
        <v>0.188217723</v>
      </c>
      <c r="F360">
        <v>22.151263889999999</v>
      </c>
      <c r="G360">
        <v>22.914970520000001</v>
      </c>
      <c r="H360">
        <v>24.195805830000001</v>
      </c>
      <c r="I360">
        <v>26.675029640000002</v>
      </c>
      <c r="J360">
        <v>30.074925700000001</v>
      </c>
      <c r="K360">
        <v>34.426702550000002</v>
      </c>
      <c r="L360">
        <v>39.529214539999998</v>
      </c>
      <c r="M360">
        <v>43.34504991</v>
      </c>
      <c r="N360">
        <v>46.228389229999998</v>
      </c>
      <c r="O360"/>
    </row>
    <row r="361" spans="1:15" x14ac:dyDescent="0.25">
      <c r="A361">
        <v>2</v>
      </c>
      <c r="B361" s="13">
        <v>9.375</v>
      </c>
      <c r="C361">
        <v>-0.92375604099999997</v>
      </c>
      <c r="D361">
        <v>30.393081760000001</v>
      </c>
      <c r="E361">
        <v>0.18918255</v>
      </c>
      <c r="F361">
        <v>22.34425792</v>
      </c>
      <c r="G361">
        <v>23.119943159999998</v>
      </c>
      <c r="H361">
        <v>24.4209575</v>
      </c>
      <c r="I361">
        <v>26.93941607</v>
      </c>
      <c r="J361">
        <v>30.393081760000001</v>
      </c>
      <c r="K361">
        <v>34.812821800000002</v>
      </c>
      <c r="L361">
        <v>39.992679549999998</v>
      </c>
      <c r="M361">
        <v>43.864077950000002</v>
      </c>
      <c r="N361">
        <v>46.78785646</v>
      </c>
      <c r="O361"/>
    </row>
    <row r="362" spans="1:15" x14ac:dyDescent="0.25">
      <c r="A362">
        <v>2</v>
      </c>
      <c r="B362" s="13">
        <v>9.4583333333333339</v>
      </c>
      <c r="C362">
        <v>-0.91280144500000004</v>
      </c>
      <c r="D362">
        <v>30.714900929999999</v>
      </c>
      <c r="E362">
        <v>0.190124286</v>
      </c>
      <c r="F362">
        <v>22.540023819999998</v>
      </c>
      <c r="G362">
        <v>23.327776459999999</v>
      </c>
      <c r="H362">
        <v>24.649118040000001</v>
      </c>
      <c r="I362">
        <v>27.20709368</v>
      </c>
      <c r="J362">
        <v>30.714900929999999</v>
      </c>
      <c r="K362">
        <v>35.20304599</v>
      </c>
      <c r="L362">
        <v>40.460712559999997</v>
      </c>
      <c r="M362">
        <v>44.387982780000002</v>
      </c>
      <c r="N362">
        <v>47.352415399999998</v>
      </c>
      <c r="O362"/>
    </row>
    <row r="363" spans="1:15" x14ac:dyDescent="0.25">
      <c r="A363">
        <v>2</v>
      </c>
      <c r="B363" s="13">
        <v>9.5416666666666661</v>
      </c>
      <c r="C363">
        <v>-0.90219763799999997</v>
      </c>
      <c r="D363">
        <v>31.040322100000001</v>
      </c>
      <c r="E363">
        <v>0.19104137500000001</v>
      </c>
      <c r="F363">
        <v>22.738609749999998</v>
      </c>
      <c r="G363">
        <v>23.538507639999999</v>
      </c>
      <c r="H363">
        <v>24.88030638</v>
      </c>
      <c r="I363">
        <v>27.478046590000002</v>
      </c>
      <c r="J363">
        <v>31.040322100000001</v>
      </c>
      <c r="K363">
        <v>35.59726302</v>
      </c>
      <c r="L363">
        <v>40.9331551</v>
      </c>
      <c r="M363">
        <v>44.916582650000002</v>
      </c>
      <c r="N363">
        <v>47.921873830000003</v>
      </c>
      <c r="O363"/>
    </row>
    <row r="364" spans="1:15" x14ac:dyDescent="0.25">
      <c r="A364">
        <v>2</v>
      </c>
      <c r="B364" s="13">
        <v>9.625</v>
      </c>
      <c r="C364">
        <v>-0.89196251299999996</v>
      </c>
      <c r="D364">
        <v>31.36927506</v>
      </c>
      <c r="E364">
        <v>0.19193231899999999</v>
      </c>
      <c r="F364">
        <v>22.940059170000001</v>
      </c>
      <c r="G364">
        <v>23.7521688</v>
      </c>
      <c r="H364">
        <v>25.114535570000001</v>
      </c>
      <c r="I364">
        <v>27.75225159</v>
      </c>
      <c r="J364">
        <v>31.36927506</v>
      </c>
      <c r="K364">
        <v>35.99534989</v>
      </c>
      <c r="L364">
        <v>41.409836390000002</v>
      </c>
      <c r="M364">
        <v>45.449682840000001</v>
      </c>
      <c r="N364">
        <v>48.496026309999998</v>
      </c>
      <c r="O364"/>
    </row>
    <row r="365" spans="1:15" x14ac:dyDescent="0.25">
      <c r="A365">
        <v>2</v>
      </c>
      <c r="B365" s="13">
        <v>9.7083333333333339</v>
      </c>
      <c r="C365">
        <v>-0.882112919</v>
      </c>
      <c r="D365">
        <v>31.701680499999998</v>
      </c>
      <c r="E365">
        <v>0.192795682</v>
      </c>
      <c r="F365">
        <v>23.144410690000001</v>
      </c>
      <c r="G365">
        <v>23.968786720000001</v>
      </c>
      <c r="H365">
        <v>25.351812590000002</v>
      </c>
      <c r="I365">
        <v>28.029678000000001</v>
      </c>
      <c r="J365">
        <v>31.701680499999998</v>
      </c>
      <c r="K365">
        <v>36.3971728</v>
      </c>
      <c r="L365">
        <v>41.890573519999997</v>
      </c>
      <c r="M365">
        <v>45.987075969999999</v>
      </c>
      <c r="N365">
        <v>49.074654510000002</v>
      </c>
      <c r="O365"/>
    </row>
    <row r="366" spans="1:15" x14ac:dyDescent="0.25">
      <c r="A366">
        <v>2</v>
      </c>
      <c r="B366" s="13">
        <v>9.7916666666666661</v>
      </c>
      <c r="C366">
        <v>-0.87266470600000001</v>
      </c>
      <c r="D366">
        <v>32.037449989999999</v>
      </c>
      <c r="E366">
        <v>0.193630095</v>
      </c>
      <c r="F366">
        <v>23.351697810000001</v>
      </c>
      <c r="G366">
        <v>24.18838263</v>
      </c>
      <c r="H366">
        <v>25.592138179999999</v>
      </c>
      <c r="I366">
        <v>28.310287649999999</v>
      </c>
      <c r="J366">
        <v>32.037449989999999</v>
      </c>
      <c r="K366">
        <v>36.802587260000003</v>
      </c>
      <c r="L366">
        <v>42.375171719999997</v>
      </c>
      <c r="M366">
        <v>46.52854232</v>
      </c>
      <c r="N366">
        <v>49.65752758</v>
      </c>
      <c r="O366"/>
    </row>
    <row r="367" spans="1:15" x14ac:dyDescent="0.25">
      <c r="A367">
        <v>2</v>
      </c>
      <c r="B367" s="13">
        <v>9.875</v>
      </c>
      <c r="C367">
        <v>-0.863632768</v>
      </c>
      <c r="D367">
        <v>32.376486069999999</v>
      </c>
      <c r="E367">
        <v>0.19443426</v>
      </c>
      <c r="F367">
        <v>23.561948780000002</v>
      </c>
      <c r="G367">
        <v>24.410972099999999</v>
      </c>
      <c r="H367">
        <v>25.835506729999999</v>
      </c>
      <c r="I367">
        <v>28.59403476</v>
      </c>
      <c r="J367">
        <v>32.376486069999999</v>
      </c>
      <c r="K367">
        <v>37.211438289999997</v>
      </c>
      <c r="L367">
        <v>42.863424649999999</v>
      </c>
      <c r="M367">
        <v>47.07385017</v>
      </c>
      <c r="N367">
        <v>50.244402530000002</v>
      </c>
      <c r="O367"/>
    </row>
    <row r="368" spans="1:15" x14ac:dyDescent="0.25">
      <c r="A368">
        <v>2</v>
      </c>
      <c r="B368" s="13">
        <v>9.9583333333333339</v>
      </c>
      <c r="C368">
        <v>-0.85503109200000005</v>
      </c>
      <c r="D368">
        <v>32.718682250000001</v>
      </c>
      <c r="E368">
        <v>0.19520694799999999</v>
      </c>
      <c r="F368">
        <v>23.77518637</v>
      </c>
      <c r="G368">
        <v>24.636564880000002</v>
      </c>
      <c r="H368">
        <v>26.081906159999999</v>
      </c>
      <c r="I368">
        <v>28.88086594</v>
      </c>
      <c r="J368">
        <v>32.718682250000001</v>
      </c>
      <c r="K368">
        <v>37.623560580000003</v>
      </c>
      <c r="L368">
        <v>43.355114669999999</v>
      </c>
      <c r="M368">
        <v>47.622756189999997</v>
      </c>
      <c r="N368">
        <v>50.83502464</v>
      </c>
      <c r="O368"/>
    </row>
    <row r="369" spans="1:15" x14ac:dyDescent="0.25">
      <c r="A369">
        <v>2</v>
      </c>
      <c r="B369" s="13">
        <v>10.041666666666666</v>
      </c>
      <c r="C369">
        <v>-0.84687280499999995</v>
      </c>
      <c r="D369">
        <v>33.063923180000003</v>
      </c>
      <c r="E369">
        <v>0.19594700800000001</v>
      </c>
      <c r="F369">
        <v>23.991427739999999</v>
      </c>
      <c r="G369">
        <v>24.865164679999999</v>
      </c>
      <c r="H369">
        <v>26.331317819999999</v>
      </c>
      <c r="I369">
        <v>29.170720150000001</v>
      </c>
      <c r="J369">
        <v>33.063923180000003</v>
      </c>
      <c r="K369">
        <v>38.038778690000001</v>
      </c>
      <c r="L369">
        <v>43.850013220000001</v>
      </c>
      <c r="M369">
        <v>48.175005849999998</v>
      </c>
      <c r="N369">
        <v>51.429127989999998</v>
      </c>
      <c r="O369"/>
    </row>
    <row r="370" spans="1:15" x14ac:dyDescent="0.25">
      <c r="A370">
        <v>2</v>
      </c>
      <c r="B370" s="13">
        <v>10.125</v>
      </c>
      <c r="C370">
        <v>-0.83917022399999996</v>
      </c>
      <c r="D370">
        <v>33.412084700000001</v>
      </c>
      <c r="E370">
        <v>0.196653365</v>
      </c>
      <c r="F370">
        <v>24.210684239999999</v>
      </c>
      <c r="G370">
        <v>25.096769129999998</v>
      </c>
      <c r="H370">
        <v>26.583716379999998</v>
      </c>
      <c r="I370">
        <v>29.463528700000001</v>
      </c>
      <c r="J370">
        <v>33.412084700000001</v>
      </c>
      <c r="K370">
        <v>38.456907370000003</v>
      </c>
      <c r="L370">
        <v>44.347881190000003</v>
      </c>
      <c r="M370">
        <v>48.730333860000002</v>
      </c>
      <c r="N370">
        <v>52.02643587</v>
      </c>
      <c r="O370"/>
    </row>
    <row r="371" spans="1:15" x14ac:dyDescent="0.25">
      <c r="A371">
        <v>2</v>
      </c>
      <c r="B371" s="13">
        <v>10.208333333333334</v>
      </c>
      <c r="C371">
        <v>-0.83193490299999995</v>
      </c>
      <c r="D371">
        <v>33.763034019999999</v>
      </c>
      <c r="E371">
        <v>0.19732502299999999</v>
      </c>
      <c r="F371">
        <v>24.43296131</v>
      </c>
      <c r="G371">
        <v>25.33136962</v>
      </c>
      <c r="H371">
        <v>26.839069800000001</v>
      </c>
      <c r="I371">
        <v>29.759215300000001</v>
      </c>
      <c r="J371">
        <v>33.763034019999999</v>
      </c>
      <c r="K371">
        <v>38.877751770000003</v>
      </c>
      <c r="L371">
        <v>44.848469309999999</v>
      </c>
      <c r="M371">
        <v>49.288464660000002</v>
      </c>
      <c r="N371">
        <v>52.626661349999999</v>
      </c>
      <c r="O371"/>
    </row>
    <row r="372" spans="1:15" x14ac:dyDescent="0.25">
      <c r="A372">
        <v>2</v>
      </c>
      <c r="B372" s="13">
        <v>10.291666666666666</v>
      </c>
      <c r="C372">
        <v>-0.82517768800000002</v>
      </c>
      <c r="D372">
        <v>34.1166299</v>
      </c>
      <c r="E372">
        <v>0.19796106499999999</v>
      </c>
      <c r="F372">
        <v>24.658258329999999</v>
      </c>
      <c r="G372">
        <v>25.56895119</v>
      </c>
      <c r="H372">
        <v>27.097339250000001</v>
      </c>
      <c r="I372">
        <v>30.05769609</v>
      </c>
      <c r="J372">
        <v>34.1166299</v>
      </c>
      <c r="K372">
        <v>39.301107780000002</v>
      </c>
      <c r="L372">
        <v>45.351518570000003</v>
      </c>
      <c r="M372">
        <v>49.849112910000002</v>
      </c>
      <c r="N372">
        <v>53.229507830000003</v>
      </c>
      <c r="O372"/>
    </row>
    <row r="373" spans="1:15" x14ac:dyDescent="0.25">
      <c r="A373">
        <v>2</v>
      </c>
      <c r="B373" s="13">
        <v>10.375</v>
      </c>
      <c r="C373">
        <v>-0.81890875799999996</v>
      </c>
      <c r="D373">
        <v>34.472722830000002</v>
      </c>
      <c r="E373">
        <v>0.198560655</v>
      </c>
      <c r="F373">
        <v>24.88656847</v>
      </c>
      <c r="G373">
        <v>25.80949245</v>
      </c>
      <c r="H373">
        <v>27.358479060000001</v>
      </c>
      <c r="I373">
        <v>30.35887971</v>
      </c>
      <c r="J373">
        <v>34.472722830000002</v>
      </c>
      <c r="K373">
        <v>39.726762379999997</v>
      </c>
      <c r="L373">
        <v>45.856760700000002</v>
      </c>
      <c r="M373">
        <v>50.411984019999998</v>
      </c>
      <c r="N373">
        <v>53.834669599999998</v>
      </c>
      <c r="O373"/>
    </row>
    <row r="374" spans="1:15" x14ac:dyDescent="0.25">
      <c r="A374">
        <v>2</v>
      </c>
      <c r="B374" s="13">
        <v>10.458333333333334</v>
      </c>
      <c r="C374">
        <v>-0.813137675</v>
      </c>
      <c r="D374">
        <v>34.831155240000001</v>
      </c>
      <c r="E374">
        <v>0.199123037</v>
      </c>
      <c r="F374">
        <v>25.117878640000001</v>
      </c>
      <c r="G374">
        <v>26.052965530000002</v>
      </c>
      <c r="H374">
        <v>27.62243677</v>
      </c>
      <c r="I374">
        <v>30.662667370000001</v>
      </c>
      <c r="J374">
        <v>34.831155240000001</v>
      </c>
      <c r="K374">
        <v>40.154493950000003</v>
      </c>
      <c r="L374">
        <v>46.363918660000003</v>
      </c>
      <c r="M374">
        <v>50.9767747</v>
      </c>
      <c r="N374">
        <v>54.44183245</v>
      </c>
      <c r="O374"/>
    </row>
    <row r="375" spans="1:15" x14ac:dyDescent="0.25">
      <c r="A375">
        <v>2</v>
      </c>
      <c r="B375" s="13">
        <v>10.541666666666666</v>
      </c>
      <c r="C375">
        <v>-0.80787343300000003</v>
      </c>
      <c r="D375">
        <v>35.191761769999999</v>
      </c>
      <c r="E375">
        <v>0.19964753800000001</v>
      </c>
      <c r="F375">
        <v>25.35216934</v>
      </c>
      <c r="G375">
        <v>26.299335979999999</v>
      </c>
      <c r="H375">
        <v>27.88915304</v>
      </c>
      <c r="I375">
        <v>30.968952980000001</v>
      </c>
      <c r="J375">
        <v>35.191761769999999</v>
      </c>
      <c r="K375">
        <v>40.584072720000002</v>
      </c>
      <c r="L375">
        <v>46.872707120000001</v>
      </c>
      <c r="M375">
        <v>51.54317357</v>
      </c>
      <c r="N375">
        <v>55.050674299999997</v>
      </c>
      <c r="O375"/>
    </row>
    <row r="376" spans="1:15" x14ac:dyDescent="0.25">
      <c r="A376">
        <v>2</v>
      </c>
      <c r="B376" s="13">
        <v>10.625</v>
      </c>
      <c r="C376">
        <v>-0.80312261299999999</v>
      </c>
      <c r="D376">
        <v>35.554371760000002</v>
      </c>
      <c r="E376">
        <v>0.200133598</v>
      </c>
      <c r="F376">
        <v>25.589412490000001</v>
      </c>
      <c r="G376">
        <v>26.548561200000002</v>
      </c>
      <c r="H376">
        <v>28.158561070000001</v>
      </c>
      <c r="I376">
        <v>31.277624110000001</v>
      </c>
      <c r="J376">
        <v>35.554371760000002</v>
      </c>
      <c r="K376">
        <v>41.015264010000003</v>
      </c>
      <c r="L376">
        <v>47.382834789999997</v>
      </c>
      <c r="M376">
        <v>52.110861229999998</v>
      </c>
      <c r="N376">
        <v>55.660862870000003</v>
      </c>
      <c r="O376"/>
    </row>
    <row r="377" spans="1:15" x14ac:dyDescent="0.25">
      <c r="A377">
        <v>2</v>
      </c>
      <c r="B377" s="13">
        <v>10.708333333333334</v>
      </c>
      <c r="C377">
        <v>-0.79889770999999998</v>
      </c>
      <c r="D377">
        <v>35.918799759999999</v>
      </c>
      <c r="E377">
        <v>0.20058061799999999</v>
      </c>
      <c r="F377">
        <v>25.82958069</v>
      </c>
      <c r="G377">
        <v>26.800597249999999</v>
      </c>
      <c r="H377">
        <v>28.43058954</v>
      </c>
      <c r="I377">
        <v>31.58855853</v>
      </c>
      <c r="J377">
        <v>35.918799759999999</v>
      </c>
      <c r="K377">
        <v>41.447816090000003</v>
      </c>
      <c r="L377">
        <v>47.893997220000003</v>
      </c>
      <c r="M377">
        <v>52.679513049999997</v>
      </c>
      <c r="N377">
        <v>56.272069440000003</v>
      </c>
      <c r="O377"/>
    </row>
    <row r="378" spans="1:15" x14ac:dyDescent="0.25">
      <c r="A378">
        <v>2</v>
      </c>
      <c r="B378" s="13">
        <v>10.791666666666666</v>
      </c>
      <c r="C378">
        <v>-0.79520349899999998</v>
      </c>
      <c r="D378">
        <v>36.284861939999999</v>
      </c>
      <c r="E378">
        <v>0.200988216</v>
      </c>
      <c r="F378">
        <v>26.0726318</v>
      </c>
      <c r="G378">
        <v>27.055387530000001</v>
      </c>
      <c r="H378">
        <v>28.705157830000001</v>
      </c>
      <c r="I378">
        <v>31.901630279999999</v>
      </c>
      <c r="J378">
        <v>36.284861939999999</v>
      </c>
      <c r="K378">
        <v>41.881481360000002</v>
      </c>
      <c r="L378">
        <v>48.405890110000001</v>
      </c>
      <c r="M378">
        <v>53.248796300000002</v>
      </c>
      <c r="N378">
        <v>56.883947970000001</v>
      </c>
      <c r="O378"/>
    </row>
    <row r="379" spans="1:15" x14ac:dyDescent="0.25">
      <c r="A379">
        <v>2</v>
      </c>
      <c r="B379" s="13">
        <v>10.875</v>
      </c>
      <c r="C379">
        <v>-0.79204795900000002</v>
      </c>
      <c r="D379">
        <v>36.652363649999998</v>
      </c>
      <c r="E379">
        <v>0.201356017</v>
      </c>
      <c r="F379">
        <v>26.318521130000001</v>
      </c>
      <c r="G379">
        <v>27.31287184</v>
      </c>
      <c r="H379">
        <v>28.982179940000002</v>
      </c>
      <c r="I379">
        <v>32.216705220000001</v>
      </c>
      <c r="J379">
        <v>36.652363649999998</v>
      </c>
      <c r="K379">
        <v>42.316000369999998</v>
      </c>
      <c r="L379">
        <v>48.918199780000002</v>
      </c>
      <c r="M379">
        <v>53.818373579999999</v>
      </c>
      <c r="N379">
        <v>57.496152969999997</v>
      </c>
      <c r="O379"/>
    </row>
    <row r="380" spans="1:15" x14ac:dyDescent="0.25">
      <c r="A380">
        <v>2</v>
      </c>
      <c r="B380" s="13">
        <v>10.958333333333334</v>
      </c>
      <c r="C380">
        <v>-0.78943527400000002</v>
      </c>
      <c r="D380">
        <v>37.021108179999999</v>
      </c>
      <c r="E380">
        <v>0.201683791</v>
      </c>
      <c r="F380">
        <v>26.567193270000001</v>
      </c>
      <c r="G380">
        <v>27.572980309999998</v>
      </c>
      <c r="H380">
        <v>29.261561990000001</v>
      </c>
      <c r="I380">
        <v>32.533644199999998</v>
      </c>
      <c r="J380">
        <v>37.021108179999999</v>
      </c>
      <c r="K380">
        <v>42.751113179999997</v>
      </c>
      <c r="L380">
        <v>49.430610530000003</v>
      </c>
      <c r="M380">
        <v>54.387901730000003</v>
      </c>
      <c r="N380">
        <v>58.108328950000001</v>
      </c>
      <c r="O380"/>
    </row>
    <row r="381" spans="1:15" x14ac:dyDescent="0.25">
      <c r="A381">
        <v>2</v>
      </c>
      <c r="B381" s="13">
        <v>11.041666666666666</v>
      </c>
      <c r="C381">
        <v>-0.78737443299999998</v>
      </c>
      <c r="D381">
        <v>37.390886680000001</v>
      </c>
      <c r="E381">
        <v>0.201971282</v>
      </c>
      <c r="F381">
        <v>26.81859231</v>
      </c>
      <c r="G381">
        <v>27.835641039999999</v>
      </c>
      <c r="H381">
        <v>29.5432056</v>
      </c>
      <c r="I381">
        <v>32.852299670000001</v>
      </c>
      <c r="J381">
        <v>37.390886680000001</v>
      </c>
      <c r="K381">
        <v>43.18654635</v>
      </c>
      <c r="L381">
        <v>49.94279684</v>
      </c>
      <c r="M381">
        <v>54.957034659999998</v>
      </c>
      <c r="N381">
        <v>58.720125090000003</v>
      </c>
      <c r="O381"/>
    </row>
    <row r="382" spans="1:15" x14ac:dyDescent="0.25">
      <c r="A382">
        <v>2</v>
      </c>
      <c r="B382" s="13">
        <v>11.125</v>
      </c>
      <c r="C382">
        <v>-0.78587069499999995</v>
      </c>
      <c r="D382">
        <v>37.761489050000002</v>
      </c>
      <c r="E382">
        <v>0.20221837500000001</v>
      </c>
      <c r="F382">
        <v>27.0726516</v>
      </c>
      <c r="G382">
        <v>28.100772559999999</v>
      </c>
      <c r="H382">
        <v>29.82700474</v>
      </c>
      <c r="I382">
        <v>33.172519559999998</v>
      </c>
      <c r="J382">
        <v>37.761489050000002</v>
      </c>
      <c r="K382">
        <v>43.622027039999999</v>
      </c>
      <c r="L382">
        <v>50.45443246</v>
      </c>
      <c r="M382">
        <v>55.525421950000002</v>
      </c>
      <c r="N382">
        <v>59.331182060000003</v>
      </c>
      <c r="O382"/>
    </row>
    <row r="383" spans="1:15" x14ac:dyDescent="0.25">
      <c r="A383">
        <v>2</v>
      </c>
      <c r="B383" s="13">
        <v>11.208333333333334</v>
      </c>
      <c r="C383">
        <v>-0.78492989300000005</v>
      </c>
      <c r="D383">
        <v>38.132699100000004</v>
      </c>
      <c r="E383">
        <v>0.20242500599999999</v>
      </c>
      <c r="F383">
        <v>27.329298900000001</v>
      </c>
      <c r="G383">
        <v>28.3682877</v>
      </c>
      <c r="H383">
        <v>30.112847460000001</v>
      </c>
      <c r="I383">
        <v>33.49414573</v>
      </c>
      <c r="J383">
        <v>38.132699100000004</v>
      </c>
      <c r="K383">
        <v>44.057276780000002</v>
      </c>
      <c r="L383">
        <v>50.965186850000002</v>
      </c>
      <c r="M383">
        <v>56.092710599999997</v>
      </c>
      <c r="N383">
        <v>59.94113978</v>
      </c>
      <c r="O383"/>
    </row>
    <row r="384" spans="1:15" x14ac:dyDescent="0.25">
      <c r="A384">
        <v>2</v>
      </c>
      <c r="B384" s="13">
        <v>11.291666666666666</v>
      </c>
      <c r="C384">
        <v>-0.78455760500000005</v>
      </c>
      <c r="D384">
        <v>38.504296029999999</v>
      </c>
      <c r="E384">
        <v>0.20259118300000001</v>
      </c>
      <c r="F384">
        <v>27.588455400000001</v>
      </c>
      <c r="G384">
        <v>28.638092879999999</v>
      </c>
      <c r="H384">
        <v>30.400615800000001</v>
      </c>
      <c r="I384">
        <v>33.817014630000003</v>
      </c>
      <c r="J384">
        <v>38.504296029999999</v>
      </c>
      <c r="K384">
        <v>44.492013409999998</v>
      </c>
      <c r="L384">
        <v>51.474726709999999</v>
      </c>
      <c r="M384">
        <v>56.658545570000001</v>
      </c>
      <c r="N384">
        <v>60.549636730000003</v>
      </c>
      <c r="O384"/>
    </row>
    <row r="385" spans="1:15" x14ac:dyDescent="0.25">
      <c r="A385">
        <v>2</v>
      </c>
      <c r="B385" s="13">
        <v>11.375</v>
      </c>
      <c r="C385">
        <v>-0.78475916999999995</v>
      </c>
      <c r="D385">
        <v>38.876054889999999</v>
      </c>
      <c r="E385">
        <v>0.20271697999999999</v>
      </c>
      <c r="F385">
        <v>27.850035729999998</v>
      </c>
      <c r="G385">
        <v>28.91008824</v>
      </c>
      <c r="H385">
        <v>30.690185870000001</v>
      </c>
      <c r="I385">
        <v>34.140957589999999</v>
      </c>
      <c r="J385">
        <v>38.876054889999999</v>
      </c>
      <c r="K385">
        <v>44.925951660000003</v>
      </c>
      <c r="L385">
        <v>51.98271665</v>
      </c>
      <c r="M385">
        <v>57.222570509999997</v>
      </c>
      <c r="N385">
        <v>61.156310779999998</v>
      </c>
      <c r="O385"/>
    </row>
    <row r="386" spans="1:15" x14ac:dyDescent="0.25">
      <c r="A386">
        <v>2</v>
      </c>
      <c r="B386" s="13">
        <v>11.458333333333334</v>
      </c>
      <c r="C386">
        <v>-0.78553970299999998</v>
      </c>
      <c r="D386">
        <v>39.247747070000003</v>
      </c>
      <c r="E386">
        <v>0.20280253500000001</v>
      </c>
      <c r="F386">
        <v>28.113948090000001</v>
      </c>
      <c r="G386">
        <v>29.18416775</v>
      </c>
      <c r="H386">
        <v>30.981428090000001</v>
      </c>
      <c r="I386">
        <v>34.465801110000001</v>
      </c>
      <c r="J386">
        <v>39.247747070000003</v>
      </c>
      <c r="K386">
        <v>45.358803790000003</v>
      </c>
      <c r="L386">
        <v>52.488819919999997</v>
      </c>
      <c r="M386">
        <v>57.784428509999998</v>
      </c>
      <c r="N386">
        <v>61.760799919999997</v>
      </c>
      <c r="O386"/>
    </row>
    <row r="387" spans="1:15" x14ac:dyDescent="0.25">
      <c r="A387">
        <v>2</v>
      </c>
      <c r="B387" s="13">
        <v>11.541666666666666</v>
      </c>
      <c r="C387">
        <v>-0.78690410200000005</v>
      </c>
      <c r="D387">
        <v>39.619140760000001</v>
      </c>
      <c r="E387">
        <v>0.202848049</v>
      </c>
      <c r="F387">
        <v>28.380094270000001</v>
      </c>
      <c r="G387">
        <v>29.460219309999999</v>
      </c>
      <c r="H387">
        <v>31.274207390000001</v>
      </c>
      <c r="I387">
        <v>34.791367270000002</v>
      </c>
      <c r="J387">
        <v>39.619140760000001</v>
      </c>
      <c r="K387">
        <v>45.790280170000003</v>
      </c>
      <c r="L387">
        <v>52.992699139999999</v>
      </c>
      <c r="M387">
        <v>58.343762849999997</v>
      </c>
      <c r="N387">
        <v>62.362743090000002</v>
      </c>
      <c r="O387"/>
    </row>
    <row r="388" spans="1:15" x14ac:dyDescent="0.25">
      <c r="A388">
        <v>2</v>
      </c>
      <c r="B388" s="13">
        <v>11.625</v>
      </c>
      <c r="C388">
        <v>-0.78885820799999995</v>
      </c>
      <c r="D388">
        <v>39.989999939999997</v>
      </c>
      <c r="E388">
        <v>0.202853758</v>
      </c>
      <c r="F388">
        <v>28.64837137</v>
      </c>
      <c r="G388">
        <v>29.73812611</v>
      </c>
      <c r="H388">
        <v>31.56838398</v>
      </c>
      <c r="I388">
        <v>35.117473519999997</v>
      </c>
      <c r="J388">
        <v>39.989999939999997</v>
      </c>
      <c r="K388">
        <v>46.220087960000001</v>
      </c>
      <c r="L388">
        <v>53.494015689999998</v>
      </c>
      <c r="M388">
        <v>58.900218019999997</v>
      </c>
      <c r="N388">
        <v>62.961782880000001</v>
      </c>
      <c r="O388"/>
    </row>
    <row r="389" spans="1:15" x14ac:dyDescent="0.25">
      <c r="A389">
        <v>2</v>
      </c>
      <c r="B389" s="13">
        <v>11.708333333333334</v>
      </c>
      <c r="C389">
        <v>-0.79140305099999997</v>
      </c>
      <c r="D389">
        <v>40.360092440000003</v>
      </c>
      <c r="E389">
        <v>0.202820053</v>
      </c>
      <c r="F389">
        <v>28.918663890000001</v>
      </c>
      <c r="G389">
        <v>30.01776074</v>
      </c>
      <c r="H389">
        <v>31.863810699999998</v>
      </c>
      <c r="I389">
        <v>35.443935490000001</v>
      </c>
      <c r="J389">
        <v>40.360092440000003</v>
      </c>
      <c r="K389">
        <v>46.647941719999999</v>
      </c>
      <c r="L389">
        <v>53.992436849999997</v>
      </c>
      <c r="M389">
        <v>59.453439179999997</v>
      </c>
      <c r="N389">
        <v>63.557556460000001</v>
      </c>
      <c r="O389"/>
    </row>
    <row r="390" spans="1:15" x14ac:dyDescent="0.25">
      <c r="A390">
        <v>2</v>
      </c>
      <c r="B390" s="13">
        <v>11.791666666666666</v>
      </c>
      <c r="C390">
        <v>-0.79454635200000001</v>
      </c>
      <c r="D390">
        <v>40.729175439999999</v>
      </c>
      <c r="E390">
        <v>0.202747236</v>
      </c>
      <c r="F390">
        <v>29.1908599</v>
      </c>
      <c r="G390">
        <v>30.298997459999999</v>
      </c>
      <c r="H390">
        <v>32.160339049999997</v>
      </c>
      <c r="I390">
        <v>35.770562560000002</v>
      </c>
      <c r="J390">
        <v>40.729175439999999</v>
      </c>
      <c r="K390">
        <v>47.073544069999997</v>
      </c>
      <c r="L390">
        <v>54.48762378</v>
      </c>
      <c r="M390">
        <v>60.003075490000001</v>
      </c>
      <c r="N390">
        <v>64.149716080000005</v>
      </c>
      <c r="O390"/>
    </row>
    <row r="391" spans="1:15" x14ac:dyDescent="0.25">
      <c r="A391">
        <v>2</v>
      </c>
      <c r="B391" s="13">
        <v>11.875</v>
      </c>
      <c r="C391">
        <v>-0.79829101999999996</v>
      </c>
      <c r="D391">
        <v>41.097010990000001</v>
      </c>
      <c r="E391">
        <v>0.202635758</v>
      </c>
      <c r="F391">
        <v>29.464835109999999</v>
      </c>
      <c r="G391">
        <v>30.581700290000001</v>
      </c>
      <c r="H391">
        <v>32.457813659999999</v>
      </c>
      <c r="I391">
        <v>36.097163049999999</v>
      </c>
      <c r="J391">
        <v>41.097010990000001</v>
      </c>
      <c r="K391">
        <v>47.496606399999997</v>
      </c>
      <c r="L391">
        <v>54.97924502</v>
      </c>
      <c r="M391">
        <v>60.548778300000002</v>
      </c>
      <c r="N391">
        <v>64.737910119999995</v>
      </c>
      <c r="O391"/>
    </row>
    <row r="392" spans="1:15" x14ac:dyDescent="0.25">
      <c r="A392">
        <v>2</v>
      </c>
      <c r="B392" s="13">
        <v>11.958333333333334</v>
      </c>
      <c r="C392">
        <v>-0.80264089100000002</v>
      </c>
      <c r="D392">
        <v>41.463359070000003</v>
      </c>
      <c r="E392">
        <v>0.202486098</v>
      </c>
      <c r="F392">
        <v>29.740461079999999</v>
      </c>
      <c r="G392">
        <v>30.86572924</v>
      </c>
      <c r="H392">
        <v>32.75607548</v>
      </c>
      <c r="I392">
        <v>36.4235422</v>
      </c>
      <c r="J392">
        <v>41.463359070000003</v>
      </c>
      <c r="K392">
        <v>47.916839469999999</v>
      </c>
      <c r="L392">
        <v>55.466970799999999</v>
      </c>
      <c r="M392">
        <v>61.090203189999997</v>
      </c>
      <c r="N392">
        <v>65.321793690000007</v>
      </c>
      <c r="O392"/>
    </row>
    <row r="393" spans="1:15" x14ac:dyDescent="0.25">
      <c r="A393">
        <v>2</v>
      </c>
      <c r="B393" s="13">
        <v>12.041666666666666</v>
      </c>
      <c r="C393">
        <v>-0.80759957699999996</v>
      </c>
      <c r="D393">
        <v>41.827979630000002</v>
      </c>
      <c r="E393">
        <v>0.20229878300000001</v>
      </c>
      <c r="F393">
        <v>30.017603770000001</v>
      </c>
      <c r="G393">
        <v>31.150939350000002</v>
      </c>
      <c r="H393">
        <v>33.05496144</v>
      </c>
      <c r="I393">
        <v>36.749503099999998</v>
      </c>
      <c r="J393">
        <v>41.827979630000002</v>
      </c>
      <c r="K393">
        <v>48.33395608</v>
      </c>
      <c r="L393">
        <v>55.950475099999998</v>
      </c>
      <c r="M393">
        <v>61.62701045</v>
      </c>
      <c r="N393">
        <v>65.901027459999995</v>
      </c>
      <c r="O393"/>
    </row>
    <row r="394" spans="1:15" x14ac:dyDescent="0.25">
      <c r="A394">
        <v>2</v>
      </c>
      <c r="B394" s="13">
        <v>12.125</v>
      </c>
      <c r="C394">
        <v>-0.81317046100000001</v>
      </c>
      <c r="D394">
        <v>42.190633130000002</v>
      </c>
      <c r="E394">
        <v>0.202074385</v>
      </c>
      <c r="F394">
        <v>30.296123779999999</v>
      </c>
      <c r="G394">
        <v>31.437180909999999</v>
      </c>
      <c r="H394">
        <v>33.354304820000003</v>
      </c>
      <c r="I394">
        <v>37.074847030000001</v>
      </c>
      <c r="J394">
        <v>42.190633130000002</v>
      </c>
      <c r="K394">
        <v>48.747671769999997</v>
      </c>
      <c r="L394">
        <v>56.429436350000003</v>
      </c>
      <c r="M394">
        <v>62.158865839999997</v>
      </c>
      <c r="N394">
        <v>66.475278369999998</v>
      </c>
      <c r="O394"/>
    </row>
    <row r="395" spans="1:15" x14ac:dyDescent="0.25">
      <c r="A395">
        <v>2</v>
      </c>
      <c r="B395" s="13">
        <v>12.208333333333334</v>
      </c>
      <c r="C395">
        <v>-0.81935669200000005</v>
      </c>
      <c r="D395">
        <v>42.551081070000002</v>
      </c>
      <c r="E395">
        <v>0.201813521</v>
      </c>
      <c r="F395">
        <v>30.575876539999999</v>
      </c>
      <c r="G395">
        <v>31.724299729999998</v>
      </c>
      <c r="H395">
        <v>33.653935500000003</v>
      </c>
      <c r="I395">
        <v>37.399373990000001</v>
      </c>
      <c r="J395">
        <v>42.551081070000002</v>
      </c>
      <c r="K395">
        <v>49.157705409999998</v>
      </c>
      <c r="L395">
        <v>56.90353811</v>
      </c>
      <c r="M395">
        <v>62.685441330000003</v>
      </c>
      <c r="N395">
        <v>67.044220460000005</v>
      </c>
      <c r="O395"/>
    </row>
    <row r="396" spans="1:15" x14ac:dyDescent="0.25">
      <c r="A396">
        <v>2</v>
      </c>
      <c r="B396" s="13">
        <v>12.291666666666666</v>
      </c>
      <c r="C396">
        <v>-0.82616117600000005</v>
      </c>
      <c r="D396">
        <v>42.909086530000003</v>
      </c>
      <c r="E396">
        <v>0.201516851</v>
      </c>
      <c r="F396">
        <v>30.856712550000001</v>
      </c>
      <c r="G396">
        <v>32.012137420000002</v>
      </c>
      <c r="H396">
        <v>33.95368036</v>
      </c>
      <c r="I396">
        <v>37.722883019999998</v>
      </c>
      <c r="J396">
        <v>42.909086530000003</v>
      </c>
      <c r="K396">
        <v>49.563779879999998</v>
      </c>
      <c r="L396">
        <v>57.372469840000001</v>
      </c>
      <c r="M396">
        <v>63.206415829999997</v>
      </c>
      <c r="N396">
        <v>67.607535540000001</v>
      </c>
      <c r="O396"/>
    </row>
    <row r="397" spans="1:15" x14ac:dyDescent="0.25">
      <c r="A397">
        <v>2</v>
      </c>
      <c r="B397" s="13">
        <v>12.375</v>
      </c>
      <c r="C397">
        <v>-0.83358603799999997</v>
      </c>
      <c r="D397">
        <v>43.264415499999998</v>
      </c>
      <c r="E397">
        <v>0.20118508199999999</v>
      </c>
      <c r="F397">
        <v>31.138476950000001</v>
      </c>
      <c r="G397">
        <v>32.300531159999998</v>
      </c>
      <c r="H397">
        <v>34.253363329999999</v>
      </c>
      <c r="I397">
        <v>38.045172979999997</v>
      </c>
      <c r="J397">
        <v>43.264415499999998</v>
      </c>
      <c r="K397">
        <v>49.965623649999998</v>
      </c>
      <c r="L397">
        <v>57.835928070000001</v>
      </c>
      <c r="M397">
        <v>63.721475560000002</v>
      </c>
      <c r="N397">
        <v>68.164912729999998</v>
      </c>
      <c r="O397"/>
    </row>
    <row r="398" spans="1:15" x14ac:dyDescent="0.25">
      <c r="A398">
        <v>2</v>
      </c>
      <c r="B398" s="13">
        <v>12.458333333333334</v>
      </c>
      <c r="C398">
        <v>-0.84163494900000002</v>
      </c>
      <c r="D398">
        <v>43.616834019999999</v>
      </c>
      <c r="E398">
        <v>0.20081892800000001</v>
      </c>
      <c r="F398">
        <v>31.42101289</v>
      </c>
      <c r="G398">
        <v>32.589316250000003</v>
      </c>
      <c r="H398">
        <v>34.552806760000003</v>
      </c>
      <c r="I398">
        <v>38.366041729999999</v>
      </c>
      <c r="J398">
        <v>43.616834019999999</v>
      </c>
      <c r="K398">
        <v>50.362967210000001</v>
      </c>
      <c r="L398">
        <v>58.29361488</v>
      </c>
      <c r="M398">
        <v>64.230316299999998</v>
      </c>
      <c r="N398">
        <v>68.716054799999995</v>
      </c>
      <c r="O398"/>
    </row>
    <row r="399" spans="1:15" x14ac:dyDescent="0.25">
      <c r="A399">
        <v>2</v>
      </c>
      <c r="B399" s="13">
        <v>12.541666666666666</v>
      </c>
      <c r="C399">
        <v>-0.850307441</v>
      </c>
      <c r="D399">
        <v>43.966116900000003</v>
      </c>
      <c r="E399">
        <v>0.20041920799999999</v>
      </c>
      <c r="F399">
        <v>31.70415418</v>
      </c>
      <c r="G399">
        <v>32.878320860000002</v>
      </c>
      <c r="H399">
        <v>34.851829340000002</v>
      </c>
      <c r="I399">
        <v>38.685289519999998</v>
      </c>
      <c r="J399">
        <v>43.966116900000003</v>
      </c>
      <c r="K399">
        <v>50.755554029999999</v>
      </c>
      <c r="L399">
        <v>58.745244309999997</v>
      </c>
      <c r="M399">
        <v>64.732640889999999</v>
      </c>
      <c r="N399">
        <v>69.260665739999993</v>
      </c>
      <c r="O399"/>
    </row>
    <row r="400" spans="1:15" x14ac:dyDescent="0.25">
      <c r="A400">
        <v>2</v>
      </c>
      <c r="B400" s="13">
        <v>12.625</v>
      </c>
      <c r="C400">
        <v>-0.85960752500000004</v>
      </c>
      <c r="D400">
        <v>44.312035790000003</v>
      </c>
      <c r="E400">
        <v>0.199986681</v>
      </c>
      <c r="F400">
        <v>31.98773757</v>
      </c>
      <c r="G400">
        <v>33.167375180000001</v>
      </c>
      <c r="H400">
        <v>35.150250409999998</v>
      </c>
      <c r="I400">
        <v>39.002715100000003</v>
      </c>
      <c r="J400">
        <v>44.312035790000003</v>
      </c>
      <c r="K400">
        <v>51.143125089999998</v>
      </c>
      <c r="L400">
        <v>59.190533440000003</v>
      </c>
      <c r="M400">
        <v>65.228163469999998</v>
      </c>
      <c r="N400">
        <v>69.798469900000001</v>
      </c>
      <c r="O400"/>
    </row>
    <row r="401" spans="1:15" x14ac:dyDescent="0.25">
      <c r="A401">
        <v>2</v>
      </c>
      <c r="B401" s="13">
        <v>12.708333333333334</v>
      </c>
      <c r="C401">
        <v>-0.86953433899999999</v>
      </c>
      <c r="D401">
        <v>44.654373190000001</v>
      </c>
      <c r="E401">
        <v>0.19952223299999999</v>
      </c>
      <c r="F401">
        <v>32.271589720000001</v>
      </c>
      <c r="G401">
        <v>33.456301840000002</v>
      </c>
      <c r="H401">
        <v>35.447885769999999</v>
      </c>
      <c r="I401">
        <v>39.318120659999998</v>
      </c>
      <c r="J401">
        <v>44.654373190000001</v>
      </c>
      <c r="K401">
        <v>51.525437289999999</v>
      </c>
      <c r="L401">
        <v>59.629214419999997</v>
      </c>
      <c r="M401">
        <v>65.716607800000006</v>
      </c>
      <c r="N401">
        <v>70.329194549999997</v>
      </c>
      <c r="O401"/>
    </row>
    <row r="402" spans="1:15" x14ac:dyDescent="0.25">
      <c r="A402">
        <v>2</v>
      </c>
      <c r="B402" s="13">
        <v>12.791666666666666</v>
      </c>
      <c r="C402">
        <v>-0.880088651</v>
      </c>
      <c r="D402">
        <v>44.992913559999998</v>
      </c>
      <c r="E402">
        <v>0.19902673600000001</v>
      </c>
      <c r="F402">
        <v>32.55553716</v>
      </c>
      <c r="G402">
        <v>33.744923479999997</v>
      </c>
      <c r="H402">
        <v>35.744551489999999</v>
      </c>
      <c r="I402">
        <v>39.631309270000003</v>
      </c>
      <c r="J402">
        <v>44.992913559999998</v>
      </c>
      <c r="K402">
        <v>51.902251390000004</v>
      </c>
      <c r="L402">
        <v>60.061026560000002</v>
      </c>
      <c r="M402">
        <v>66.197708610000007</v>
      </c>
      <c r="N402">
        <v>70.852581970000003</v>
      </c>
      <c r="O402"/>
    </row>
    <row r="403" spans="1:15" x14ac:dyDescent="0.25">
      <c r="A403">
        <v>2</v>
      </c>
      <c r="B403" s="13">
        <v>12.875</v>
      </c>
      <c r="C403">
        <v>-0.891270585</v>
      </c>
      <c r="D403">
        <v>45.327447040000003</v>
      </c>
      <c r="E403">
        <v>0.19850109599999999</v>
      </c>
      <c r="F403">
        <v>32.839403140000002</v>
      </c>
      <c r="G403">
        <v>34.033060409999997</v>
      </c>
      <c r="H403">
        <v>36.04006296</v>
      </c>
      <c r="I403">
        <v>39.942086240000002</v>
      </c>
      <c r="J403">
        <v>45.327447040000003</v>
      </c>
      <c r="K403">
        <v>52.273336999999998</v>
      </c>
      <c r="L403">
        <v>60.48572025</v>
      </c>
      <c r="M403">
        <v>66.671212589999996</v>
      </c>
      <c r="N403">
        <v>71.368386959999995</v>
      </c>
      <c r="O403"/>
    </row>
    <row r="404" spans="1:15" x14ac:dyDescent="0.25">
      <c r="A404">
        <v>2</v>
      </c>
      <c r="B404" s="13">
        <v>12.958333333333334</v>
      </c>
      <c r="C404">
        <v>-0.903079458</v>
      </c>
      <c r="D404">
        <v>45.657770130000003</v>
      </c>
      <c r="E404">
        <v>0.19794625499999999</v>
      </c>
      <c r="F404">
        <v>33.123007970000003</v>
      </c>
      <c r="G404">
        <v>34.320531099999997</v>
      </c>
      <c r="H404">
        <v>36.334235380000003</v>
      </c>
      <c r="I404">
        <v>40.250259739999997</v>
      </c>
      <c r="J404">
        <v>45.657770130000003</v>
      </c>
      <c r="K404">
        <v>52.638473390000001</v>
      </c>
      <c r="L404">
        <v>60.903057410000002</v>
      </c>
      <c r="M404">
        <v>67.136878350000003</v>
      </c>
      <c r="N404">
        <v>71.876376339999993</v>
      </c>
      <c r="O404"/>
    </row>
    <row r="405" spans="1:15" x14ac:dyDescent="0.25">
      <c r="A405">
        <v>2</v>
      </c>
      <c r="B405" s="13">
        <v>13.041666666666666</v>
      </c>
      <c r="C405">
        <v>-0.91551354200000001</v>
      </c>
      <c r="D405">
        <v>45.983686560000002</v>
      </c>
      <c r="E405">
        <v>0.19736319099999999</v>
      </c>
      <c r="F405">
        <v>33.406169089999999</v>
      </c>
      <c r="G405">
        <v>34.607152239999998</v>
      </c>
      <c r="H405">
        <v>36.626884029999999</v>
      </c>
      <c r="I405">
        <v>40.555641340000001</v>
      </c>
      <c r="J405">
        <v>45.983686560000002</v>
      </c>
      <c r="K405">
        <v>52.997450450000002</v>
      </c>
      <c r="L405">
        <v>61.312812469999997</v>
      </c>
      <c r="M405">
        <v>67.594477190000006</v>
      </c>
      <c r="N405">
        <v>72.37632936</v>
      </c>
      <c r="O405"/>
    </row>
    <row r="406" spans="1:15" x14ac:dyDescent="0.25">
      <c r="A406">
        <v>2</v>
      </c>
      <c r="B406" s="13">
        <v>13.125</v>
      </c>
      <c r="C406">
        <v>-0.92856945400000002</v>
      </c>
      <c r="D406">
        <v>46.305008579999999</v>
      </c>
      <c r="E406">
        <v>0.19675293099999999</v>
      </c>
      <c r="F406">
        <v>33.68870064</v>
      </c>
      <c r="G406">
        <v>34.892738569999999</v>
      </c>
      <c r="H406">
        <v>36.917824420000002</v>
      </c>
      <c r="I406">
        <v>40.858046690000002</v>
      </c>
      <c r="J406">
        <v>46.305008579999999</v>
      </c>
      <c r="K406">
        <v>53.350070369999997</v>
      </c>
      <c r="L406">
        <v>61.714773649999998</v>
      </c>
      <c r="M406">
        <v>68.043793449999995</v>
      </c>
      <c r="N406">
        <v>72.868036930000002</v>
      </c>
      <c r="O406"/>
    </row>
    <row r="407" spans="1:15" x14ac:dyDescent="0.25">
      <c r="A407">
        <v>2</v>
      </c>
      <c r="B407" s="13">
        <v>13.208333333333334</v>
      </c>
      <c r="C407">
        <v>-0.94224586399999999</v>
      </c>
      <c r="D407">
        <v>46.621551830000001</v>
      </c>
      <c r="E407">
        <v>0.19611647199999999</v>
      </c>
      <c r="F407">
        <v>33.970419149999998</v>
      </c>
      <c r="G407">
        <v>35.17710718</v>
      </c>
      <c r="H407">
        <v>37.206874429999999</v>
      </c>
      <c r="I407">
        <v>41.157294059999998</v>
      </c>
      <c r="J407">
        <v>46.621551830000001</v>
      </c>
      <c r="K407">
        <v>53.696140730000003</v>
      </c>
      <c r="L407">
        <v>62.108738770000002</v>
      </c>
      <c r="M407">
        <v>68.4846261</v>
      </c>
      <c r="N407">
        <v>73.351310060000003</v>
      </c>
      <c r="O407"/>
    </row>
    <row r="408" spans="1:15" x14ac:dyDescent="0.25">
      <c r="A408">
        <v>2</v>
      </c>
      <c r="B408" s="13">
        <v>13.291666666666666</v>
      </c>
      <c r="C408">
        <v>-0.95653792299999996</v>
      </c>
      <c r="D408">
        <v>46.933144040000002</v>
      </c>
      <c r="E408">
        <v>0.19545488999999999</v>
      </c>
      <c r="F408">
        <v>34.251136180000003</v>
      </c>
      <c r="G408">
        <v>35.460072230000002</v>
      </c>
      <c r="H408">
        <v>37.493852169999997</v>
      </c>
      <c r="I408">
        <v>41.453207589999998</v>
      </c>
      <c r="J408">
        <v>46.933144040000002</v>
      </c>
      <c r="K408">
        <v>54.035485960000003</v>
      </c>
      <c r="L408">
        <v>62.494522760000002</v>
      </c>
      <c r="M408">
        <v>68.916787630000002</v>
      </c>
      <c r="N408">
        <v>73.825968549999999</v>
      </c>
      <c r="O408"/>
    </row>
    <row r="409" spans="1:15" x14ac:dyDescent="0.25">
      <c r="A409">
        <v>2</v>
      </c>
      <c r="B409" s="13">
        <v>13.375</v>
      </c>
      <c r="C409">
        <v>-0.97144049200000004</v>
      </c>
      <c r="D409">
        <v>47.23962058</v>
      </c>
      <c r="E409">
        <v>0.19476927899999999</v>
      </c>
      <c r="F409">
        <v>34.530663400000002</v>
      </c>
      <c r="G409">
        <v>35.74144871</v>
      </c>
      <c r="H409">
        <v>37.778577929999997</v>
      </c>
      <c r="I409">
        <v>41.745616030000001</v>
      </c>
      <c r="J409">
        <v>47.23962058</v>
      </c>
      <c r="K409">
        <v>54.367941289999997</v>
      </c>
      <c r="L409">
        <v>62.871954049999999</v>
      </c>
      <c r="M409">
        <v>69.340105510000001</v>
      </c>
      <c r="N409">
        <v>74.291848400000006</v>
      </c>
      <c r="O409"/>
    </row>
    <row r="410" spans="1:15" x14ac:dyDescent="0.25">
      <c r="A410">
        <v>2</v>
      </c>
      <c r="B410" s="13">
        <v>13.458333333333334</v>
      </c>
      <c r="C410">
        <v>-0.98694730799999997</v>
      </c>
      <c r="D410">
        <v>47.540826039999999</v>
      </c>
      <c r="E410">
        <v>0.194060758</v>
      </c>
      <c r="F410">
        <v>34.808811859999999</v>
      </c>
      <c r="G410">
        <v>36.021052099999999</v>
      </c>
      <c r="H410">
        <v>38.060874230000003</v>
      </c>
      <c r="I410">
        <v>42.034353529999997</v>
      </c>
      <c r="J410">
        <v>47.540826039999999</v>
      </c>
      <c r="K410">
        <v>54.693354790000001</v>
      </c>
      <c r="L410">
        <v>63.240875989999999</v>
      </c>
      <c r="M410">
        <v>69.754422349999999</v>
      </c>
      <c r="N410">
        <v>74.748800459999998</v>
      </c>
      <c r="O410"/>
    </row>
    <row r="411" spans="1:15" x14ac:dyDescent="0.25">
      <c r="A411">
        <v>2</v>
      </c>
      <c r="B411" s="13">
        <v>13.541666666666666</v>
      </c>
      <c r="C411">
        <v>-1.0030508869999999</v>
      </c>
      <c r="D411">
        <v>47.836614660000002</v>
      </c>
      <c r="E411">
        <v>0.193330477</v>
      </c>
      <c r="F411">
        <v>35.08539244</v>
      </c>
      <c r="G411">
        <v>36.298698770000001</v>
      </c>
      <c r="H411">
        <v>38.340566209999999</v>
      </c>
      <c r="I411">
        <v>42.31926009</v>
      </c>
      <c r="J411">
        <v>47.836614660000002</v>
      </c>
      <c r="K411">
        <v>55.01158787</v>
      </c>
      <c r="L411">
        <v>63.601147429999997</v>
      </c>
      <c r="M411">
        <v>70.159596359999995</v>
      </c>
      <c r="N411">
        <v>75.196690660000002</v>
      </c>
      <c r="O411"/>
    </row>
    <row r="412" spans="1:15" x14ac:dyDescent="0.25">
      <c r="A412">
        <v>2</v>
      </c>
      <c r="B412" s="13">
        <v>13.625</v>
      </c>
      <c r="C412">
        <v>-1.019742425</v>
      </c>
      <c r="D412">
        <v>48.126850820000001</v>
      </c>
      <c r="E412">
        <v>0.19257961400000001</v>
      </c>
      <c r="F412">
        <v>35.36021624</v>
      </c>
      <c r="G412">
        <v>36.574206359999998</v>
      </c>
      <c r="H412">
        <v>38.617482039999999</v>
      </c>
      <c r="I412">
        <v>42.600181910000003</v>
      </c>
      <c r="J412">
        <v>48.126850820000001</v>
      </c>
      <c r="K412">
        <v>55.322515770000003</v>
      </c>
      <c r="L412">
        <v>63.952643139999999</v>
      </c>
      <c r="M412">
        <v>70.555501680000006</v>
      </c>
      <c r="N412">
        <v>75.635400250000004</v>
      </c>
      <c r="O412"/>
    </row>
    <row r="413" spans="1:15" x14ac:dyDescent="0.25">
      <c r="A413">
        <v>2</v>
      </c>
      <c r="B413" s="13">
        <v>13.708333333333334</v>
      </c>
      <c r="C413">
        <v>-1.0370116979999999</v>
      </c>
      <c r="D413">
        <v>48.411409380000002</v>
      </c>
      <c r="E413">
        <v>0.191809374</v>
      </c>
      <c r="F413">
        <v>35.633094970000002</v>
      </c>
      <c r="G413">
        <v>36.847394190000003</v>
      </c>
      <c r="H413">
        <v>38.891453310000003</v>
      </c>
      <c r="I413">
        <v>42.876971830000002</v>
      </c>
      <c r="J413">
        <v>48.411409380000002</v>
      </c>
      <c r="K413">
        <v>55.626028009999999</v>
      </c>
      <c r="L413">
        <v>64.295254330000006</v>
      </c>
      <c r="M413">
        <v>70.942028719999996</v>
      </c>
      <c r="N413">
        <v>76.064825900000002</v>
      </c>
      <c r="O413"/>
    </row>
    <row r="414" spans="1:15" x14ac:dyDescent="0.25">
      <c r="A414">
        <v>2</v>
      </c>
      <c r="B414" s="13">
        <v>13.791666666666666</v>
      </c>
      <c r="C414">
        <v>-1.0548469570000001</v>
      </c>
      <c r="D414">
        <v>48.690176129999998</v>
      </c>
      <c r="E414">
        <v>0.191020995</v>
      </c>
      <c r="F414">
        <v>35.903841389999997</v>
      </c>
      <c r="G414">
        <v>37.118083669999997</v>
      </c>
      <c r="H414">
        <v>39.162315419999999</v>
      </c>
      <c r="I414">
        <v>43.149489690000003</v>
      </c>
      <c r="J414">
        <v>48.690176129999998</v>
      </c>
      <c r="K414">
        <v>55.9220288</v>
      </c>
      <c r="L414">
        <v>64.628889009999995</v>
      </c>
      <c r="M414">
        <v>71.319084480000001</v>
      </c>
      <c r="N414">
        <v>76.48487978</v>
      </c>
      <c r="O414"/>
    </row>
    <row r="415" spans="1:15" x14ac:dyDescent="0.25">
      <c r="A415">
        <v>2</v>
      </c>
      <c r="B415" s="13">
        <v>13.875</v>
      </c>
      <c r="C415">
        <v>-1.0732348249999999</v>
      </c>
      <c r="D415">
        <v>48.963048100000002</v>
      </c>
      <c r="E415">
        <v>0.19021573899999999</v>
      </c>
      <c r="F415">
        <v>36.172269749999998</v>
      </c>
      <c r="G415">
        <v>37.386098740000001</v>
      </c>
      <c r="H415">
        <v>39.429907989999997</v>
      </c>
      <c r="I415">
        <v>43.417602700000003</v>
      </c>
      <c r="J415">
        <v>48.963048100000002</v>
      </c>
      <c r="K415">
        <v>56.210437480000003</v>
      </c>
      <c r="L415">
        <v>64.953472439999999</v>
      </c>
      <c r="M415">
        <v>71.686592820000001</v>
      </c>
      <c r="N415">
        <v>76.895489699999999</v>
      </c>
      <c r="O415"/>
    </row>
    <row r="416" spans="1:15" x14ac:dyDescent="0.25">
      <c r="A416">
        <v>2</v>
      </c>
      <c r="B416" s="13">
        <v>13.958333333333334</v>
      </c>
      <c r="C416">
        <v>-1.0921601949999999</v>
      </c>
      <c r="D416">
        <v>49.22993391</v>
      </c>
      <c r="E416">
        <v>0.189394901</v>
      </c>
      <c r="F416">
        <v>36.438196179999998</v>
      </c>
      <c r="G416">
        <v>37.651266219999997</v>
      </c>
      <c r="H416">
        <v>39.694075210000001</v>
      </c>
      <c r="I416">
        <v>43.68118578</v>
      </c>
      <c r="J416">
        <v>49.22993391</v>
      </c>
      <c r="K416">
        <v>56.491188809999997</v>
      </c>
      <c r="L416">
        <v>65.268947460000007</v>
      </c>
      <c r="M416">
        <v>72.044494689999993</v>
      </c>
      <c r="N416">
        <v>77.296599020000002</v>
      </c>
      <c r="O416"/>
    </row>
    <row r="417" spans="1:15" x14ac:dyDescent="0.25">
      <c r="A417">
        <v>2</v>
      </c>
      <c r="B417" s="13">
        <v>14.041666666666666</v>
      </c>
      <c r="C417">
        <v>-1.111606122</v>
      </c>
      <c r="D417">
        <v>49.490754090000003</v>
      </c>
      <c r="E417">
        <v>0.188559804</v>
      </c>
      <c r="F417">
        <v>36.701439149999999</v>
      </c>
      <c r="G417">
        <v>37.91341628</v>
      </c>
      <c r="H417">
        <v>39.954666260000003</v>
      </c>
      <c r="I417">
        <v>43.940121859999998</v>
      </c>
      <c r="J417">
        <v>49.490754090000003</v>
      </c>
      <c r="K417">
        <v>56.764233369999999</v>
      </c>
      <c r="L417">
        <v>65.575274840000006</v>
      </c>
      <c r="M417">
        <v>72.392748319999995</v>
      </c>
      <c r="N417">
        <v>77.688166679999995</v>
      </c>
      <c r="O417"/>
    </row>
    <row r="418" spans="1:15" x14ac:dyDescent="0.25">
      <c r="A418">
        <v>2</v>
      </c>
      <c r="B418" s="13">
        <v>14.125</v>
      </c>
      <c r="C418">
        <v>-1.1315537229999999</v>
      </c>
      <c r="D418">
        <v>49.745441319999998</v>
      </c>
      <c r="E418">
        <v>0.18771179800000001</v>
      </c>
      <c r="F418">
        <v>36.961819939999998</v>
      </c>
      <c r="G418">
        <v>38.172382829999997</v>
      </c>
      <c r="H418">
        <v>40.211535650000002</v>
      </c>
      <c r="I418">
        <v>44.19430225</v>
      </c>
      <c r="J418">
        <v>49.745441319999998</v>
      </c>
      <c r="K418">
        <v>57.029537759999997</v>
      </c>
      <c r="L418">
        <v>65.872433529999995</v>
      </c>
      <c r="M418">
        <v>72.731329419999994</v>
      </c>
      <c r="N418">
        <v>78.070167100000006</v>
      </c>
      <c r="O418"/>
    </row>
    <row r="419" spans="1:15" x14ac:dyDescent="0.25">
      <c r="A419">
        <v>2</v>
      </c>
      <c r="B419" s="13">
        <v>14.208333333333334</v>
      </c>
      <c r="C419">
        <v>-1.1519820789999999</v>
      </c>
      <c r="D419">
        <v>49.993940680000001</v>
      </c>
      <c r="E419">
        <v>0.18685226599999999</v>
      </c>
      <c r="F419">
        <v>37.219163049999999</v>
      </c>
      <c r="G419">
        <v>38.428003959999998</v>
      </c>
      <c r="H419">
        <v>40.464543599999999</v>
      </c>
      <c r="I419">
        <v>44.443626899999998</v>
      </c>
      <c r="J419">
        <v>49.993940680000001</v>
      </c>
      <c r="K419">
        <v>57.287084900000004</v>
      </c>
      <c r="L419">
        <v>66.160420950000002</v>
      </c>
      <c r="M419">
        <v>73.060231270000003</v>
      </c>
      <c r="N419">
        <v>78.442590010000004</v>
      </c>
      <c r="O419"/>
    </row>
    <row r="420" spans="1:15" x14ac:dyDescent="0.25">
      <c r="A420">
        <v>2</v>
      </c>
      <c r="B420" s="13">
        <v>14.291666666666666</v>
      </c>
      <c r="C420">
        <v>-1.1728681409999999</v>
      </c>
      <c r="D420">
        <v>50.236209850000002</v>
      </c>
      <c r="E420">
        <v>0.18598261699999999</v>
      </c>
      <c r="F420">
        <v>37.473296650000002</v>
      </c>
      <c r="G420">
        <v>38.680122330000003</v>
      </c>
      <c r="H420">
        <v>40.713556420000003</v>
      </c>
      <c r="I420">
        <v>44.688004659999997</v>
      </c>
      <c r="J420">
        <v>50.236209850000002</v>
      </c>
      <c r="K420">
        <v>57.536874179999998</v>
      </c>
      <c r="L420">
        <v>66.439253179999994</v>
      </c>
      <c r="M420">
        <v>73.379464819999995</v>
      </c>
      <c r="N420">
        <v>78.805440369999999</v>
      </c>
      <c r="O420"/>
    </row>
    <row r="421" spans="1:15" x14ac:dyDescent="0.25">
      <c r="A421">
        <v>2</v>
      </c>
      <c r="B421" s="13">
        <v>14.375</v>
      </c>
      <c r="C421">
        <v>-1.1941846199999999</v>
      </c>
      <c r="D421">
        <v>50.472222129999999</v>
      </c>
      <c r="E421">
        <v>0.18510433100000001</v>
      </c>
      <c r="F421">
        <v>37.724050249999998</v>
      </c>
      <c r="G421">
        <v>38.928583449999998</v>
      </c>
      <c r="H421">
        <v>40.958445769999997</v>
      </c>
      <c r="I421">
        <v>44.92735442</v>
      </c>
      <c r="J421">
        <v>50.472222129999999</v>
      </c>
      <c r="K421">
        <v>57.77892568</v>
      </c>
      <c r="L421">
        <v>66.708967970000003</v>
      </c>
      <c r="M421">
        <v>73.689058419999995</v>
      </c>
      <c r="N421">
        <v>79.158733639999994</v>
      </c>
      <c r="O421"/>
    </row>
    <row r="422" spans="1:15" x14ac:dyDescent="0.25">
      <c r="A422">
        <v>2</v>
      </c>
      <c r="B422" s="13">
        <v>14.458333333333334</v>
      </c>
      <c r="C422">
        <v>-1.2159074919999999</v>
      </c>
      <c r="D422">
        <v>50.701955810000001</v>
      </c>
      <c r="E422">
        <v>0.18421880299999999</v>
      </c>
      <c r="F422">
        <v>37.97126574</v>
      </c>
      <c r="G422">
        <v>39.17324412</v>
      </c>
      <c r="H422">
        <v>41.199092970000002</v>
      </c>
      <c r="I422">
        <v>45.161602039999998</v>
      </c>
      <c r="J422">
        <v>50.701955810000001</v>
      </c>
      <c r="K422">
        <v>58.013265029999999</v>
      </c>
      <c r="L422">
        <v>66.969614120000003</v>
      </c>
      <c r="M422">
        <v>73.989059150000003</v>
      </c>
      <c r="N422">
        <v>79.502512199999998</v>
      </c>
      <c r="O422"/>
    </row>
    <row r="423" spans="1:15" x14ac:dyDescent="0.25">
      <c r="A423">
        <v>2</v>
      </c>
      <c r="B423" s="13">
        <v>14.541666666666666</v>
      </c>
      <c r="C423">
        <v>-1.238005268</v>
      </c>
      <c r="D423">
        <v>50.925409420000001</v>
      </c>
      <c r="E423">
        <v>0.183327556</v>
      </c>
      <c r="F423">
        <v>38.214782900000003</v>
      </c>
      <c r="G423">
        <v>39.41396159</v>
      </c>
      <c r="H423">
        <v>41.435383799999997</v>
      </c>
      <c r="I423">
        <v>45.390685210000001</v>
      </c>
      <c r="J423">
        <v>50.925409420000001</v>
      </c>
      <c r="K423">
        <v>58.239944860000001</v>
      </c>
      <c r="L423">
        <v>67.221266610000001</v>
      </c>
      <c r="M423">
        <v>74.27953085</v>
      </c>
      <c r="N423">
        <v>79.83682168</v>
      </c>
      <c r="O423"/>
    </row>
    <row r="424" spans="1:15" x14ac:dyDescent="0.25">
      <c r="A424">
        <v>2</v>
      </c>
      <c r="B424" s="13">
        <v>14.625</v>
      </c>
      <c r="C424">
        <v>-1.2604455910000001</v>
      </c>
      <c r="D424">
        <v>51.142592290000003</v>
      </c>
      <c r="E424">
        <v>0.18243211300000001</v>
      </c>
      <c r="F424">
        <v>38.454449230000002</v>
      </c>
      <c r="G424">
        <v>39.650600939999997</v>
      </c>
      <c r="H424">
        <v>41.667212259999999</v>
      </c>
      <c r="I424">
        <v>45.614550719999997</v>
      </c>
      <c r="J424">
        <v>51.142592290000003</v>
      </c>
      <c r="K424">
        <v>58.459031430000003</v>
      </c>
      <c r="L424">
        <v>67.464017220000002</v>
      </c>
      <c r="M424">
        <v>74.560555300000004</v>
      </c>
      <c r="N424">
        <v>80.161725219999994</v>
      </c>
      <c r="O424"/>
    </row>
    <row r="425" spans="1:15" x14ac:dyDescent="0.25">
      <c r="A425">
        <v>2</v>
      </c>
      <c r="B425" s="13">
        <v>14.708333333333334</v>
      </c>
      <c r="C425">
        <v>-1.2831936260000001</v>
      </c>
      <c r="D425">
        <v>51.353526799999997</v>
      </c>
      <c r="E425">
        <v>0.18153401799999999</v>
      </c>
      <c r="F425">
        <v>38.69011819</v>
      </c>
      <c r="G425">
        <v>39.883033900000001</v>
      </c>
      <c r="H425">
        <v>41.894480080000001</v>
      </c>
      <c r="I425">
        <v>45.83315528</v>
      </c>
      <c r="J425">
        <v>51.353526799999997</v>
      </c>
      <c r="K425">
        <v>58.670607660000002</v>
      </c>
      <c r="L425">
        <v>67.697976650000001</v>
      </c>
      <c r="M425">
        <v>74.832231789999994</v>
      </c>
      <c r="N425">
        <v>80.477299680000002</v>
      </c>
      <c r="O425"/>
    </row>
    <row r="426" spans="1:15" x14ac:dyDescent="0.25">
      <c r="A426">
        <v>2</v>
      </c>
      <c r="B426" s="13">
        <v>14.791666666666666</v>
      </c>
      <c r="C426">
        <v>-1.3062120319999999</v>
      </c>
      <c r="D426">
        <v>51.558248310000003</v>
      </c>
      <c r="E426">
        <v>0.18063483899999999</v>
      </c>
      <c r="F426">
        <v>38.92164966</v>
      </c>
      <c r="G426">
        <v>40.111139190000003</v>
      </c>
      <c r="H426">
        <v>42.117097020000003</v>
      </c>
      <c r="I426">
        <v>46.046465699999999</v>
      </c>
      <c r="J426">
        <v>51.558248310000003</v>
      </c>
      <c r="K426">
        <v>58.874773019999999</v>
      </c>
      <c r="L426">
        <v>67.923274410000005</v>
      </c>
      <c r="M426">
        <v>75.094676980000003</v>
      </c>
      <c r="N426">
        <v>80.783635239999995</v>
      </c>
      <c r="O426"/>
    </row>
    <row r="427" spans="1:15" x14ac:dyDescent="0.25">
      <c r="A427">
        <v>2</v>
      </c>
      <c r="B427" s="13">
        <v>14.875</v>
      </c>
      <c r="C427">
        <v>-1.3294609449999999</v>
      </c>
      <c r="D427">
        <v>51.756805129999996</v>
      </c>
      <c r="E427">
        <v>0.179736168</v>
      </c>
      <c r="F427">
        <v>39.148910370000003</v>
      </c>
      <c r="G427">
        <v>40.334802949999997</v>
      </c>
      <c r="H427">
        <v>42.334981159999998</v>
      </c>
      <c r="I427">
        <v>46.254458939999999</v>
      </c>
      <c r="J427">
        <v>51.756805129999996</v>
      </c>
      <c r="K427">
        <v>59.071643369999997</v>
      </c>
      <c r="L427">
        <v>68.140058659999994</v>
      </c>
      <c r="M427">
        <v>75.348024659999993</v>
      </c>
      <c r="N427">
        <v>81.080834969999998</v>
      </c>
      <c r="O427"/>
    </row>
    <row r="428" spans="1:15" x14ac:dyDescent="0.25">
      <c r="A428">
        <v>2</v>
      </c>
      <c r="B428" s="13">
        <v>14.958333333333334</v>
      </c>
      <c r="C428">
        <v>-1.3528979800000001</v>
      </c>
      <c r="D428">
        <v>51.949258409999999</v>
      </c>
      <c r="E428">
        <v>0.17883961400000001</v>
      </c>
      <c r="F428">
        <v>39.371774350000003</v>
      </c>
      <c r="G428">
        <v>40.553919059999998</v>
      </c>
      <c r="H428">
        <v>42.548059160000001</v>
      </c>
      <c r="I428">
        <v>46.45712228</v>
      </c>
      <c r="J428">
        <v>51.949258409999999</v>
      </c>
      <c r="K428">
        <v>59.261350659999998</v>
      </c>
      <c r="L428">
        <v>68.34849595</v>
      </c>
      <c r="M428">
        <v>75.592425500000004</v>
      </c>
      <c r="N428">
        <v>81.369014379999996</v>
      </c>
      <c r="O428"/>
    </row>
    <row r="429" spans="1:15" x14ac:dyDescent="0.25">
      <c r="A429">
        <v>2</v>
      </c>
      <c r="B429" s="13">
        <v>15.041666666666666</v>
      </c>
      <c r="C429">
        <v>-1.376478254</v>
      </c>
      <c r="D429">
        <v>52.135681929999997</v>
      </c>
      <c r="E429">
        <v>0.17794680399999999</v>
      </c>
      <c r="F429">
        <v>39.590123380000001</v>
      </c>
      <c r="G429">
        <v>40.768389550000002</v>
      </c>
      <c r="H429">
        <v>42.756266500000002</v>
      </c>
      <c r="I429">
        <v>46.654453289999999</v>
      </c>
      <c r="J429">
        <v>52.135681929999997</v>
      </c>
      <c r="K429">
        <v>59.44404265</v>
      </c>
      <c r="L429">
        <v>68.548770899999994</v>
      </c>
      <c r="M429">
        <v>75.828046729999997</v>
      </c>
      <c r="N429">
        <v>81.648300910000003</v>
      </c>
      <c r="O429"/>
    </row>
    <row r="430" spans="1:15" x14ac:dyDescent="0.25">
      <c r="A430">
        <v>2</v>
      </c>
      <c r="B430" s="13">
        <v>15.125</v>
      </c>
      <c r="C430">
        <v>-1.4001544260000001</v>
      </c>
      <c r="D430">
        <v>52.316161970000003</v>
      </c>
      <c r="E430">
        <v>0.17705937899999999</v>
      </c>
      <c r="F430">
        <v>39.803847359999999</v>
      </c>
      <c r="G430">
        <v>40.97812493</v>
      </c>
      <c r="H430">
        <v>42.95954776</v>
      </c>
      <c r="I430">
        <v>46.846459920000001</v>
      </c>
      <c r="J430">
        <v>52.316161970000003</v>
      </c>
      <c r="K430">
        <v>59.619882539999999</v>
      </c>
      <c r="L430">
        <v>68.741085819999995</v>
      </c>
      <c r="M430">
        <v>76.055071819999995</v>
      </c>
      <c r="N430">
        <v>81.91883344</v>
      </c>
      <c r="O430"/>
    </row>
    <row r="431" spans="1:15" x14ac:dyDescent="0.25">
      <c r="A431">
        <v>2</v>
      </c>
      <c r="B431" s="13">
        <v>15.208333333333334</v>
      </c>
      <c r="C431">
        <v>-1.4238767720000001</v>
      </c>
      <c r="D431">
        <v>52.490797030000003</v>
      </c>
      <c r="E431">
        <v>0.17617899000000001</v>
      </c>
      <c r="F431">
        <v>40.012844770000001</v>
      </c>
      <c r="G431">
        <v>41.183044529999997</v>
      </c>
      <c r="H431">
        <v>43.157856799999998</v>
      </c>
      <c r="I431">
        <v>47.033160510000002</v>
      </c>
      <c r="J431">
        <v>52.490797030000003</v>
      </c>
      <c r="K431">
        <v>59.789048520000001</v>
      </c>
      <c r="L431">
        <v>68.925660269999995</v>
      </c>
      <c r="M431">
        <v>76.273699989999997</v>
      </c>
      <c r="N431">
        <v>82.180761739999994</v>
      </c>
      <c r="O431"/>
    </row>
    <row r="432" spans="1:15" x14ac:dyDescent="0.25">
      <c r="A432">
        <v>2</v>
      </c>
      <c r="B432" s="13">
        <v>15.291666666666666</v>
      </c>
      <c r="C432">
        <v>-1.447593267</v>
      </c>
      <c r="D432">
        <v>52.659697569999999</v>
      </c>
      <c r="E432">
        <v>0.175307296</v>
      </c>
      <c r="F432">
        <v>40.217023019999999</v>
      </c>
      <c r="G432">
        <v>41.383076799999998</v>
      </c>
      <c r="H432">
        <v>43.351156979999999</v>
      </c>
      <c r="I432">
        <v>47.214583750000003</v>
      </c>
      <c r="J432">
        <v>52.659697569999999</v>
      </c>
      <c r="K432">
        <v>59.95173329</v>
      </c>
      <c r="L432">
        <v>69.102730480000005</v>
      </c>
      <c r="M432">
        <v>76.484145760000004</v>
      </c>
      <c r="N432">
        <v>82.434245930000003</v>
      </c>
      <c r="O432"/>
    </row>
    <row r="433" spans="1:15" x14ac:dyDescent="0.25">
      <c r="A433">
        <v>2</v>
      </c>
      <c r="B433" s="13">
        <v>15.375</v>
      </c>
      <c r="C433">
        <v>-1.4712497019999999</v>
      </c>
      <c r="D433">
        <v>52.822985719999998</v>
      </c>
      <c r="E433">
        <v>0.17444595800000001</v>
      </c>
      <c r="F433">
        <v>40.416298810000001</v>
      </c>
      <c r="G433">
        <v>41.578159640000003</v>
      </c>
      <c r="H433">
        <v>43.539421330000003</v>
      </c>
      <c r="I433">
        <v>47.390768659999999</v>
      </c>
      <c r="J433">
        <v>52.822985719999998</v>
      </c>
      <c r="K433">
        <v>60.108143509999998</v>
      </c>
      <c r="L433">
        <v>69.272548760000006</v>
      </c>
      <c r="M433">
        <v>76.68663841</v>
      </c>
      <c r="N433">
        <v>82.679455869999998</v>
      </c>
      <c r="O433"/>
    </row>
    <row r="434" spans="1:15" x14ac:dyDescent="0.25">
      <c r="A434">
        <v>2</v>
      </c>
      <c r="B434" s="13">
        <v>15.458333333333334</v>
      </c>
      <c r="C434">
        <v>-1.4947898260000001</v>
      </c>
      <c r="D434">
        <v>52.980794899999999</v>
      </c>
      <c r="E434">
        <v>0.173596636</v>
      </c>
      <c r="F434">
        <v>40.610598510000003</v>
      </c>
      <c r="G434">
        <v>41.768240650000003</v>
      </c>
      <c r="H434">
        <v>43.722632709999999</v>
      </c>
      <c r="I434">
        <v>47.561764510000003</v>
      </c>
      <c r="J434">
        <v>52.980794899999999</v>
      </c>
      <c r="K434">
        <v>60.25849917</v>
      </c>
      <c r="L434">
        <v>69.435382820000001</v>
      </c>
      <c r="M434">
        <v>76.881421380000006</v>
      </c>
      <c r="N434">
        <v>82.916570620000002</v>
      </c>
      <c r="O434"/>
    </row>
    <row r="435" spans="1:15" x14ac:dyDescent="0.25">
      <c r="A435">
        <v>2</v>
      </c>
      <c r="B435" s="13">
        <v>15.541666666666666</v>
      </c>
      <c r="C435">
        <v>-1.518155513</v>
      </c>
      <c r="D435">
        <v>53.133269460000001</v>
      </c>
      <c r="E435">
        <v>0.17276098200000001</v>
      </c>
      <c r="F435">
        <v>40.799858469999997</v>
      </c>
      <c r="G435">
        <v>41.953277360000001</v>
      </c>
      <c r="H435">
        <v>43.900783959999998</v>
      </c>
      <c r="I435">
        <v>47.727630730000001</v>
      </c>
      <c r="J435">
        <v>53.133269460000001</v>
      </c>
      <c r="K435">
        <v>60.403032920000001</v>
      </c>
      <c r="L435">
        <v>69.591514950000004</v>
      </c>
      <c r="M435">
        <v>77.068751570000003</v>
      </c>
      <c r="N435">
        <v>83.145777800000005</v>
      </c>
      <c r="O435"/>
    </row>
    <row r="436" spans="1:15" x14ac:dyDescent="0.25">
      <c r="A436">
        <v>2</v>
      </c>
      <c r="B436" s="13">
        <v>15.625</v>
      </c>
      <c r="C436">
        <v>-1.5412869490000001</v>
      </c>
      <c r="D436">
        <v>53.280564249999998</v>
      </c>
      <c r="E436">
        <v>0.17194064000000001</v>
      </c>
      <c r="F436">
        <v>40.984025279999997</v>
      </c>
      <c r="G436">
        <v>42.1332375</v>
      </c>
      <c r="H436">
        <v>44.073877959999997</v>
      </c>
      <c r="I436">
        <v>47.888436800000001</v>
      </c>
      <c r="J436">
        <v>53.280564249999998</v>
      </c>
      <c r="K436">
        <v>60.541989379999997</v>
      </c>
      <c r="L436">
        <v>69.741241220000006</v>
      </c>
      <c r="M436">
        <v>77.248898629999999</v>
      </c>
      <c r="N436">
        <v>83.367272970000002</v>
      </c>
      <c r="O436"/>
    </row>
    <row r="437" spans="1:15" x14ac:dyDescent="0.25">
      <c r="A437">
        <v>2</v>
      </c>
      <c r="B437" s="13">
        <v>15.708333333333334</v>
      </c>
      <c r="C437">
        <v>-1.5641228519999999</v>
      </c>
      <c r="D437">
        <v>53.422844169999998</v>
      </c>
      <c r="E437">
        <v>0.171137232</v>
      </c>
      <c r="F437">
        <v>41.163056060000002</v>
      </c>
      <c r="G437">
        <v>42.308099140000003</v>
      </c>
      <c r="H437">
        <v>44.241927740000001</v>
      </c>
      <c r="I437">
        <v>48.044262080000003</v>
      </c>
      <c r="J437">
        <v>53.422844169999998</v>
      </c>
      <c r="K437">
        <v>60.675624329999998</v>
      </c>
      <c r="L437">
        <v>69.884870500000005</v>
      </c>
      <c r="M437">
        <v>77.422144130000007</v>
      </c>
      <c r="N437">
        <v>83.581259000000003</v>
      </c>
      <c r="O437"/>
    </row>
    <row r="438" spans="1:15" x14ac:dyDescent="0.25">
      <c r="A438">
        <v>2</v>
      </c>
      <c r="B438" s="13">
        <v>15.791666666666666</v>
      </c>
      <c r="C438">
        <v>-1.5866007120000001</v>
      </c>
      <c r="D438">
        <v>53.560283699999999</v>
      </c>
      <c r="E438">
        <v>0.17035236300000001</v>
      </c>
      <c r="F438">
        <v>41.336918660000002</v>
      </c>
      <c r="G438">
        <v>42.4778509</v>
      </c>
      <c r="H438">
        <v>44.404956519999999</v>
      </c>
      <c r="I438">
        <v>48.195195640000001</v>
      </c>
      <c r="J438">
        <v>53.560283699999999</v>
      </c>
      <c r="K438">
        <v>60.804203880000003</v>
      </c>
      <c r="L438">
        <v>70.022723499999998</v>
      </c>
      <c r="M438">
        <v>77.588780709999995</v>
      </c>
      <c r="N438">
        <v>83.787945440000001</v>
      </c>
      <c r="O438"/>
    </row>
    <row r="439" spans="1:15" x14ac:dyDescent="0.25">
      <c r="A439">
        <v>2</v>
      </c>
      <c r="B439" s="13">
        <v>15.875</v>
      </c>
      <c r="C439">
        <v>-1.608657054</v>
      </c>
      <c r="D439">
        <v>53.693066369999997</v>
      </c>
      <c r="E439">
        <v>0.169587605</v>
      </c>
      <c r="F439">
        <v>41.505591860000003</v>
      </c>
      <c r="G439">
        <v>42.642491999999997</v>
      </c>
      <c r="H439">
        <v>44.562997699999997</v>
      </c>
      <c r="I439">
        <v>48.341336060000003</v>
      </c>
      <c r="J439">
        <v>53.693066369999997</v>
      </c>
      <c r="K439">
        <v>60.928003629999999</v>
      </c>
      <c r="L439">
        <v>70.15513163</v>
      </c>
      <c r="M439">
        <v>77.74911109</v>
      </c>
      <c r="N439">
        <v>83.987547789999994</v>
      </c>
      <c r="O439"/>
    </row>
    <row r="440" spans="1:15" x14ac:dyDescent="0.25">
      <c r="A440">
        <v>2</v>
      </c>
      <c r="B440" s="13">
        <v>15.958333333333334</v>
      </c>
      <c r="C440">
        <v>-1.6302277279999999</v>
      </c>
      <c r="D440">
        <v>53.821384219999999</v>
      </c>
      <c r="E440">
        <v>0.16884449700000001</v>
      </c>
      <c r="F440">
        <v>41.66906547</v>
      </c>
      <c r="G440">
        <v>42.80203238</v>
      </c>
      <c r="H440">
        <v>44.716094849999998</v>
      </c>
      <c r="I440">
        <v>48.482791200000001</v>
      </c>
      <c r="J440">
        <v>53.821384219999999</v>
      </c>
      <c r="K440">
        <v>61.047307709999998</v>
      </c>
      <c r="L440">
        <v>70.282435879999994</v>
      </c>
      <c r="M440">
        <v>77.903447069999999</v>
      </c>
      <c r="N440">
        <v>84.180286929999994</v>
      </c>
      <c r="O440"/>
    </row>
    <row r="441" spans="1:15" x14ac:dyDescent="0.25">
      <c r="A441">
        <v>2</v>
      </c>
      <c r="B441" s="13">
        <v>16.041666666666668</v>
      </c>
      <c r="C441">
        <v>-1.6512482079999999</v>
      </c>
      <c r="D441">
        <v>53.945437249999998</v>
      </c>
      <c r="E441">
        <v>0.16812453799999999</v>
      </c>
      <c r="F441">
        <v>41.827340479999997</v>
      </c>
      <c r="G441">
        <v>42.956492730000001</v>
      </c>
      <c r="H441">
        <v>44.864301650000002</v>
      </c>
      <c r="I441">
        <v>48.619677899999999</v>
      </c>
      <c r="J441">
        <v>53.945437249999998</v>
      </c>
      <c r="K441">
        <v>61.162407880000004</v>
      </c>
      <c r="L441">
        <v>70.404985539999998</v>
      </c>
      <c r="M441">
        <v>78.052108410000002</v>
      </c>
      <c r="N441">
        <v>84.366388319999999</v>
      </c>
      <c r="O441"/>
    </row>
    <row r="442" spans="1:15" x14ac:dyDescent="0.25">
      <c r="A442">
        <v>2</v>
      </c>
      <c r="B442" s="13">
        <v>16.125</v>
      </c>
      <c r="C442">
        <v>-1.67165392</v>
      </c>
      <c r="D442">
        <v>54.065432780000002</v>
      </c>
      <c r="E442">
        <v>0.16742917900000001</v>
      </c>
      <c r="F442">
        <v>41.980429049999998</v>
      </c>
      <c r="G442">
        <v>43.10590449</v>
      </c>
      <c r="H442">
        <v>45.007681750000003</v>
      </c>
      <c r="I442">
        <v>48.752121699999996</v>
      </c>
      <c r="J442">
        <v>54.065432780000002</v>
      </c>
      <c r="K442">
        <v>61.273602449999998</v>
      </c>
      <c r="L442">
        <v>70.523136960000002</v>
      </c>
      <c r="M442">
        <v>78.195421710000005</v>
      </c>
      <c r="N442">
        <v>84.546081369999996</v>
      </c>
      <c r="O442"/>
    </row>
    <row r="443" spans="1:15" x14ac:dyDescent="0.25">
      <c r="A443">
        <v>2</v>
      </c>
      <c r="B443" s="13">
        <v>16.208333333333332</v>
      </c>
      <c r="C443">
        <v>-1.6913805829999999</v>
      </c>
      <c r="D443">
        <v>54.181584860000001</v>
      </c>
      <c r="E443">
        <v>0.16675981600000001</v>
      </c>
      <c r="F443">
        <v>42.128354520000002</v>
      </c>
      <c r="G443">
        <v>43.250309729999998</v>
      </c>
      <c r="H443">
        <v>45.146308670000003</v>
      </c>
      <c r="I443">
        <v>48.880256510000002</v>
      </c>
      <c r="J443">
        <v>54.181584860000001</v>
      </c>
      <c r="K443">
        <v>61.381195329999997</v>
      </c>
      <c r="L443">
        <v>70.637252149999995</v>
      </c>
      <c r="M443">
        <v>78.333719110000004</v>
      </c>
      <c r="N443">
        <v>84.719598689999998</v>
      </c>
      <c r="O443"/>
    </row>
    <row r="444" spans="1:15" x14ac:dyDescent="0.25">
      <c r="A444">
        <v>2</v>
      </c>
      <c r="B444" s="13">
        <v>16.291666666666668</v>
      </c>
      <c r="C444">
        <v>-1.7103645569999999</v>
      </c>
      <c r="D444">
        <v>54.29411356</v>
      </c>
      <c r="E444">
        <v>0.16611778799999999</v>
      </c>
      <c r="F444">
        <v>42.271151340000003</v>
      </c>
      <c r="G444">
        <v>43.389761120000003</v>
      </c>
      <c r="H444">
        <v>45.280265559999997</v>
      </c>
      <c r="I444">
        <v>49.004224200000003</v>
      </c>
      <c r="J444">
        <v>54.29411356</v>
      </c>
      <c r="K444">
        <v>61.485494889999998</v>
      </c>
      <c r="L444">
        <v>70.74769732</v>
      </c>
      <c r="M444">
        <v>78.467337020000002</v>
      </c>
      <c r="N444">
        <v>84.887175369999994</v>
      </c>
      <c r="O444"/>
    </row>
    <row r="445" spans="1:15" x14ac:dyDescent="0.25">
      <c r="A445">
        <v>2</v>
      </c>
      <c r="B445" s="13">
        <v>16.375</v>
      </c>
      <c r="C445">
        <v>-1.728543207</v>
      </c>
      <c r="D445">
        <v>54.403244309999998</v>
      </c>
      <c r="E445">
        <v>0.16550436499999999</v>
      </c>
      <c r="F445">
        <v>42.408864950000002</v>
      </c>
      <c r="G445">
        <v>43.524321690000001</v>
      </c>
      <c r="H445">
        <v>45.409644989999997</v>
      </c>
      <c r="I445">
        <v>49.12417422</v>
      </c>
      <c r="J445">
        <v>54.403244309999998</v>
      </c>
      <c r="K445">
        <v>61.586812909999999</v>
      </c>
      <c r="L445">
        <v>70.854841460000003</v>
      </c>
      <c r="M445">
        <v>78.596614720000005</v>
      </c>
      <c r="N445">
        <v>85.049048220000003</v>
      </c>
      <c r="O445"/>
    </row>
    <row r="446" spans="1:15" x14ac:dyDescent="0.25">
      <c r="A446">
        <v>2</v>
      </c>
      <c r="B446" s="13">
        <v>16.458333333333332</v>
      </c>
      <c r="C446">
        <v>-1.745855274</v>
      </c>
      <c r="D446">
        <v>54.509207170000003</v>
      </c>
      <c r="E446">
        <v>0.16492074700000001</v>
      </c>
      <c r="F446">
        <v>42.54155162</v>
      </c>
      <c r="G446">
        <v>43.654064669999997</v>
      </c>
      <c r="H446">
        <v>45.534548600000001</v>
      </c>
      <c r="I446">
        <v>49.240263120000002</v>
      </c>
      <c r="J446">
        <v>54.509207170000003</v>
      </c>
      <c r="K446">
        <v>61.685463390000002</v>
      </c>
      <c r="L446">
        <v>70.959054710000004</v>
      </c>
      <c r="M446">
        <v>78.721892920000002</v>
      </c>
      <c r="N446">
        <v>85.205455000000001</v>
      </c>
      <c r="O446"/>
    </row>
    <row r="447" spans="1:15" x14ac:dyDescent="0.25">
      <c r="A447">
        <v>2</v>
      </c>
      <c r="B447" s="13">
        <v>16.541666666666668</v>
      </c>
      <c r="C447">
        <v>-1.762241248</v>
      </c>
      <c r="D447">
        <v>54.612236029999998</v>
      </c>
      <c r="E447">
        <v>0.16436805400000001</v>
      </c>
      <c r="F447">
        <v>42.669278169999998</v>
      </c>
      <c r="G447">
        <v>43.779073160000003</v>
      </c>
      <c r="H447">
        <v>45.655086830000002</v>
      </c>
      <c r="I447">
        <v>49.352654049999998</v>
      </c>
      <c r="J447">
        <v>54.612236029999998</v>
      </c>
      <c r="K447">
        <v>61.781761400000001</v>
      </c>
      <c r="L447">
        <v>71.060706879999998</v>
      </c>
      <c r="M447">
        <v>78.843512309999994</v>
      </c>
      <c r="N447">
        <v>85.356633680000002</v>
      </c>
      <c r="O447"/>
    </row>
    <row r="448" spans="1:15" x14ac:dyDescent="0.25">
      <c r="A448">
        <v>2</v>
      </c>
      <c r="B448" s="13">
        <v>16.625</v>
      </c>
      <c r="C448">
        <v>-1.7776437469999999</v>
      </c>
      <c r="D448">
        <v>54.712567870000001</v>
      </c>
      <c r="E448">
        <v>0.16384731999999999</v>
      </c>
      <c r="F448">
        <v>42.79212167</v>
      </c>
      <c r="G448">
        <v>43.899439829999999</v>
      </c>
      <c r="H448">
        <v>45.77137845</v>
      </c>
      <c r="I448">
        <v>49.46151622</v>
      </c>
      <c r="J448">
        <v>54.712567870000001</v>
      </c>
      <c r="K448">
        <v>61.876021860000002</v>
      </c>
      <c r="L448">
        <v>71.160165680000006</v>
      </c>
      <c r="M448">
        <v>78.961811940000004</v>
      </c>
      <c r="N448">
        <v>85.502821589999996</v>
      </c>
      <c r="O448"/>
    </row>
    <row r="449" spans="1:15" x14ac:dyDescent="0.25">
      <c r="A449">
        <v>2</v>
      </c>
      <c r="B449" s="13">
        <v>16.708333333333332</v>
      </c>
      <c r="C449">
        <v>-1.7920078909999999</v>
      </c>
      <c r="D449">
        <v>54.810441840000003</v>
      </c>
      <c r="E449">
        <v>0.163359491</v>
      </c>
      <c r="F449">
        <v>42.910169140000001</v>
      </c>
      <c r="G449">
        <v>44.015266490000002</v>
      </c>
      <c r="H449">
        <v>45.883550149999998</v>
      </c>
      <c r="I449">
        <v>49.5670243</v>
      </c>
      <c r="J449">
        <v>54.810441840000003</v>
      </c>
      <c r="K449">
        <v>61.96855832</v>
      </c>
      <c r="L449">
        <v>71.257795130000005</v>
      </c>
      <c r="M449">
        <v>79.077127649999994</v>
      </c>
      <c r="N449">
        <v>85.644254660000001</v>
      </c>
      <c r="O449"/>
    </row>
    <row r="450" spans="1:15" x14ac:dyDescent="0.25">
      <c r="A450">
        <v>2</v>
      </c>
      <c r="B450" s="13">
        <v>16.791666666666668</v>
      </c>
      <c r="C450">
        <v>-1.805281675</v>
      </c>
      <c r="D450">
        <v>54.906098419999999</v>
      </c>
      <c r="E450">
        <v>0.162905415</v>
      </c>
      <c r="F450">
        <v>43.023517040000002</v>
      </c>
      <c r="G450">
        <v>44.126663659999998</v>
      </c>
      <c r="H450">
        <v>45.991735970000001</v>
      </c>
      <c r="I450">
        <v>49.669357759999997</v>
      </c>
      <c r="J450">
        <v>54.906098419999999</v>
      </c>
      <c r="K450">
        <v>62.059681619999999</v>
      </c>
      <c r="L450">
        <v>71.353953809999993</v>
      </c>
      <c r="M450">
        <v>79.189790439999996</v>
      </c>
      <c r="N450">
        <v>85.781166580000004</v>
      </c>
      <c r="O450"/>
    </row>
    <row r="451" spans="1:15" x14ac:dyDescent="0.25">
      <c r="A451">
        <v>2</v>
      </c>
      <c r="B451" s="13">
        <v>16.875</v>
      </c>
      <c r="C451">
        <v>-1.8174163350000001</v>
      </c>
      <c r="D451">
        <v>54.999778460000002</v>
      </c>
      <c r="E451">
        <v>0.16248583899999999</v>
      </c>
      <c r="F451">
        <v>43.132270830000003</v>
      </c>
      <c r="G451">
        <v>44.233750030000003</v>
      </c>
      <c r="H451">
        <v>46.096076789999998</v>
      </c>
      <c r="I451">
        <v>49.768700170000002</v>
      </c>
      <c r="J451">
        <v>54.999778460000002</v>
      </c>
      <c r="K451">
        <v>62.149698620000002</v>
      </c>
      <c r="L451">
        <v>71.448993049999999</v>
      </c>
      <c r="M451">
        <v>79.300124769999996</v>
      </c>
      <c r="N451">
        <v>85.913787979999995</v>
      </c>
      <c r="O451"/>
    </row>
    <row r="452" spans="1:15" x14ac:dyDescent="0.25">
      <c r="A452">
        <v>2</v>
      </c>
      <c r="B452" s="13">
        <v>16.958333333333332</v>
      </c>
      <c r="C452">
        <v>-1.828366707</v>
      </c>
      <c r="D452">
        <v>55.091722169999997</v>
      </c>
      <c r="E452">
        <v>0.16210140200000001</v>
      </c>
      <c r="F452">
        <v>43.236544420000001</v>
      </c>
      <c r="G452">
        <v>44.336651920000001</v>
      </c>
      <c r="H452">
        <v>46.196719620000003</v>
      </c>
      <c r="I452">
        <v>49.865238419999997</v>
      </c>
      <c r="J452">
        <v>55.091722169999997</v>
      </c>
      <c r="K452">
        <v>62.238910750000002</v>
      </c>
      <c r="L452">
        <v>71.543255189999996</v>
      </c>
      <c r="M452">
        <v>79.408446850000004</v>
      </c>
      <c r="N452">
        <v>86.042345569999995</v>
      </c>
      <c r="O452"/>
    </row>
    <row r="453" spans="1:15" x14ac:dyDescent="0.25">
      <c r="A453">
        <v>2</v>
      </c>
      <c r="B453" s="13">
        <v>17.041666666666668</v>
      </c>
      <c r="C453">
        <v>-1.8380915760000001</v>
      </c>
      <c r="D453">
        <v>55.182168109999999</v>
      </c>
      <c r="E453">
        <v>0.16175263400000001</v>
      </c>
      <c r="F453">
        <v>43.336459560000002</v>
      </c>
      <c r="G453">
        <v>44.435502589999999</v>
      </c>
      <c r="H453">
        <v>46.293816990000003</v>
      </c>
      <c r="I453">
        <v>49.959161909999999</v>
      </c>
      <c r="J453">
        <v>55.182168109999999</v>
      </c>
      <c r="K453">
        <v>62.327612680000001</v>
      </c>
      <c r="L453">
        <v>71.637071719999994</v>
      </c>
      <c r="M453">
        <v>79.515062920000005</v>
      </c>
      <c r="N453">
        <v>86.167061309999994</v>
      </c>
      <c r="O453"/>
    </row>
    <row r="454" spans="1:15" x14ac:dyDescent="0.25">
      <c r="A454">
        <v>2</v>
      </c>
      <c r="B454" s="13">
        <v>17.125</v>
      </c>
      <c r="C454">
        <v>-1.8465540149999999</v>
      </c>
      <c r="D454">
        <v>55.271352</v>
      </c>
      <c r="E454">
        <v>0.161439944</v>
      </c>
      <c r="F454">
        <v>43.432145179999999</v>
      </c>
      <c r="G454">
        <v>44.53044156</v>
      </c>
      <c r="H454">
        <v>46.387526090000001</v>
      </c>
      <c r="I454">
        <v>50.05066163</v>
      </c>
      <c r="J454">
        <v>55.271352</v>
      </c>
      <c r="K454">
        <v>62.416090750000002</v>
      </c>
      <c r="L454">
        <v>71.730761419999993</v>
      </c>
      <c r="M454">
        <v>79.620267519999999</v>
      </c>
      <c r="N454">
        <v>86.288151569999997</v>
      </c>
      <c r="O454"/>
    </row>
    <row r="455" spans="1:15" x14ac:dyDescent="0.25">
      <c r="A455">
        <v>2</v>
      </c>
      <c r="B455" s="13">
        <v>17.208333333333332</v>
      </c>
      <c r="C455">
        <v>-1.853721704</v>
      </c>
      <c r="D455">
        <v>55.359505579999997</v>
      </c>
      <c r="E455">
        <v>0.16116362300000001</v>
      </c>
      <c r="F455">
        <v>43.523736630000002</v>
      </c>
      <c r="G455">
        <v>44.621613859999997</v>
      </c>
      <c r="H455">
        <v>46.478008019999997</v>
      </c>
      <c r="I455">
        <v>50.13992923</v>
      </c>
      <c r="J455">
        <v>55.359505579999997</v>
      </c>
      <c r="K455">
        <v>62.504621469999996</v>
      </c>
      <c r="L455">
        <v>71.824628450000006</v>
      </c>
      <c r="M455">
        <v>79.724341730000006</v>
      </c>
      <c r="N455">
        <v>86.405826270000006</v>
      </c>
      <c r="O455"/>
    </row>
    <row r="456" spans="1:15" x14ac:dyDescent="0.25">
      <c r="A456">
        <v>2</v>
      </c>
      <c r="B456" s="13">
        <v>17.291666666666668</v>
      </c>
      <c r="C456">
        <v>-1.859567242</v>
      </c>
      <c r="D456">
        <v>55.446855309999997</v>
      </c>
      <c r="E456">
        <v>0.16092383299999999</v>
      </c>
      <c r="F456">
        <v>43.611374949999998</v>
      </c>
      <c r="G456">
        <v>44.709169230000001</v>
      </c>
      <c r="H456">
        <v>46.565426889999998</v>
      </c>
      <c r="I456">
        <v>50.227155949999997</v>
      </c>
      <c r="J456">
        <v>55.446855309999997</v>
      </c>
      <c r="K456">
        <v>62.593469939999999</v>
      </c>
      <c r="L456">
        <v>71.918960470000002</v>
      </c>
      <c r="M456">
        <v>79.827551439999993</v>
      </c>
      <c r="N456">
        <v>86.520288030000003</v>
      </c>
      <c r="O456"/>
    </row>
    <row r="457" spans="1:15" x14ac:dyDescent="0.25">
      <c r="A457">
        <v>2</v>
      </c>
      <c r="B457" s="13">
        <v>17.375</v>
      </c>
      <c r="C457">
        <v>-1.8640684430000001</v>
      </c>
      <c r="D457">
        <v>55.533621070000002</v>
      </c>
      <c r="E457">
        <v>0.16072060899999999</v>
      </c>
      <c r="F457">
        <v>43.695206040000002</v>
      </c>
      <c r="G457">
        <v>44.793261170000001</v>
      </c>
      <c r="H457">
        <v>46.64994883</v>
      </c>
      <c r="I457">
        <v>50.312531509999999</v>
      </c>
      <c r="J457">
        <v>55.533621070000002</v>
      </c>
      <c r="K457">
        <v>62.682888140000003</v>
      </c>
      <c r="L457">
        <v>72.014026680000001</v>
      </c>
      <c r="M457">
        <v>79.930145600000003</v>
      </c>
      <c r="N457">
        <v>86.631731310000006</v>
      </c>
      <c r="O457"/>
    </row>
    <row r="458" spans="1:15" x14ac:dyDescent="0.25">
      <c r="A458">
        <v>2</v>
      </c>
      <c r="B458" s="13">
        <v>17.458333333333332</v>
      </c>
      <c r="C458">
        <v>-1.86720861</v>
      </c>
      <c r="D458">
        <v>55.620014640000001</v>
      </c>
      <c r="E458">
        <v>0.16055385</v>
      </c>
      <c r="F458">
        <v>43.775379710000003</v>
      </c>
      <c r="G458">
        <v>44.874046100000001</v>
      </c>
      <c r="H458">
        <v>46.73174101</v>
      </c>
      <c r="I458">
        <v>50.396242970000003</v>
      </c>
      <c r="J458">
        <v>55.620014640000001</v>
      </c>
      <c r="K458">
        <v>62.773113189999997</v>
      </c>
      <c r="L458">
        <v>72.110075850000001</v>
      </c>
      <c r="M458">
        <v>80.032354560000002</v>
      </c>
      <c r="N458">
        <v>86.740341619999995</v>
      </c>
      <c r="O458"/>
    </row>
    <row r="459" spans="1:15" x14ac:dyDescent="0.25">
      <c r="A459">
        <v>2</v>
      </c>
      <c r="B459" s="13">
        <v>17.541666666666668</v>
      </c>
      <c r="C459">
        <v>-1.8689768</v>
      </c>
      <c r="D459">
        <v>55.706238259999999</v>
      </c>
      <c r="E459">
        <v>0.16042331900000001</v>
      </c>
      <c r="F459">
        <v>43.852048830000001</v>
      </c>
      <c r="G459">
        <v>44.951682310000002</v>
      </c>
      <c r="H459">
        <v>46.810970519999998</v>
      </c>
      <c r="I459">
        <v>50.478473360000002</v>
      </c>
      <c r="J459">
        <v>55.706238259999999</v>
      </c>
      <c r="K459">
        <v>62.864365550000002</v>
      </c>
      <c r="L459">
        <v>72.207334380000006</v>
      </c>
      <c r="M459">
        <v>80.134388369999996</v>
      </c>
      <c r="N459">
        <v>86.846294659999998</v>
      </c>
      <c r="O459"/>
    </row>
    <row r="460" spans="1:15" x14ac:dyDescent="0.25">
      <c r="A460">
        <v>2</v>
      </c>
      <c r="B460" s="13">
        <v>17.625</v>
      </c>
      <c r="C460">
        <v>-1.869371157</v>
      </c>
      <c r="D460">
        <v>55.792479389999997</v>
      </c>
      <c r="E460">
        <v>0.160328578</v>
      </c>
      <c r="F460">
        <v>43.925372099999997</v>
      </c>
      <c r="G460">
        <v>45.026331890000002</v>
      </c>
      <c r="H460">
        <v>46.887804889999998</v>
      </c>
      <c r="I460">
        <v>50.559399659999997</v>
      </c>
      <c r="J460">
        <v>55.792479389999997</v>
      </c>
      <c r="K460">
        <v>62.956841349999998</v>
      </c>
      <c r="L460">
        <v>72.305999299999996</v>
      </c>
      <c r="M460">
        <v>80.236434849999995</v>
      </c>
      <c r="N460">
        <v>86.949762500000006</v>
      </c>
      <c r="O460"/>
    </row>
    <row r="461" spans="1:15" x14ac:dyDescent="0.25">
      <c r="A461">
        <v>2</v>
      </c>
      <c r="B461" s="13">
        <v>17.708333333333332</v>
      </c>
      <c r="C461">
        <v>-1.868386498</v>
      </c>
      <c r="D461">
        <v>55.878923559999997</v>
      </c>
      <c r="E461">
        <v>0.16026923200000001</v>
      </c>
      <c r="F461">
        <v>43.99549743</v>
      </c>
      <c r="G461">
        <v>45.098147439999998</v>
      </c>
      <c r="H461">
        <v>46.962404110000001</v>
      </c>
      <c r="I461">
        <v>50.639194400000001</v>
      </c>
      <c r="J461">
        <v>55.878923559999997</v>
      </c>
      <c r="K461">
        <v>63.050733979999997</v>
      </c>
      <c r="L461">
        <v>72.406256670000005</v>
      </c>
      <c r="M461">
        <v>80.338659340000007</v>
      </c>
      <c r="N461">
        <v>87.05088422</v>
      </c>
      <c r="O461"/>
    </row>
    <row r="462" spans="1:15" x14ac:dyDescent="0.25">
      <c r="A462">
        <v>2</v>
      </c>
      <c r="B462" s="13">
        <v>17.791666666666668</v>
      </c>
      <c r="C462">
        <v>-1.8660339239999999</v>
      </c>
      <c r="D462">
        <v>55.965730219999998</v>
      </c>
      <c r="E462">
        <v>0.16024454899999999</v>
      </c>
      <c r="F462">
        <v>44.062584809999997</v>
      </c>
      <c r="G462">
        <v>45.16728964</v>
      </c>
      <c r="H462">
        <v>47.034929650000002</v>
      </c>
      <c r="I462">
        <v>50.718019349999999</v>
      </c>
      <c r="J462">
        <v>55.965730219999998</v>
      </c>
      <c r="K462">
        <v>63.146195839999997</v>
      </c>
      <c r="L462">
        <v>72.508248330000001</v>
      </c>
      <c r="M462">
        <v>80.441201109999994</v>
      </c>
      <c r="N462">
        <v>87.149808989999997</v>
      </c>
      <c r="O462"/>
    </row>
    <row r="463" spans="1:15" x14ac:dyDescent="0.25">
      <c r="A463">
        <v>2</v>
      </c>
      <c r="B463" s="13">
        <v>17.875</v>
      </c>
      <c r="C463">
        <v>-1.862327775</v>
      </c>
      <c r="D463">
        <v>56.053046010000003</v>
      </c>
      <c r="E463">
        <v>0.16025371399999999</v>
      </c>
      <c r="F463">
        <v>44.126788820000002</v>
      </c>
      <c r="G463">
        <v>45.233913219999998</v>
      </c>
      <c r="H463">
        <v>47.10553608</v>
      </c>
      <c r="I463">
        <v>50.796027160000001</v>
      </c>
      <c r="J463">
        <v>56.053046010000003</v>
      </c>
      <c r="K463">
        <v>63.24336091</v>
      </c>
      <c r="L463">
        <v>72.612091210000003</v>
      </c>
      <c r="M463">
        <v>80.544173349999994</v>
      </c>
      <c r="N463">
        <v>87.246665359999994</v>
      </c>
      <c r="O463"/>
    </row>
    <row r="464" spans="1:15" x14ac:dyDescent="0.25">
      <c r="A464">
        <v>2</v>
      </c>
      <c r="B464" s="13">
        <v>17.958333333333332</v>
      </c>
      <c r="C464">
        <v>-1.8572891949999999</v>
      </c>
      <c r="D464">
        <v>56.14099882</v>
      </c>
      <c r="E464">
        <v>0.16029576500000001</v>
      </c>
      <c r="F464">
        <v>44.188261619999999</v>
      </c>
      <c r="G464">
        <v>45.298168959999998</v>
      </c>
      <c r="H464">
        <v>47.174371389999997</v>
      </c>
      <c r="I464">
        <v>50.873358760000002</v>
      </c>
      <c r="J464">
        <v>56.14099882</v>
      </c>
      <c r="K464">
        <v>63.342336179999997</v>
      </c>
      <c r="L464">
        <v>72.717869960000002</v>
      </c>
      <c r="M464">
        <v>80.647661459999995</v>
      </c>
      <c r="N464">
        <v>87.341568229999993</v>
      </c>
      <c r="O464"/>
    </row>
    <row r="465" spans="1:15" x14ac:dyDescent="0.25">
      <c r="A465">
        <v>2</v>
      </c>
      <c r="B465" s="13">
        <v>18.041666666666668</v>
      </c>
      <c r="C465">
        <v>-1.8509462860000001</v>
      </c>
      <c r="D465">
        <v>56.229695640000003</v>
      </c>
      <c r="E465">
        <v>0.16036959000000001</v>
      </c>
      <c r="F465">
        <v>44.24715174</v>
      </c>
      <c r="G465">
        <v>45.36020233</v>
      </c>
      <c r="H465">
        <v>47.241575429999997</v>
      </c>
      <c r="I465">
        <v>50.950141530000003</v>
      </c>
      <c r="J465">
        <v>56.229695640000003</v>
      </c>
      <c r="K465">
        <v>63.44319934</v>
      </c>
      <c r="L465">
        <v>72.825634949999994</v>
      </c>
      <c r="M465">
        <v>80.751721680000003</v>
      </c>
      <c r="N465">
        <v>87.434618080000007</v>
      </c>
      <c r="O465"/>
    </row>
    <row r="466" spans="1:15" x14ac:dyDescent="0.25">
      <c r="A466">
        <v>2</v>
      </c>
      <c r="B466" s="13">
        <v>18.125</v>
      </c>
      <c r="C466">
        <v>-1.8433342500000001</v>
      </c>
      <c r="D466">
        <v>56.319220299999998</v>
      </c>
      <c r="E466">
        <v>0.16047392999999999</v>
      </c>
      <c r="F466">
        <v>44.303602750000003</v>
      </c>
      <c r="G466">
        <v>45.420152059999999</v>
      </c>
      <c r="H466">
        <v>47.307278359999998</v>
      </c>
      <c r="I466">
        <v>51.026487349999996</v>
      </c>
      <c r="J466">
        <v>56.319220299999998</v>
      </c>
      <c r="K466">
        <v>63.545996430000002</v>
      </c>
      <c r="L466">
        <v>72.935400369999996</v>
      </c>
      <c r="M466">
        <v>80.856380000000001</v>
      </c>
      <c r="N466">
        <v>87.525900320000005</v>
      </c>
      <c r="O466"/>
    </row>
    <row r="467" spans="1:15" x14ac:dyDescent="0.25">
      <c r="A467">
        <v>2</v>
      </c>
      <c r="B467" s="13">
        <v>18.208333333333332</v>
      </c>
      <c r="C467">
        <v>-1.834495505</v>
      </c>
      <c r="D467">
        <v>56.409631050000002</v>
      </c>
      <c r="E467">
        <v>0.160607377</v>
      </c>
      <c r="F467">
        <v>44.357751919999998</v>
      </c>
      <c r="G467">
        <v>45.478148660000002</v>
      </c>
      <c r="H467">
        <v>47.371598890000001</v>
      </c>
      <c r="I467">
        <v>51.102490549999999</v>
      </c>
      <c r="J467">
        <v>56.409631050000002</v>
      </c>
      <c r="K467">
        <v>63.650739389999998</v>
      </c>
      <c r="L467">
        <v>73.047142390000005</v>
      </c>
      <c r="M467">
        <v>80.961630979999995</v>
      </c>
      <c r="N467">
        <v>87.615484530000003</v>
      </c>
      <c r="O467"/>
    </row>
    <row r="468" spans="1:15" x14ac:dyDescent="0.25">
      <c r="A468">
        <v>2</v>
      </c>
      <c r="B468" s="13">
        <v>18.291666666666668</v>
      </c>
      <c r="C468">
        <v>-1.8244797850000001</v>
      </c>
      <c r="D468">
        <v>56.500958109999999</v>
      </c>
      <c r="E468">
        <v>0.16076837999999999</v>
      </c>
      <c r="F468">
        <v>44.409728770000001</v>
      </c>
      <c r="G468">
        <v>45.534312829999998</v>
      </c>
      <c r="H468">
        <v>47.434642510000003</v>
      </c>
      <c r="I468">
        <v>51.17822572</v>
      </c>
      <c r="J468">
        <v>56.500958109999999</v>
      </c>
      <c r="K468">
        <v>63.757403580000002</v>
      </c>
      <c r="L468">
        <v>73.160797310000007</v>
      </c>
      <c r="M468">
        <v>81.067436779999994</v>
      </c>
      <c r="N468">
        <v>87.703423880000003</v>
      </c>
      <c r="O468"/>
    </row>
    <row r="469" spans="1:15" x14ac:dyDescent="0.25">
      <c r="A469">
        <v>2</v>
      </c>
      <c r="B469" s="13">
        <v>18.375</v>
      </c>
      <c r="C469">
        <v>-1.813344222</v>
      </c>
      <c r="D469">
        <v>56.593201069999999</v>
      </c>
      <c r="E469">
        <v>0.16095524899999999</v>
      </c>
      <c r="F469">
        <v>44.459653580000001</v>
      </c>
      <c r="G469">
        <v>45.588753840000003</v>
      </c>
      <c r="H469">
        <v>47.496499579999998</v>
      </c>
      <c r="I469">
        <v>51.253745440000003</v>
      </c>
      <c r="J469">
        <v>56.593201069999999</v>
      </c>
      <c r="K469">
        <v>63.865925249999997</v>
      </c>
      <c r="L469">
        <v>73.276259820000007</v>
      </c>
      <c r="M469">
        <v>81.173726270000003</v>
      </c>
      <c r="N469">
        <v>87.789754389999999</v>
      </c>
      <c r="O469"/>
    </row>
    <row r="470" spans="1:15" x14ac:dyDescent="0.25">
      <c r="A470">
        <v>2</v>
      </c>
      <c r="B470" s="13">
        <v>18.458333333333332</v>
      </c>
      <c r="C470">
        <v>-1.8011534039999999</v>
      </c>
      <c r="D470">
        <v>56.686326190000003</v>
      </c>
      <c r="E470">
        <v>0.161166157</v>
      </c>
      <c r="F470">
        <v>44.507635809999996</v>
      </c>
      <c r="G470">
        <v>45.641567729999998</v>
      </c>
      <c r="H470">
        <v>47.557243329999999</v>
      </c>
      <c r="I470">
        <v>51.329077929999997</v>
      </c>
      <c r="J470">
        <v>56.686326190000003</v>
      </c>
      <c r="K470">
        <v>63.976198969999999</v>
      </c>
      <c r="L470">
        <v>73.393381379999994</v>
      </c>
      <c r="M470">
        <v>81.280394240000007</v>
      </c>
      <c r="N470">
        <v>87.87449436</v>
      </c>
      <c r="O470"/>
    </row>
    <row r="471" spans="1:15" x14ac:dyDescent="0.25">
      <c r="A471">
        <v>2</v>
      </c>
      <c r="B471" s="13">
        <v>18.541666666666668</v>
      </c>
      <c r="C471">
        <v>-1.787979408</v>
      </c>
      <c r="D471">
        <v>56.780263640000001</v>
      </c>
      <c r="E471">
        <v>0.16139915099999999</v>
      </c>
      <c r="F471">
        <v>44.5537724</v>
      </c>
      <c r="G471">
        <v>45.69283549</v>
      </c>
      <c r="H471">
        <v>47.616927750000002</v>
      </c>
      <c r="I471">
        <v>51.404224480000003</v>
      </c>
      <c r="J471">
        <v>56.780263640000001</v>
      </c>
      <c r="K471">
        <v>64.08807505</v>
      </c>
      <c r="L471">
        <v>73.511968569999993</v>
      </c>
      <c r="M471">
        <v>81.387300690000004</v>
      </c>
      <c r="N471">
        <v>87.957643669999996</v>
      </c>
      <c r="O471"/>
    </row>
    <row r="472" spans="1:15" x14ac:dyDescent="0.25">
      <c r="A472">
        <v>2</v>
      </c>
      <c r="B472" s="13">
        <v>18.625</v>
      </c>
      <c r="C472">
        <v>-1.773901816</v>
      </c>
      <c r="D472">
        <v>56.874904649999998</v>
      </c>
      <c r="E472">
        <v>0.16165215799999999</v>
      </c>
      <c r="F472">
        <v>44.598146</v>
      </c>
      <c r="G472">
        <v>45.74262109</v>
      </c>
      <c r="H472">
        <v>47.675585400000003</v>
      </c>
      <c r="I472">
        <v>51.479156860000003</v>
      </c>
      <c r="J472">
        <v>56.874904649999998</v>
      </c>
      <c r="K472">
        <v>64.201356970000006</v>
      </c>
      <c r="L472">
        <v>73.631781669999995</v>
      </c>
      <c r="M472">
        <v>81.494270229999998</v>
      </c>
      <c r="N472">
        <v>88.039183249999994</v>
      </c>
      <c r="O472"/>
    </row>
    <row r="473" spans="1:15" x14ac:dyDescent="0.25">
      <c r="A473">
        <v>2</v>
      </c>
      <c r="B473" s="13">
        <v>18.708333333333332</v>
      </c>
      <c r="C473">
        <v>-1.7590077040000001</v>
      </c>
      <c r="D473">
        <v>56.970098559999997</v>
      </c>
      <c r="E473">
        <v>0.16192299800000001</v>
      </c>
      <c r="F473">
        <v>44.640823070000003</v>
      </c>
      <c r="G473">
        <v>45.790969429999997</v>
      </c>
      <c r="H473">
        <v>47.733224999999997</v>
      </c>
      <c r="I473">
        <v>51.553814629999998</v>
      </c>
      <c r="J473">
        <v>56.970098559999997</v>
      </c>
      <c r="K473">
        <v>64.315798830000006</v>
      </c>
      <c r="L473">
        <v>73.752533270000001</v>
      </c>
      <c r="M473">
        <v>81.601091650000001</v>
      </c>
      <c r="N473">
        <v>88.119074380000001</v>
      </c>
      <c r="O473"/>
    </row>
    <row r="474" spans="1:15" x14ac:dyDescent="0.25">
      <c r="A474">
        <v>2</v>
      </c>
      <c r="B474" s="13">
        <v>18.791666666666668</v>
      </c>
      <c r="C474">
        <v>-1.7433916060000001</v>
      </c>
      <c r="D474">
        <v>57.065649890000003</v>
      </c>
      <c r="E474">
        <v>0.162209399</v>
      </c>
      <c r="F474">
        <v>44.68185184</v>
      </c>
      <c r="G474">
        <v>45.837904090000002</v>
      </c>
      <c r="H474">
        <v>47.789829060000002</v>
      </c>
      <c r="I474">
        <v>51.62810228</v>
      </c>
      <c r="J474">
        <v>57.065649890000003</v>
      </c>
      <c r="K474">
        <v>64.431102839999994</v>
      </c>
      <c r="L474">
        <v>73.873887010000004</v>
      </c>
      <c r="M474">
        <v>81.707517480000007</v>
      </c>
      <c r="N474">
        <v>88.197258230000003</v>
      </c>
      <c r="O474"/>
    </row>
    <row r="475" spans="1:15" x14ac:dyDescent="0.25">
      <c r="A475">
        <v>2</v>
      </c>
      <c r="B475" s="13">
        <v>18.875</v>
      </c>
      <c r="C475">
        <v>-1.7271554600000001</v>
      </c>
      <c r="D475">
        <v>57.161315279999997</v>
      </c>
      <c r="E475">
        <v>0.16250900600000001</v>
      </c>
      <c r="F475">
        <v>44.721260190000002</v>
      </c>
      <c r="G475">
        <v>45.883425039999999</v>
      </c>
      <c r="H475">
        <v>47.845351209999997</v>
      </c>
      <c r="I475">
        <v>51.701886279999997</v>
      </c>
      <c r="J475">
        <v>57.161315279999997</v>
      </c>
      <c r="K475">
        <v>64.546916780000004</v>
      </c>
      <c r="L475">
        <v>73.995456419999996</v>
      </c>
      <c r="M475">
        <v>81.813263699999993</v>
      </c>
      <c r="N475">
        <v>88.273655250000004</v>
      </c>
      <c r="O475"/>
    </row>
    <row r="476" spans="1:15" x14ac:dyDescent="0.25">
      <c r="A476">
        <v>2</v>
      </c>
      <c r="B476" s="13">
        <v>18.958333333333332</v>
      </c>
      <c r="C476">
        <v>-1.710410733</v>
      </c>
      <c r="D476">
        <v>57.256798209999999</v>
      </c>
      <c r="E476">
        <v>0.162819353</v>
      </c>
      <c r="F476">
        <v>44.75905693</v>
      </c>
      <c r="G476">
        <v>45.927509139999998</v>
      </c>
      <c r="H476">
        <v>47.89971542</v>
      </c>
      <c r="I476">
        <v>51.774992099999999</v>
      </c>
      <c r="J476">
        <v>57.256798209999999</v>
      </c>
      <c r="K476">
        <v>64.662827550000003</v>
      </c>
      <c r="L476">
        <v>74.116799950000001</v>
      </c>
      <c r="M476">
        <v>81.918008159999999</v>
      </c>
      <c r="N476">
        <v>88.348167529999998</v>
      </c>
      <c r="O476"/>
    </row>
    <row r="477" spans="1:15" x14ac:dyDescent="0.25">
      <c r="A477">
        <v>2</v>
      </c>
      <c r="B477" s="13">
        <v>19.041666666666668</v>
      </c>
      <c r="C477">
        <v>-1.693267093</v>
      </c>
      <c r="D477">
        <v>57.351757919999997</v>
      </c>
      <c r="E477">
        <v>0.163138124</v>
      </c>
      <c r="F477">
        <v>44.795212040000003</v>
      </c>
      <c r="G477">
        <v>45.970093439999999</v>
      </c>
      <c r="H477">
        <v>47.952804499999999</v>
      </c>
      <c r="I477">
        <v>51.847202019999997</v>
      </c>
      <c r="J477">
        <v>57.351757919999997</v>
      </c>
      <c r="K477">
        <v>64.778379540000003</v>
      </c>
      <c r="L477">
        <v>74.237438940000004</v>
      </c>
      <c r="M477">
        <v>82.021394639999997</v>
      </c>
      <c r="N477">
        <v>88.420660029999993</v>
      </c>
      <c r="O477"/>
    </row>
    <row r="478" spans="1:15" x14ac:dyDescent="0.25">
      <c r="A478">
        <v>2</v>
      </c>
      <c r="B478" s="13">
        <v>19.125</v>
      </c>
      <c r="C478">
        <v>-1.6758544200000001</v>
      </c>
      <c r="D478">
        <v>57.445781719999999</v>
      </c>
      <c r="E478">
        <v>0.16346271500000001</v>
      </c>
      <c r="F478">
        <v>44.829686270000003</v>
      </c>
      <c r="G478">
        <v>46.011098259999997</v>
      </c>
      <c r="H478">
        <v>48.004472440000001</v>
      </c>
      <c r="I478">
        <v>51.918248589999997</v>
      </c>
      <c r="J478">
        <v>57.445781719999999</v>
      </c>
      <c r="K478">
        <v>64.893031370000003</v>
      </c>
      <c r="L478">
        <v>74.356821049999994</v>
      </c>
      <c r="M478">
        <v>82.123027919999998</v>
      </c>
      <c r="N478">
        <v>88.491001740000002</v>
      </c>
      <c r="O478"/>
    </row>
    <row r="479" spans="1:15" x14ac:dyDescent="0.25">
      <c r="A479">
        <v>2</v>
      </c>
      <c r="B479" s="13">
        <v>19.208333333333332</v>
      </c>
      <c r="C479">
        <v>-1.6583028470000001</v>
      </c>
      <c r="D479">
        <v>57.538404290000003</v>
      </c>
      <c r="E479">
        <v>0.16379068299999999</v>
      </c>
      <c r="F479">
        <v>44.862398820000003</v>
      </c>
      <c r="G479">
        <v>46.050400549999999</v>
      </c>
      <c r="H479">
        <v>48.054527120000003</v>
      </c>
      <c r="I479">
        <v>51.987814180000001</v>
      </c>
      <c r="J479">
        <v>57.538404290000003</v>
      </c>
      <c r="K479">
        <v>65.006191610000002</v>
      </c>
      <c r="L479">
        <v>74.474354239999997</v>
      </c>
      <c r="M479">
        <v>82.222482249999999</v>
      </c>
      <c r="N479">
        <v>88.559033850000006</v>
      </c>
      <c r="O479"/>
    </row>
    <row r="480" spans="1:15" x14ac:dyDescent="0.25">
      <c r="A480">
        <v>2</v>
      </c>
      <c r="B480" s="13">
        <v>19.291666666666668</v>
      </c>
      <c r="C480">
        <v>-1.6407474639999999</v>
      </c>
      <c r="D480">
        <v>57.629100940000001</v>
      </c>
      <c r="E480">
        <v>0.16411957399999999</v>
      </c>
      <c r="F480">
        <v>44.893237939999999</v>
      </c>
      <c r="G480">
        <v>46.087842639999998</v>
      </c>
      <c r="H480">
        <v>48.102736110000002</v>
      </c>
      <c r="I480">
        <v>52.055531289999998</v>
      </c>
      <c r="J480">
        <v>57.629100940000001</v>
      </c>
      <c r="K480">
        <v>65.117204389999998</v>
      </c>
      <c r="L480">
        <v>74.589386169999997</v>
      </c>
      <c r="M480">
        <v>82.319279100000003</v>
      </c>
      <c r="N480">
        <v>88.624548720000007</v>
      </c>
      <c r="O480"/>
    </row>
    <row r="481" spans="1:15" x14ac:dyDescent="0.25">
      <c r="A481">
        <v>2</v>
      </c>
      <c r="B481" s="13">
        <v>19.375</v>
      </c>
      <c r="C481">
        <v>-1.623332891</v>
      </c>
      <c r="D481">
        <v>57.717275800000003</v>
      </c>
      <c r="E481">
        <v>0.16444699700000001</v>
      </c>
      <c r="F481">
        <v>44.922053839999997</v>
      </c>
      <c r="G481">
        <v>46.123224209999997</v>
      </c>
      <c r="H481">
        <v>48.148817090000001</v>
      </c>
      <c r="I481">
        <v>52.120970970000002</v>
      </c>
      <c r="J481">
        <v>57.717275800000003</v>
      </c>
      <c r="K481">
        <v>65.225342429999998</v>
      </c>
      <c r="L481">
        <v>74.701212810000001</v>
      </c>
      <c r="M481">
        <v>82.412916879999997</v>
      </c>
      <c r="N481">
        <v>88.687343049999996</v>
      </c>
      <c r="O481"/>
    </row>
    <row r="482" spans="1:15" x14ac:dyDescent="0.25">
      <c r="A482">
        <v>2</v>
      </c>
      <c r="B482" s="13">
        <v>19.458333333333332</v>
      </c>
      <c r="C482">
        <v>-1.6062093740000001</v>
      </c>
      <c r="D482">
        <v>57.80226553</v>
      </c>
      <c r="E482">
        <v>0.164770638</v>
      </c>
      <c r="F482">
        <v>44.94865678</v>
      </c>
      <c r="G482">
        <v>46.156301069999998</v>
      </c>
      <c r="H482">
        <v>48.192437900000002</v>
      </c>
      <c r="I482">
        <v>52.183644899999997</v>
      </c>
      <c r="J482">
        <v>57.80226553</v>
      </c>
      <c r="K482">
        <v>65.329809940000004</v>
      </c>
      <c r="L482">
        <v>74.809073650000002</v>
      </c>
      <c r="M482">
        <v>82.502853040000005</v>
      </c>
      <c r="N482">
        <v>88.747184020000006</v>
      </c>
      <c r="O482"/>
    </row>
    <row r="483" spans="1:15" x14ac:dyDescent="0.25">
      <c r="A483">
        <v>2</v>
      </c>
      <c r="B483" s="13">
        <v>19.541666666666668</v>
      </c>
      <c r="C483">
        <v>-1.5895333460000001</v>
      </c>
      <c r="D483">
        <v>57.883335019999997</v>
      </c>
      <c r="E483">
        <v>0.165088289</v>
      </c>
      <c r="F483">
        <v>44.972812789999999</v>
      </c>
      <c r="G483">
        <v>46.186780820000003</v>
      </c>
      <c r="H483">
        <v>48.233212020000003</v>
      </c>
      <c r="I483">
        <v>52.24300075</v>
      </c>
      <c r="J483">
        <v>57.883335019999997</v>
      </c>
      <c r="K483">
        <v>65.429739789999999</v>
      </c>
      <c r="L483">
        <v>74.912152160000005</v>
      </c>
      <c r="M483">
        <v>82.588508329999996</v>
      </c>
      <c r="N483">
        <v>88.80381758</v>
      </c>
      <c r="O483"/>
    </row>
    <row r="484" spans="1:15" x14ac:dyDescent="0.25">
      <c r="A484">
        <v>2</v>
      </c>
      <c r="B484" s="13">
        <v>19.625</v>
      </c>
      <c r="C484">
        <v>-1.5734672220000001</v>
      </c>
      <c r="D484">
        <v>57.959674579999998</v>
      </c>
      <c r="E484">
        <v>0.165397881</v>
      </c>
      <c r="F484">
        <v>44.994239780000001</v>
      </c>
      <c r="G484">
        <v>46.214318949999999</v>
      </c>
      <c r="H484">
        <v>48.270694749999997</v>
      </c>
      <c r="I484">
        <v>52.298418699999999</v>
      </c>
      <c r="J484">
        <v>57.959674579999998</v>
      </c>
      <c r="K484">
        <v>65.524191729999998</v>
      </c>
      <c r="L484">
        <v>75.009575179999999</v>
      </c>
      <c r="M484">
        <v>82.669266949999994</v>
      </c>
      <c r="N484">
        <v>88.856969419999999</v>
      </c>
      <c r="O484"/>
    </row>
    <row r="485" spans="1:15" x14ac:dyDescent="0.25">
      <c r="A485">
        <v>2</v>
      </c>
      <c r="B485" s="13">
        <v>19.708333333333332</v>
      </c>
      <c r="C485">
        <v>-1.5581791659999999</v>
      </c>
      <c r="D485">
        <v>58.030397299999997</v>
      </c>
      <c r="E485">
        <v>0.16569750699999999</v>
      </c>
      <c r="F485">
        <v>45.012603290000001</v>
      </c>
      <c r="G485">
        <v>46.238514770000002</v>
      </c>
      <c r="H485">
        <v>48.304379400000002</v>
      </c>
      <c r="I485">
        <v>52.349208050000001</v>
      </c>
      <c r="J485">
        <v>58.030397299999997</v>
      </c>
      <c r="K485">
        <v>65.61215061</v>
      </c>
      <c r="L485">
        <v>75.100412160000005</v>
      </c>
      <c r="M485">
        <v>82.744476779999999</v>
      </c>
      <c r="N485">
        <v>88.906346260000007</v>
      </c>
      <c r="O485"/>
    </row>
    <row r="486" spans="1:15" x14ac:dyDescent="0.25">
      <c r="A486">
        <v>2</v>
      </c>
      <c r="B486" s="13">
        <v>19.791666666666668</v>
      </c>
      <c r="C486">
        <v>-1.543846192</v>
      </c>
      <c r="D486">
        <v>58.094532090000001</v>
      </c>
      <c r="E486">
        <v>0.16598538600000001</v>
      </c>
      <c r="F486">
        <v>45.027516759999997</v>
      </c>
      <c r="G486">
        <v>46.258910700000001</v>
      </c>
      <c r="H486">
        <v>48.333695179999999</v>
      </c>
      <c r="I486">
        <v>52.394602820000003</v>
      </c>
      <c r="J486">
        <v>58.094532090000001</v>
      </c>
      <c r="K486">
        <v>65.692518210000003</v>
      </c>
      <c r="L486">
        <v>75.183669370000004</v>
      </c>
      <c r="M486">
        <v>82.81344962</v>
      </c>
      <c r="N486">
        <v>88.951644790000003</v>
      </c>
      <c r="O486"/>
    </row>
    <row r="487" spans="1:15" x14ac:dyDescent="0.25">
      <c r="A487">
        <v>2</v>
      </c>
      <c r="B487" s="13">
        <v>19.875</v>
      </c>
      <c r="C487">
        <v>-1.530642461</v>
      </c>
      <c r="D487">
        <v>58.151035749999998</v>
      </c>
      <c r="E487">
        <v>0.16626010899999999</v>
      </c>
      <c r="F487">
        <v>45.038520939999998</v>
      </c>
      <c r="G487">
        <v>46.27497563</v>
      </c>
      <c r="H487">
        <v>48.357996669999999</v>
      </c>
      <c r="I487">
        <v>52.4337619</v>
      </c>
      <c r="J487">
        <v>58.151035749999998</v>
      </c>
      <c r="K487">
        <v>65.764133459999996</v>
      </c>
      <c r="L487">
        <v>75.258306020000006</v>
      </c>
      <c r="M487">
        <v>82.875461220000005</v>
      </c>
      <c r="N487">
        <v>88.992529820000001</v>
      </c>
      <c r="O487"/>
    </row>
    <row r="488" spans="1:15" x14ac:dyDescent="0.25">
      <c r="A488">
        <v>2</v>
      </c>
      <c r="B488" s="13">
        <v>19.958333333333332</v>
      </c>
      <c r="C488">
        <v>-1.5187540129999999</v>
      </c>
      <c r="D488">
        <v>58.198771399999998</v>
      </c>
      <c r="E488">
        <v>0.16652037</v>
      </c>
      <c r="F488">
        <v>45.045099790000002</v>
      </c>
      <c r="G488">
        <v>46.28611635</v>
      </c>
      <c r="H488">
        <v>48.376568249999998</v>
      </c>
      <c r="I488">
        <v>52.46576117</v>
      </c>
      <c r="J488">
        <v>58.198771399999998</v>
      </c>
      <c r="K488">
        <v>65.825741699999995</v>
      </c>
      <c r="L488">
        <v>75.323210540000005</v>
      </c>
      <c r="M488">
        <v>82.929751789999997</v>
      </c>
      <c r="N488">
        <v>89.028668929999995</v>
      </c>
      <c r="O488"/>
    </row>
    <row r="489" spans="1:15" x14ac:dyDescent="0.25">
      <c r="A489">
        <v>2</v>
      </c>
      <c r="B489" s="13">
        <v>20</v>
      </c>
      <c r="C489">
        <v>-1.5133618499999999</v>
      </c>
      <c r="D489">
        <v>58.218972890000003</v>
      </c>
      <c r="E489">
        <v>0.16664474900000001</v>
      </c>
      <c r="F489">
        <v>45.046548219999998</v>
      </c>
      <c r="G489">
        <v>46.289633940000002</v>
      </c>
      <c r="H489">
        <v>48.383460040000003</v>
      </c>
      <c r="I489">
        <v>52.478764329999997</v>
      </c>
      <c r="J489">
        <v>58.218972890000003</v>
      </c>
      <c r="K489">
        <v>65.852379790000001</v>
      </c>
      <c r="L489">
        <v>75.351649890000004</v>
      </c>
      <c r="M489">
        <v>82.953754570000001</v>
      </c>
      <c r="N489">
        <v>89.04485133</v>
      </c>
      <c r="O489"/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B2F69-CE03-46FA-B98D-552700AFE418}">
  <sheetPr codeName="Sheet7"/>
  <dimension ref="A1:P487"/>
  <sheetViews>
    <sheetView topLeftCell="A245" workbookViewId="0">
      <selection activeCell="B5" sqref="B5"/>
    </sheetView>
  </sheetViews>
  <sheetFormatPr defaultRowHeight="13.2" x14ac:dyDescent="0.25"/>
  <cols>
    <col min="2" max="2" width="9.88671875" customWidth="1"/>
  </cols>
  <sheetData>
    <row r="1" spans="1:16" x14ac:dyDescent="0.25">
      <c r="A1" t="s">
        <v>2</v>
      </c>
      <c r="B1" t="s">
        <v>32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</row>
    <row r="2" spans="1:16" x14ac:dyDescent="0.25">
      <c r="A2">
        <v>1</v>
      </c>
      <c r="B2" s="13">
        <v>0</v>
      </c>
      <c r="C2">
        <v>1.2670042261000001</v>
      </c>
      <c r="D2">
        <v>49.988884079000002</v>
      </c>
      <c r="E2">
        <v>5.31121908E-2</v>
      </c>
      <c r="F2">
        <v>44.925097797605353</v>
      </c>
      <c r="G2">
        <v>45.568409099795254</v>
      </c>
      <c r="H2">
        <v>46.554293019128345</v>
      </c>
      <c r="I2">
        <v>48.189373814046291</v>
      </c>
      <c r="J2">
        <v>49.988884079000002</v>
      </c>
      <c r="K2">
        <v>51.771257485263149</v>
      </c>
      <c r="L2">
        <v>53.361534748953879</v>
      </c>
      <c r="M2">
        <v>54.307211971577097</v>
      </c>
      <c r="N2">
        <v>54.919004453576193</v>
      </c>
    </row>
    <row r="3" spans="1:16" x14ac:dyDescent="0.25">
      <c r="A3">
        <v>1</v>
      </c>
      <c r="B3" s="13">
        <v>4.1666666666666664E-2</v>
      </c>
      <c r="C3">
        <v>0.51123769620000004</v>
      </c>
      <c r="D3">
        <v>52.695975300999997</v>
      </c>
      <c r="E3">
        <v>4.8692683799999997E-2</v>
      </c>
      <c r="F3">
        <v>47.978123728908649</v>
      </c>
      <c r="G3">
        <v>48.558092059196404</v>
      </c>
      <c r="H3">
        <v>49.457803829563581</v>
      </c>
      <c r="I3">
        <v>50.979188894577049</v>
      </c>
      <c r="J3">
        <v>52.695975300999997</v>
      </c>
      <c r="K3">
        <v>54.440543134085253</v>
      </c>
      <c r="L3">
        <v>56.034440994428294</v>
      </c>
      <c r="M3">
        <v>56.999077373104527</v>
      </c>
      <c r="N3">
        <v>57.629843227306381</v>
      </c>
      <c r="P3" s="16"/>
    </row>
    <row r="4" spans="1:16" x14ac:dyDescent="0.25">
      <c r="A4">
        <v>1</v>
      </c>
      <c r="B4" s="13">
        <v>0.125</v>
      </c>
      <c r="C4">
        <v>-0.45224446000000001</v>
      </c>
      <c r="D4">
        <v>56.628428552000003</v>
      </c>
      <c r="E4">
        <v>4.4116830199999998E-2</v>
      </c>
      <c r="F4">
        <v>52.198594690099661</v>
      </c>
      <c r="G4">
        <v>52.726106586903313</v>
      </c>
      <c r="H4">
        <v>53.553646565979228</v>
      </c>
      <c r="I4">
        <v>54.979104409399497</v>
      </c>
      <c r="J4">
        <v>56.628428552000003</v>
      </c>
      <c r="K4">
        <v>58.350594078349701</v>
      </c>
      <c r="L4">
        <v>59.966403292770863</v>
      </c>
      <c r="M4">
        <v>60.964653791663324</v>
      </c>
      <c r="N4">
        <v>61.625914875126227</v>
      </c>
      <c r="P4" s="16"/>
    </row>
    <row r="5" spans="1:16" x14ac:dyDescent="0.25">
      <c r="A5">
        <v>1</v>
      </c>
      <c r="B5" s="13">
        <v>0.20833333333333334</v>
      </c>
      <c r="C5">
        <v>-0.99059459900000002</v>
      </c>
      <c r="D5">
        <v>59.608953427000003</v>
      </c>
      <c r="E5">
        <v>4.1795582499999998E-2</v>
      </c>
      <c r="F5">
        <v>55.263217798862705</v>
      </c>
      <c r="G5">
        <v>55.773450500641502</v>
      </c>
      <c r="H5">
        <v>56.577721448031731</v>
      </c>
      <c r="I5">
        <v>57.974398816365813</v>
      </c>
      <c r="J5">
        <v>59.608953427000003</v>
      </c>
      <c r="K5">
        <v>61.337880932010044</v>
      </c>
      <c r="L5">
        <v>62.98158100386182</v>
      </c>
      <c r="M5">
        <v>64.007885488854129</v>
      </c>
      <c r="N5">
        <v>64.692409090781325</v>
      </c>
      <c r="P5" s="16"/>
    </row>
    <row r="6" spans="1:16" x14ac:dyDescent="0.25">
      <c r="A6">
        <v>1</v>
      </c>
      <c r="B6" s="13">
        <v>0.29166666666666669</v>
      </c>
      <c r="C6">
        <v>-1.2858376890000001</v>
      </c>
      <c r="D6">
        <v>62.077000265999999</v>
      </c>
      <c r="E6">
        <v>4.0454125600000002E-2</v>
      </c>
      <c r="F6">
        <v>57.730492934740617</v>
      </c>
      <c r="G6">
        <v>58.237443394804437</v>
      </c>
      <c r="H6">
        <v>59.038302266473316</v>
      </c>
      <c r="I6">
        <v>60.434334386545721</v>
      </c>
      <c r="J6">
        <v>62.077000265999999</v>
      </c>
      <c r="K6">
        <v>63.825426040579302</v>
      </c>
      <c r="L6">
        <v>65.498580040448061</v>
      </c>
      <c r="M6">
        <v>66.548890303238935</v>
      </c>
      <c r="N6">
        <v>67.251895966465881</v>
      </c>
      <c r="P6" s="16"/>
    </row>
    <row r="7" spans="1:16" x14ac:dyDescent="0.25">
      <c r="A7">
        <v>1</v>
      </c>
      <c r="B7" s="13">
        <v>0.375</v>
      </c>
      <c r="C7">
        <v>-1.4303123799999999</v>
      </c>
      <c r="D7">
        <v>64.216864103999995</v>
      </c>
      <c r="E7">
        <v>3.9633878900000002E-2</v>
      </c>
      <c r="F7">
        <v>59.82568616226726</v>
      </c>
      <c r="G7">
        <v>60.336469051774216</v>
      </c>
      <c r="H7">
        <v>61.144096051770717</v>
      </c>
      <c r="I7">
        <v>62.554088493689818</v>
      </c>
      <c r="J7">
        <v>64.216864103999995</v>
      </c>
      <c r="K7">
        <v>65.991306628738485</v>
      </c>
      <c r="L7">
        <v>67.694047868601572</v>
      </c>
      <c r="M7">
        <v>68.765377571731932</v>
      </c>
      <c r="N7">
        <v>69.483539658140373</v>
      </c>
      <c r="P7" s="16"/>
    </row>
    <row r="8" spans="1:16" x14ac:dyDescent="0.25">
      <c r="A8">
        <v>1</v>
      </c>
      <c r="B8" s="13">
        <v>0.45833333333333331</v>
      </c>
      <c r="C8">
        <v>-1.47657547</v>
      </c>
      <c r="D8">
        <v>66.125314897999999</v>
      </c>
      <c r="E8">
        <v>3.9123812799999998E-2</v>
      </c>
      <c r="F8">
        <v>61.663837089626462</v>
      </c>
      <c r="G8">
        <v>62.18260806633846</v>
      </c>
      <c r="H8">
        <v>63.002959620743013</v>
      </c>
      <c r="I8">
        <v>64.435463383048159</v>
      </c>
      <c r="J8">
        <v>66.125314897999999</v>
      </c>
      <c r="K8">
        <v>67.9293475879754</v>
      </c>
      <c r="L8">
        <v>69.661223300843801</v>
      </c>
      <c r="M8">
        <v>70.751282989523375</v>
      </c>
      <c r="N8">
        <v>71.482182248207138</v>
      </c>
      <c r="P8" s="16"/>
    </row>
    <row r="9" spans="1:16" x14ac:dyDescent="0.25">
      <c r="A9">
        <v>1</v>
      </c>
      <c r="B9" s="13">
        <v>0.54166666666666663</v>
      </c>
      <c r="C9">
        <v>-1.456837849</v>
      </c>
      <c r="D9">
        <v>67.860179904000006</v>
      </c>
      <c r="E9">
        <v>3.8811994400000001E-2</v>
      </c>
      <c r="F9">
        <v>63.31224238885401</v>
      </c>
      <c r="G9">
        <v>63.84166130643861</v>
      </c>
      <c r="H9">
        <v>64.678536504906901</v>
      </c>
      <c r="I9">
        <v>66.138957350009832</v>
      </c>
      <c r="J9">
        <v>67.860179904000006</v>
      </c>
      <c r="K9">
        <v>69.695794702787751</v>
      </c>
      <c r="L9">
        <v>71.456091631701426</v>
      </c>
      <c r="M9">
        <v>72.563067979042629</v>
      </c>
      <c r="N9">
        <v>73.304883493437842</v>
      </c>
    </row>
    <row r="10" spans="1:16" x14ac:dyDescent="0.25">
      <c r="A10">
        <v>1</v>
      </c>
      <c r="B10" s="13">
        <v>0.625</v>
      </c>
      <c r="C10">
        <v>-1.3918987679999999</v>
      </c>
      <c r="D10">
        <v>69.459084582000003</v>
      </c>
      <c r="E10">
        <v>3.8633209100000003E-2</v>
      </c>
      <c r="F10">
        <v>64.813954198834708</v>
      </c>
      <c r="G10">
        <v>65.355838489116351</v>
      </c>
      <c r="H10">
        <v>66.211812252382757</v>
      </c>
      <c r="I10">
        <v>67.703750002986084</v>
      </c>
      <c r="J10">
        <v>69.459084582000003</v>
      </c>
      <c r="K10">
        <v>71.327353620223448</v>
      </c>
      <c r="L10">
        <v>73.115246826267054</v>
      </c>
      <c r="M10">
        <v>74.237667456552884</v>
      </c>
      <c r="N10">
        <v>74.988992819706425</v>
      </c>
    </row>
    <row r="11" spans="1:16" x14ac:dyDescent="0.25">
      <c r="A11">
        <v>1</v>
      </c>
      <c r="B11" s="13">
        <v>0.70833333333333337</v>
      </c>
      <c r="C11">
        <v>-1.29571459</v>
      </c>
      <c r="D11">
        <v>70.948039123000001</v>
      </c>
      <c r="E11">
        <v>3.85468328E-2</v>
      </c>
      <c r="F11">
        <v>66.198325697870573</v>
      </c>
      <c r="G11">
        <v>66.753979847186642</v>
      </c>
      <c r="H11">
        <v>67.630877487764891</v>
      </c>
      <c r="I11">
        <v>69.156817178293807</v>
      </c>
      <c r="J11">
        <v>70.948039123000001</v>
      </c>
      <c r="K11">
        <v>72.849470006457537</v>
      </c>
      <c r="L11">
        <v>74.664097569617269</v>
      </c>
      <c r="M11">
        <v>75.800744083243814</v>
      </c>
      <c r="N11">
        <v>76.560471121359996</v>
      </c>
    </row>
    <row r="12" spans="1:16" x14ac:dyDescent="0.25">
      <c r="A12">
        <v>1</v>
      </c>
      <c r="B12" s="13">
        <v>0.79166666666666663</v>
      </c>
      <c r="C12">
        <v>-1.1779190479999999</v>
      </c>
      <c r="D12">
        <v>72.345861108999998</v>
      </c>
      <c r="E12">
        <v>3.8526262300000003E-2</v>
      </c>
      <c r="F12">
        <v>67.486348240987056</v>
      </c>
      <c r="G12">
        <v>68.056745547791365</v>
      </c>
      <c r="H12">
        <v>68.95590629376494</v>
      </c>
      <c r="I12">
        <v>70.51760635729417</v>
      </c>
      <c r="J12">
        <v>72.345861108999998</v>
      </c>
      <c r="K12">
        <v>74.280601897828703</v>
      </c>
      <c r="L12">
        <v>76.121103800160057</v>
      </c>
      <c r="M12">
        <v>77.270952502648257</v>
      </c>
      <c r="N12">
        <v>78.038193670124357</v>
      </c>
    </row>
    <row r="13" spans="1:16" x14ac:dyDescent="0.25">
      <c r="A13">
        <v>1</v>
      </c>
      <c r="B13" s="13">
        <v>0.875</v>
      </c>
      <c r="C13">
        <v>-1.045326049</v>
      </c>
      <c r="D13">
        <v>73.666654102999999</v>
      </c>
      <c r="E13">
        <v>3.8553387000000001E-2</v>
      </c>
      <c r="F13">
        <v>68.693603040502978</v>
      </c>
      <c r="G13">
        <v>69.279492190657123</v>
      </c>
      <c r="H13">
        <v>70.201924607314837</v>
      </c>
      <c r="I13">
        <v>71.800648152464873</v>
      </c>
      <c r="J13">
        <v>73.666654102999999</v>
      </c>
      <c r="K13">
        <v>75.634618454568866</v>
      </c>
      <c r="L13">
        <v>77.500158254464168</v>
      </c>
      <c r="M13">
        <v>78.662339360672178</v>
      </c>
      <c r="N13">
        <v>79.436374982966868</v>
      </c>
    </row>
    <row r="14" spans="1:16" x14ac:dyDescent="0.25">
      <c r="A14">
        <v>1</v>
      </c>
      <c r="B14" s="13">
        <v>0.95833333333333337</v>
      </c>
      <c r="C14">
        <v>-0.90280088700000005</v>
      </c>
      <c r="D14">
        <v>74.921297174000003</v>
      </c>
      <c r="E14">
        <v>3.8615501199999999E-2</v>
      </c>
      <c r="F14">
        <v>69.832001433940945</v>
      </c>
      <c r="G14">
        <v>70.433974308649198</v>
      </c>
      <c r="H14">
        <v>71.380455465419402</v>
      </c>
      <c r="I14">
        <v>73.017118456063585</v>
      </c>
      <c r="J14">
        <v>74.921297174000003</v>
      </c>
      <c r="K14">
        <v>76.922243275740783</v>
      </c>
      <c r="L14">
        <v>78.812016966847509</v>
      </c>
      <c r="M14">
        <v>79.985782180866224</v>
      </c>
      <c r="N14">
        <v>80.76602066625145</v>
      </c>
    </row>
    <row r="15" spans="1:16" x14ac:dyDescent="0.25">
      <c r="A15">
        <v>1</v>
      </c>
      <c r="B15" s="13">
        <v>1.0416666666666667</v>
      </c>
      <c r="C15">
        <v>-0.75390810699999999</v>
      </c>
      <c r="D15">
        <v>76.118375357999994</v>
      </c>
      <c r="E15">
        <v>3.8703461100000003E-2</v>
      </c>
      <c r="F15">
        <v>70.910878237182771</v>
      </c>
      <c r="G15">
        <v>71.529412041233186</v>
      </c>
      <c r="H15">
        <v>72.50054958204953</v>
      </c>
      <c r="I15">
        <v>74.175814830099142</v>
      </c>
      <c r="J15">
        <v>76.118375357999994</v>
      </c>
      <c r="K15">
        <v>78.151958486302149</v>
      </c>
      <c r="L15">
        <v>80.065201550341783</v>
      </c>
      <c r="M15">
        <v>81.249903157893513</v>
      </c>
      <c r="N15">
        <v>82.035854738781083</v>
      </c>
    </row>
    <row r="16" spans="1:16" x14ac:dyDescent="0.25">
      <c r="A16">
        <v>1</v>
      </c>
      <c r="B16" s="13">
        <v>1.125</v>
      </c>
      <c r="C16">
        <v>-0.60126352299999997</v>
      </c>
      <c r="D16">
        <v>77.264799111000002</v>
      </c>
      <c r="E16">
        <v>3.8810557099999997E-2</v>
      </c>
      <c r="F16">
        <v>71.937697206936903</v>
      </c>
      <c r="G16">
        <v>72.573183808992027</v>
      </c>
      <c r="H16">
        <v>73.569459215762421</v>
      </c>
      <c r="I16">
        <v>75.283801891402945</v>
      </c>
      <c r="J16">
        <v>77.264799111000002</v>
      </c>
      <c r="K16">
        <v>79.330606692699646</v>
      </c>
      <c r="L16">
        <v>81.266595660305214</v>
      </c>
      <c r="M16">
        <v>82.461668647254456</v>
      </c>
      <c r="N16">
        <v>83.252924278107741</v>
      </c>
    </row>
    <row r="17" spans="1:14" x14ac:dyDescent="0.25">
      <c r="A17">
        <v>1</v>
      </c>
      <c r="B17" s="13">
        <v>1.2083333333333333</v>
      </c>
      <c r="C17">
        <v>-0.44680503900000001</v>
      </c>
      <c r="D17">
        <v>78.366223086999995</v>
      </c>
      <c r="E17">
        <v>3.8931783800000001E-2</v>
      </c>
      <c r="F17">
        <v>72.918530248955292</v>
      </c>
      <c r="G17">
        <v>73.571296311911937</v>
      </c>
      <c r="H17">
        <v>74.593094713044849</v>
      </c>
      <c r="I17">
        <v>76.346847770951484</v>
      </c>
      <c r="J17">
        <v>78.366223086999995</v>
      </c>
      <c r="K17">
        <v>80.463798923386491</v>
      </c>
      <c r="L17">
        <v>82.421851536475415</v>
      </c>
      <c r="M17">
        <v>83.626800028509862</v>
      </c>
      <c r="N17">
        <v>84.423015699161013</v>
      </c>
    </row>
    <row r="18" spans="1:14" x14ac:dyDescent="0.25">
      <c r="A18">
        <v>1</v>
      </c>
      <c r="B18" s="13">
        <v>1.2916666666666667</v>
      </c>
      <c r="C18">
        <v>-0.29197477199999999</v>
      </c>
      <c r="D18">
        <v>79.427340501000003</v>
      </c>
      <c r="E18">
        <v>3.9063356299999998E-2</v>
      </c>
      <c r="F18">
        <v>73.858390600827363</v>
      </c>
      <c r="G18">
        <v>74.52871189639967</v>
      </c>
      <c r="H18">
        <v>75.576343330631346</v>
      </c>
      <c r="I18">
        <v>77.369730041555101</v>
      </c>
      <c r="J18">
        <v>79.427340501000003</v>
      </c>
      <c r="K18">
        <v>81.55620169106426</v>
      </c>
      <c r="L18">
        <v>83.535675929103363</v>
      </c>
      <c r="M18">
        <v>84.750062409489885</v>
      </c>
      <c r="N18">
        <v>85.550947042425292</v>
      </c>
    </row>
    <row r="19" spans="1:14" x14ac:dyDescent="0.25">
      <c r="A19">
        <v>1</v>
      </c>
      <c r="B19" s="13">
        <v>1.375</v>
      </c>
      <c r="C19">
        <v>-0.13784767000000001</v>
      </c>
      <c r="D19">
        <v>80.452094919000004</v>
      </c>
      <c r="E19">
        <v>3.9202381600000002E-2</v>
      </c>
      <c r="F19">
        <v>74.761470752353262</v>
      </c>
      <c r="G19">
        <v>75.449582585613101</v>
      </c>
      <c r="H19">
        <v>76.523297536263257</v>
      </c>
      <c r="I19">
        <v>78.356455334200362</v>
      </c>
      <c r="J19">
        <v>80.452094919000004</v>
      </c>
      <c r="K19">
        <v>82.61174386834621</v>
      </c>
      <c r="L19">
        <v>84.612036375104751</v>
      </c>
      <c r="M19">
        <v>85.835473017739488</v>
      </c>
      <c r="N19">
        <v>86.640779021295529</v>
      </c>
    </row>
    <row r="20" spans="1:14" x14ac:dyDescent="0.25">
      <c r="A20">
        <v>1</v>
      </c>
      <c r="B20" s="13">
        <v>1.4583333333333333</v>
      </c>
      <c r="C20">
        <v>1.4776154999999999E-2</v>
      </c>
      <c r="D20">
        <v>81.443836034</v>
      </c>
      <c r="E20">
        <v>3.9346628500000001E-2</v>
      </c>
      <c r="F20">
        <v>75.631316453640025</v>
      </c>
      <c r="G20">
        <v>76.337421395813166</v>
      </c>
      <c r="H20">
        <v>77.437422348462761</v>
      </c>
      <c r="I20">
        <v>79.310420616712307</v>
      </c>
      <c r="J20">
        <v>81.443836034</v>
      </c>
      <c r="K20">
        <v>83.63376900118125</v>
      </c>
      <c r="L20">
        <v>85.654313146001357</v>
      </c>
      <c r="M20">
        <v>86.886454730588923</v>
      </c>
      <c r="N20">
        <v>87.695970515048515</v>
      </c>
    </row>
    <row r="21" spans="1:14" x14ac:dyDescent="0.25">
      <c r="A21">
        <v>1</v>
      </c>
      <c r="B21" s="13">
        <v>1.5416666666666667</v>
      </c>
      <c r="C21">
        <v>0.16530416910000001</v>
      </c>
      <c r="D21">
        <v>82.405436433999995</v>
      </c>
      <c r="E21">
        <v>3.9494364699999999E-2</v>
      </c>
      <c r="F21">
        <v>76.47095627901038</v>
      </c>
      <c r="G21">
        <v>77.19523001883644</v>
      </c>
      <c r="H21">
        <v>78.321680234181102</v>
      </c>
      <c r="I21">
        <v>80.234533833234792</v>
      </c>
      <c r="J21">
        <v>82.405436433999995</v>
      </c>
      <c r="K21">
        <v>84.625149679001012</v>
      </c>
      <c r="L21">
        <v>86.665413489035828</v>
      </c>
      <c r="M21">
        <v>87.905951574616239</v>
      </c>
      <c r="N21">
        <v>88.719495577573952</v>
      </c>
    </row>
    <row r="22" spans="1:14" x14ac:dyDescent="0.25">
      <c r="A22">
        <v>1</v>
      </c>
      <c r="B22" s="13">
        <v>1.625</v>
      </c>
      <c r="C22">
        <v>0.31330180860000001</v>
      </c>
      <c r="D22">
        <v>83.339380626999997</v>
      </c>
      <c r="E22">
        <v>3.9644237899999997E-2</v>
      </c>
      <c r="F22">
        <v>77.28300000897994</v>
      </c>
      <c r="G22">
        <v>78.025595839738173</v>
      </c>
      <c r="H22">
        <v>79.178626100715064</v>
      </c>
      <c r="I22">
        <v>81.131305780973804</v>
      </c>
      <c r="J22">
        <v>83.339380626999997</v>
      </c>
      <c r="K22">
        <v>85.588374792406498</v>
      </c>
      <c r="L22">
        <v>87.647858814875917</v>
      </c>
      <c r="M22">
        <v>88.896516873789707</v>
      </c>
      <c r="N22">
        <v>89.713932725716546</v>
      </c>
    </row>
    <row r="23" spans="1:14" x14ac:dyDescent="0.25">
      <c r="A23">
        <v>1</v>
      </c>
      <c r="B23" s="13">
        <v>1.7083333333333333</v>
      </c>
      <c r="C23">
        <v>0.45845547069999998</v>
      </c>
      <c r="D23">
        <v>84.247833944000007</v>
      </c>
      <c r="E23">
        <v>3.9795189100000003E-2</v>
      </c>
      <c r="F23">
        <v>78.06971428782964</v>
      </c>
      <c r="G23">
        <v>78.830766611303261</v>
      </c>
      <c r="H23">
        <v>80.010480508364267</v>
      </c>
      <c r="I23">
        <v>82.002921070121133</v>
      </c>
      <c r="J23">
        <v>84.247833944000007</v>
      </c>
      <c r="K23">
        <v>86.525617199812274</v>
      </c>
      <c r="L23">
        <v>88.603852415365708</v>
      </c>
      <c r="M23">
        <v>89.860381761665323</v>
      </c>
      <c r="N23">
        <v>90.68153435727308</v>
      </c>
    </row>
    <row r="24" spans="1:14" x14ac:dyDescent="0.25">
      <c r="A24">
        <v>1</v>
      </c>
      <c r="B24" s="13">
        <v>1.7916666666666667</v>
      </c>
      <c r="C24">
        <v>0.60054463079999998</v>
      </c>
      <c r="D24">
        <v>85.132696574999997</v>
      </c>
      <c r="E24">
        <v>3.9946387700000002E-2</v>
      </c>
      <c r="F24">
        <v>78.833081717215393</v>
      </c>
      <c r="G24">
        <v>79.612708816061044</v>
      </c>
      <c r="H24">
        <v>80.819186941472424</v>
      </c>
      <c r="I24">
        <v>82.851293705936058</v>
      </c>
      <c r="J24">
        <v>85.132696574999997</v>
      </c>
      <c r="K24">
        <v>87.438786847558831</v>
      </c>
      <c r="L24">
        <v>89.535332660837639</v>
      </c>
      <c r="M24">
        <v>90.799509012129064</v>
      </c>
      <c r="N24">
        <v>91.624281289259741</v>
      </c>
    </row>
    <row r="25" spans="1:14" x14ac:dyDescent="0.25">
      <c r="A25">
        <v>1</v>
      </c>
      <c r="B25" s="13">
        <v>1.875</v>
      </c>
      <c r="C25">
        <v>0.73943895260000003</v>
      </c>
      <c r="D25">
        <v>85.995648802999995</v>
      </c>
      <c r="E25">
        <v>4.0097180599999997E-2</v>
      </c>
      <c r="F25">
        <v>79.574845558029224</v>
      </c>
      <c r="G25">
        <v>80.373152854481901</v>
      </c>
      <c r="H25">
        <v>81.606457495283465</v>
      </c>
      <c r="I25">
        <v>83.678112960540389</v>
      </c>
      <c r="J25">
        <v>85.995648802999995</v>
      </c>
      <c r="K25">
        <v>88.329574707196727</v>
      </c>
      <c r="L25">
        <v>90.444015492445857</v>
      </c>
      <c r="M25">
        <v>91.71563467589921</v>
      </c>
      <c r="N25">
        <v>92.543923885889768</v>
      </c>
    </row>
    <row r="26" spans="1:14" x14ac:dyDescent="0.25">
      <c r="A26">
        <v>1</v>
      </c>
      <c r="B26" s="13">
        <v>2.0416666666666665</v>
      </c>
      <c r="C26">
        <v>1.0072080699999999</v>
      </c>
      <c r="D26">
        <v>86.861609340000001</v>
      </c>
      <c r="E26">
        <v>4.0395625999999997E-2</v>
      </c>
      <c r="F26">
        <v>80.260370739999999</v>
      </c>
      <c r="G26">
        <v>81.088684889999996</v>
      </c>
      <c r="H26">
        <v>82.364009890000005</v>
      </c>
      <c r="I26">
        <v>84.494705530000005</v>
      </c>
      <c r="J26">
        <v>86.861609340000001</v>
      </c>
      <c r="K26">
        <v>89.228048290000004</v>
      </c>
      <c r="L26">
        <v>91.35753004</v>
      </c>
      <c r="M26">
        <v>92.631767490000001</v>
      </c>
      <c r="N26">
        <v>93.459230289999994</v>
      </c>
    </row>
    <row r="27" spans="1:14" x14ac:dyDescent="0.25">
      <c r="A27">
        <v>1</v>
      </c>
      <c r="B27" s="13">
        <v>2.125</v>
      </c>
      <c r="C27">
        <v>0.83725135100000003</v>
      </c>
      <c r="D27">
        <v>87.65247282</v>
      </c>
      <c r="E27">
        <v>4.0577525000000003E-2</v>
      </c>
      <c r="F27">
        <v>81.005293699999996</v>
      </c>
      <c r="G27">
        <v>81.834452020000001</v>
      </c>
      <c r="H27">
        <v>83.113870640000002</v>
      </c>
      <c r="I27">
        <v>85.25887745</v>
      </c>
      <c r="J27">
        <v>87.65247282</v>
      </c>
      <c r="K27">
        <v>90.056754569999995</v>
      </c>
      <c r="L27">
        <v>92.229660539999998</v>
      </c>
      <c r="M27">
        <v>93.534066480000007</v>
      </c>
      <c r="N27">
        <v>94.38278047</v>
      </c>
    </row>
    <row r="28" spans="1:14" x14ac:dyDescent="0.25">
      <c r="A28">
        <v>1</v>
      </c>
      <c r="B28" s="13">
        <v>2.2083333333333335</v>
      </c>
      <c r="C28">
        <v>0.68149297499999995</v>
      </c>
      <c r="D28">
        <v>88.423264340000003</v>
      </c>
      <c r="E28">
        <v>4.0723122E-2</v>
      </c>
      <c r="F28">
        <v>81.734157400000001</v>
      </c>
      <c r="G28">
        <v>82.564061120000005</v>
      </c>
      <c r="H28">
        <v>83.847161510000007</v>
      </c>
      <c r="I28">
        <v>86.005173099999993</v>
      </c>
      <c r="J28">
        <v>88.423264340000003</v>
      </c>
      <c r="K28">
        <v>90.862604099999999</v>
      </c>
      <c r="L28">
        <v>93.076081630000004</v>
      </c>
      <c r="M28">
        <v>94.408849140000001</v>
      </c>
      <c r="N28">
        <v>95.277617109999994</v>
      </c>
    </row>
    <row r="29" spans="1:14" x14ac:dyDescent="0.25">
      <c r="A29">
        <v>1</v>
      </c>
      <c r="B29" s="13">
        <v>2.2916666666666665</v>
      </c>
      <c r="C29">
        <v>0.53877965400000005</v>
      </c>
      <c r="D29">
        <v>89.17549228</v>
      </c>
      <c r="E29">
        <v>4.0833194000000003E-2</v>
      </c>
      <c r="F29">
        <v>82.448456480000004</v>
      </c>
      <c r="G29">
        <v>83.278985820000003</v>
      </c>
      <c r="H29">
        <v>84.565344330000002</v>
      </c>
      <c r="I29">
        <v>86.735069449999997</v>
      </c>
      <c r="J29">
        <v>89.17549228</v>
      </c>
      <c r="K29">
        <v>91.647113529999999</v>
      </c>
      <c r="L29">
        <v>93.898271140000006</v>
      </c>
      <c r="M29">
        <v>95.257541059999994</v>
      </c>
      <c r="N29">
        <v>96.145118229999994</v>
      </c>
    </row>
    <row r="30" spans="1:14" x14ac:dyDescent="0.25">
      <c r="A30">
        <v>1</v>
      </c>
      <c r="B30" s="13">
        <v>2.375</v>
      </c>
      <c r="C30">
        <v>0.40769715299999998</v>
      </c>
      <c r="D30">
        <v>89.910408529999998</v>
      </c>
      <c r="E30">
        <v>4.0909058999999998E-2</v>
      </c>
      <c r="F30">
        <v>83.149449820000001</v>
      </c>
      <c r="G30">
        <v>83.980452619999994</v>
      </c>
      <c r="H30">
        <v>85.269619739999996</v>
      </c>
      <c r="I30">
        <v>87.449772229999994</v>
      </c>
      <c r="J30">
        <v>89.910408529999998</v>
      </c>
      <c r="K30">
        <v>92.411590290000007</v>
      </c>
      <c r="L30">
        <v>94.69757027</v>
      </c>
      <c r="M30">
        <v>96.081488480000004</v>
      </c>
      <c r="N30">
        <v>96.986625309999994</v>
      </c>
    </row>
    <row r="31" spans="1:14" x14ac:dyDescent="0.25">
      <c r="A31">
        <v>1</v>
      </c>
      <c r="B31" s="13">
        <v>2.4583333333333335</v>
      </c>
      <c r="C31">
        <v>0.28676245299999997</v>
      </c>
      <c r="D31">
        <v>90.629077620000004</v>
      </c>
      <c r="E31">
        <v>4.0952433000000003E-2</v>
      </c>
      <c r="F31">
        <v>83.838193989999994</v>
      </c>
      <c r="G31">
        <v>84.669484490000002</v>
      </c>
      <c r="H31">
        <v>85.960983310000003</v>
      </c>
      <c r="I31">
        <v>88.150284209999995</v>
      </c>
      <c r="J31">
        <v>90.629077620000004</v>
      </c>
      <c r="K31">
        <v>93.157189950000003</v>
      </c>
      <c r="L31">
        <v>95.475220829999998</v>
      </c>
      <c r="M31">
        <v>96.881979810000004</v>
      </c>
      <c r="N31">
        <v>97.803453200000007</v>
      </c>
    </row>
    <row r="32" spans="1:14" x14ac:dyDescent="0.25">
      <c r="A32">
        <v>1</v>
      </c>
      <c r="B32" s="13">
        <v>2.5416666666666665</v>
      </c>
      <c r="C32">
        <v>0.174489485</v>
      </c>
      <c r="D32">
        <v>91.332423790000007</v>
      </c>
      <c r="E32">
        <v>4.0965330000000001E-2</v>
      </c>
      <c r="F32">
        <v>84.515582769999995</v>
      </c>
      <c r="G32">
        <v>85.346943300000007</v>
      </c>
      <c r="H32">
        <v>86.640271540000001</v>
      </c>
      <c r="I32">
        <v>88.837454109999996</v>
      </c>
      <c r="J32">
        <v>91.332423790000007</v>
      </c>
      <c r="K32">
        <v>93.884955989999995</v>
      </c>
      <c r="L32">
        <v>96.23239427</v>
      </c>
      <c r="M32">
        <v>97.660266629999995</v>
      </c>
      <c r="N32">
        <v>98.596905379999995</v>
      </c>
    </row>
    <row r="33" spans="1:14" x14ac:dyDescent="0.25">
      <c r="A33">
        <v>1</v>
      </c>
      <c r="B33" s="13">
        <v>2.625</v>
      </c>
      <c r="C33">
        <v>6.9444520999999995E-2</v>
      </c>
      <c r="D33">
        <v>92.021271670000004</v>
      </c>
      <c r="E33">
        <v>4.0949975999999999E-2</v>
      </c>
      <c r="F33">
        <v>85.182380190000003</v>
      </c>
      <c r="G33">
        <v>86.013565540000002</v>
      </c>
      <c r="H33">
        <v>87.308200850000006</v>
      </c>
      <c r="I33">
        <v>89.512018600000005</v>
      </c>
      <c r="J33">
        <v>92.021271670000004</v>
      </c>
      <c r="K33">
        <v>94.595853939999998</v>
      </c>
      <c r="L33">
        <v>96.970215330000002</v>
      </c>
      <c r="M33">
        <v>98.417579099999998</v>
      </c>
      <c r="N33">
        <v>99.368283309999995</v>
      </c>
    </row>
    <row r="34" spans="1:14" x14ac:dyDescent="0.25">
      <c r="A34">
        <v>1</v>
      </c>
      <c r="B34" s="13">
        <v>2.7083333333333335</v>
      </c>
      <c r="C34">
        <v>-2.9720564000000001E-2</v>
      </c>
      <c r="D34">
        <v>92.696379460000003</v>
      </c>
      <c r="E34">
        <v>4.0908737000000001E-2</v>
      </c>
      <c r="F34">
        <v>85.839250109999995</v>
      </c>
      <c r="G34">
        <v>86.669993320000003</v>
      </c>
      <c r="H34">
        <v>87.965400549999998</v>
      </c>
      <c r="I34">
        <v>90.174636829999997</v>
      </c>
      <c r="J34">
        <v>92.696379460000003</v>
      </c>
      <c r="K34">
        <v>95.290799059999998</v>
      </c>
      <c r="L34">
        <v>97.689780970000001</v>
      </c>
      <c r="M34">
        <v>99.155137920000001</v>
      </c>
      <c r="N34">
        <v>100.1188932</v>
      </c>
    </row>
    <row r="35" spans="1:14" x14ac:dyDescent="0.25">
      <c r="A35">
        <v>1</v>
      </c>
      <c r="B35" s="13">
        <v>2.7916666666666665</v>
      </c>
      <c r="C35">
        <v>-0.124251789</v>
      </c>
      <c r="D35">
        <v>93.358465460000005</v>
      </c>
      <c r="E35">
        <v>4.0844062E-2</v>
      </c>
      <c r="F35">
        <v>86.486782759999997</v>
      </c>
      <c r="G35">
        <v>87.316801549999994</v>
      </c>
      <c r="H35">
        <v>88.612440730000003</v>
      </c>
      <c r="I35">
        <v>90.825918669999993</v>
      </c>
      <c r="J35">
        <v>93.358465460000005</v>
      </c>
      <c r="K35">
        <v>95.970678239999998</v>
      </c>
      <c r="L35">
        <v>98.392175210000005</v>
      </c>
      <c r="M35">
        <v>99.874163519999996</v>
      </c>
      <c r="N35">
        <v>100.85005080000001</v>
      </c>
    </row>
    <row r="36" spans="1:14" x14ac:dyDescent="0.25">
      <c r="A36">
        <v>1</v>
      </c>
      <c r="B36" s="13">
        <v>2.875</v>
      </c>
      <c r="C36">
        <v>-0.21528839599999999</v>
      </c>
      <c r="D36">
        <v>94.008229229999998</v>
      </c>
      <c r="E36">
        <v>4.0758430999999998E-2</v>
      </c>
      <c r="F36">
        <v>87.125518619999994</v>
      </c>
      <c r="G36">
        <v>87.954521619999994</v>
      </c>
      <c r="H36">
        <v>89.24985581</v>
      </c>
      <c r="I36">
        <v>91.466447740000007</v>
      </c>
      <c r="J36">
        <v>94.008229229999998</v>
      </c>
      <c r="K36">
        <v>96.636367269999994</v>
      </c>
      <c r="L36">
        <v>99.0784807</v>
      </c>
      <c r="M36">
        <v>100.5758831</v>
      </c>
      <c r="N36">
        <v>101.5630853</v>
      </c>
    </row>
    <row r="37" spans="1:14" x14ac:dyDescent="0.25">
      <c r="A37">
        <v>1</v>
      </c>
      <c r="B37" s="13">
        <v>2.9583333333333335</v>
      </c>
      <c r="C37">
        <v>-0.30385434</v>
      </c>
      <c r="D37">
        <v>94.646369809999996</v>
      </c>
      <c r="E37">
        <v>4.0654311999999998E-2</v>
      </c>
      <c r="F37">
        <v>87.755967990000002</v>
      </c>
      <c r="G37">
        <v>88.583661280000001</v>
      </c>
      <c r="H37">
        <v>89.878164580000004</v>
      </c>
      <c r="I37">
        <v>92.096801189999994</v>
      </c>
      <c r="J37">
        <v>94.646369809999996</v>
      </c>
      <c r="K37">
        <v>97.288745419999998</v>
      </c>
      <c r="L37">
        <v>99.749787710000007</v>
      </c>
      <c r="M37">
        <v>101.2615351</v>
      </c>
      <c r="N37">
        <v>102.2593402</v>
      </c>
    </row>
    <row r="38" spans="1:14" x14ac:dyDescent="0.25">
      <c r="A38">
        <v>1</v>
      </c>
      <c r="B38" s="13">
        <v>3.0416666666666665</v>
      </c>
      <c r="C38">
        <v>-0.39091836899999999</v>
      </c>
      <c r="D38">
        <v>95.273591060000001</v>
      </c>
      <c r="E38">
        <v>4.053412E-2</v>
      </c>
      <c r="F38">
        <v>88.378636510000007</v>
      </c>
      <c r="G38">
        <v>89.204726109999996</v>
      </c>
      <c r="H38">
        <v>90.497886489999999</v>
      </c>
      <c r="I38">
        <v>92.717559460000004</v>
      </c>
      <c r="J38">
        <v>95.273591060000001</v>
      </c>
      <c r="K38">
        <v>97.928699280000004</v>
      </c>
      <c r="L38">
        <v>100.40719919999999</v>
      </c>
      <c r="M38">
        <v>101.93237619999999</v>
      </c>
      <c r="N38">
        <v>102.94018199999999</v>
      </c>
    </row>
    <row r="39" spans="1:14" x14ac:dyDescent="0.25">
      <c r="A39">
        <v>1</v>
      </c>
      <c r="B39" s="13">
        <v>3.125</v>
      </c>
      <c r="C39">
        <v>-0.254801167</v>
      </c>
      <c r="D39">
        <v>95.914749290000003</v>
      </c>
      <c r="E39">
        <v>4.0572876000000001E-2</v>
      </c>
      <c r="F39">
        <v>88.932970859999998</v>
      </c>
      <c r="G39">
        <v>89.773011060000002</v>
      </c>
      <c r="H39">
        <v>91.086077349999996</v>
      </c>
      <c r="I39">
        <v>93.334400489999993</v>
      </c>
      <c r="J39">
        <v>95.914749290000003</v>
      </c>
      <c r="K39">
        <v>98.585245819999997</v>
      </c>
      <c r="L39">
        <v>101.0690065</v>
      </c>
      <c r="M39">
        <v>102.5930445</v>
      </c>
      <c r="N39">
        <v>103.5982668</v>
      </c>
    </row>
    <row r="40" spans="1:14" x14ac:dyDescent="0.25">
      <c r="A40">
        <v>1</v>
      </c>
      <c r="B40" s="13">
        <v>3.2083333333333335</v>
      </c>
      <c r="C40">
        <v>-0.12565453500000001</v>
      </c>
      <c r="D40">
        <v>96.547343280000007</v>
      </c>
      <c r="E40">
        <v>4.0616909999999999E-2</v>
      </c>
      <c r="F40">
        <v>89.479162939999995</v>
      </c>
      <c r="G40">
        <v>90.333058140000006</v>
      </c>
      <c r="H40">
        <v>91.665888350000003</v>
      </c>
      <c r="I40">
        <v>93.942683669999994</v>
      </c>
      <c r="J40">
        <v>96.547343280000007</v>
      </c>
      <c r="K40">
        <v>99.233577830000002</v>
      </c>
      <c r="L40">
        <v>101.7233762</v>
      </c>
      <c r="M40">
        <v>103.2470198</v>
      </c>
      <c r="N40">
        <v>104.2502776</v>
      </c>
    </row>
    <row r="41" spans="1:14" x14ac:dyDescent="0.25">
      <c r="A41">
        <v>1</v>
      </c>
      <c r="B41" s="13">
        <v>3.2916666666666665</v>
      </c>
      <c r="C41">
        <v>-3.1673500000000002E-3</v>
      </c>
      <c r="D41">
        <v>97.171913090000004</v>
      </c>
      <c r="E41">
        <v>4.0666413999999998E-2</v>
      </c>
      <c r="F41">
        <v>90.017657040000003</v>
      </c>
      <c r="G41">
        <v>90.885320309999997</v>
      </c>
      <c r="H41">
        <v>92.237788820000006</v>
      </c>
      <c r="I41">
        <v>94.542911509999996</v>
      </c>
      <c r="J41">
        <v>97.171913090000004</v>
      </c>
      <c r="K41">
        <v>99.874258620000006</v>
      </c>
      <c r="L41">
        <v>102.37086170000001</v>
      </c>
      <c r="M41">
        <v>103.8948257</v>
      </c>
      <c r="N41">
        <v>104.8967054</v>
      </c>
    </row>
    <row r="42" spans="1:14" x14ac:dyDescent="0.25">
      <c r="A42">
        <v>1</v>
      </c>
      <c r="B42" s="13">
        <v>3.375</v>
      </c>
      <c r="C42">
        <v>0.11291221</v>
      </c>
      <c r="D42">
        <v>97.788977270000004</v>
      </c>
      <c r="E42">
        <v>4.0721466999999997E-2</v>
      </c>
      <c r="F42">
        <v>90.54890623</v>
      </c>
      <c r="G42">
        <v>91.430254860000005</v>
      </c>
      <c r="H42">
        <v>92.802245970000001</v>
      </c>
      <c r="I42">
        <v>95.135574399999996</v>
      </c>
      <c r="J42">
        <v>97.788977270000004</v>
      </c>
      <c r="K42">
        <v>100.50782390000001</v>
      </c>
      <c r="L42">
        <v>103.011988</v>
      </c>
      <c r="M42">
        <v>104.5369608</v>
      </c>
      <c r="N42">
        <v>105.5380208</v>
      </c>
    </row>
    <row r="43" spans="1:14" x14ac:dyDescent="0.25">
      <c r="A43">
        <v>1</v>
      </c>
      <c r="B43" s="13">
        <v>3.4583333333333335</v>
      </c>
      <c r="C43">
        <v>0.222754969</v>
      </c>
      <c r="D43">
        <v>98.399028299999998</v>
      </c>
      <c r="E43">
        <v>4.0782045000000003E-2</v>
      </c>
      <c r="F43">
        <v>91.073374259999994</v>
      </c>
      <c r="G43">
        <v>91.968323620000007</v>
      </c>
      <c r="H43">
        <v>93.359722829999995</v>
      </c>
      <c r="I43">
        <v>95.721146360000006</v>
      </c>
      <c r="J43">
        <v>98.399028299999998</v>
      </c>
      <c r="K43">
        <v>101.13477880000001</v>
      </c>
      <c r="L43">
        <v>103.6472524</v>
      </c>
      <c r="M43">
        <v>105.17390159999999</v>
      </c>
      <c r="N43">
        <v>106.17467790000001</v>
      </c>
    </row>
    <row r="44" spans="1:14" x14ac:dyDescent="0.25">
      <c r="A44">
        <v>1</v>
      </c>
      <c r="B44" s="13">
        <v>3.5416666666666665</v>
      </c>
      <c r="C44">
        <v>0.32653012599999998</v>
      </c>
      <c r="D44">
        <v>99.002543380000006</v>
      </c>
      <c r="E44">
        <v>4.0848042000000001E-2</v>
      </c>
      <c r="F44">
        <v>91.591523679999995</v>
      </c>
      <c r="G44">
        <v>92.499985800000005</v>
      </c>
      <c r="H44">
        <v>93.910677489999998</v>
      </c>
      <c r="I44">
        <v>96.300091949999995</v>
      </c>
      <c r="J44">
        <v>99.002543380000006</v>
      </c>
      <c r="K44">
        <v>101.75560729999999</v>
      </c>
      <c r="L44">
        <v>104.2771267</v>
      </c>
      <c r="M44">
        <v>105.8060983</v>
      </c>
      <c r="N44">
        <v>106.8071048</v>
      </c>
    </row>
    <row r="45" spans="1:14" x14ac:dyDescent="0.25">
      <c r="A45">
        <v>1</v>
      </c>
      <c r="B45" s="13">
        <v>3.625</v>
      </c>
      <c r="C45">
        <v>0.42436156000000003</v>
      </c>
      <c r="D45">
        <v>99.599976999999996</v>
      </c>
      <c r="E45">
        <v>4.0919281000000002E-2</v>
      </c>
      <c r="F45">
        <v>92.103820519999999</v>
      </c>
      <c r="G45">
        <v>93.025699759999995</v>
      </c>
      <c r="H45">
        <v>94.455561090000003</v>
      </c>
      <c r="I45">
        <v>96.87286014</v>
      </c>
      <c r="J45">
        <v>99.599976999999996</v>
      </c>
      <c r="K45">
        <v>102.370767</v>
      </c>
      <c r="L45">
        <v>104.90205709999999</v>
      </c>
      <c r="M45">
        <v>106.4339786</v>
      </c>
      <c r="N45">
        <v>107.43571059999999</v>
      </c>
    </row>
    <row r="46" spans="1:14" x14ac:dyDescent="0.25">
      <c r="A46">
        <v>1</v>
      </c>
      <c r="B46" s="13">
        <v>3.7083333333333335</v>
      </c>
      <c r="C46">
        <v>0.51635310800000001</v>
      </c>
      <c r="D46">
        <v>100.19176400000001</v>
      </c>
      <c r="E46">
        <v>4.0995523999999998E-2</v>
      </c>
      <c r="F46">
        <v>92.610729500000005</v>
      </c>
      <c r="G46">
        <v>93.545919780000006</v>
      </c>
      <c r="H46">
        <v>94.994816720000003</v>
      </c>
      <c r="I46">
        <v>97.439885860000004</v>
      </c>
      <c r="J46">
        <v>100.19176400000001</v>
      </c>
      <c r="K46">
        <v>102.98069169999999</v>
      </c>
      <c r="L46">
        <v>105.52246529999999</v>
      </c>
      <c r="M46">
        <v>107.0579468</v>
      </c>
      <c r="N46">
        <v>108.0608826</v>
      </c>
    </row>
    <row r="47" spans="1:14" x14ac:dyDescent="0.25">
      <c r="A47">
        <v>1</v>
      </c>
      <c r="B47" s="13">
        <v>3.7916666666666665</v>
      </c>
      <c r="C47">
        <v>0.602595306</v>
      </c>
      <c r="D47">
        <v>100.77831980000001</v>
      </c>
      <c r="E47">
        <v>4.1076485000000003E-2</v>
      </c>
      <c r="F47">
        <v>93.112711739999995</v>
      </c>
      <c r="G47">
        <v>94.061094220000001</v>
      </c>
      <c r="H47">
        <v>95.528878149999997</v>
      </c>
      <c r="I47">
        <v>98.001589580000001</v>
      </c>
      <c r="J47">
        <v>100.77831980000001</v>
      </c>
      <c r="K47">
        <v>103.5857927</v>
      </c>
      <c r="L47">
        <v>106.1387493</v>
      </c>
      <c r="M47">
        <v>107.6783842</v>
      </c>
      <c r="N47">
        <v>108.68298660000001</v>
      </c>
    </row>
    <row r="48" spans="1:14" x14ac:dyDescent="0.25">
      <c r="A48">
        <v>1</v>
      </c>
      <c r="B48" s="13">
        <v>3.875</v>
      </c>
      <c r="C48">
        <v>0.68317076399999999</v>
      </c>
      <c r="D48">
        <v>101.3600411</v>
      </c>
      <c r="E48">
        <v>4.1161837999999999E-2</v>
      </c>
      <c r="F48">
        <v>93.610222620000002</v>
      </c>
      <c r="G48">
        <v>94.571663760000007</v>
      </c>
      <c r="H48">
        <v>96.058168679999994</v>
      </c>
      <c r="I48">
        <v>98.558377050000004</v>
      </c>
      <c r="J48">
        <v>101.3600411</v>
      </c>
      <c r="K48">
        <v>104.186459</v>
      </c>
      <c r="L48">
        <v>106.7512837</v>
      </c>
      <c r="M48">
        <v>108.2956497</v>
      </c>
      <c r="N48">
        <v>109.3023669</v>
      </c>
    </row>
    <row r="49" spans="1:14" x14ac:dyDescent="0.25">
      <c r="A49">
        <v>1</v>
      </c>
      <c r="B49" s="13">
        <v>3.9583333333333335</v>
      </c>
      <c r="C49">
        <v>0.75815840599999995</v>
      </c>
      <c r="D49">
        <v>101.9373058</v>
      </c>
      <c r="E49">
        <v>4.1251224000000003E-2</v>
      </c>
      <c r="F49">
        <v>94.103709719999998</v>
      </c>
      <c r="G49">
        <v>95.078059749999994</v>
      </c>
      <c r="H49">
        <v>96.583100079999994</v>
      </c>
      <c r="I49">
        <v>99.110638890000004</v>
      </c>
      <c r="J49">
        <v>101.9373058</v>
      </c>
      <c r="K49">
        <v>104.7830584</v>
      </c>
      <c r="L49">
        <v>107.36042070000001</v>
      </c>
      <c r="M49">
        <v>108.9100797</v>
      </c>
      <c r="N49">
        <v>109.9193463</v>
      </c>
    </row>
    <row r="50" spans="1:14" x14ac:dyDescent="0.25">
      <c r="A50">
        <v>1</v>
      </c>
      <c r="B50" s="13">
        <v>4.041666666666667</v>
      </c>
      <c r="C50">
        <v>0.82763673599999998</v>
      </c>
      <c r="D50">
        <v>102.5104735</v>
      </c>
      <c r="E50">
        <v>4.1344257000000002E-2</v>
      </c>
      <c r="F50">
        <v>94.593610929999997</v>
      </c>
      <c r="G50">
        <v>95.580702729999999</v>
      </c>
      <c r="H50">
        <v>97.104071500000003</v>
      </c>
      <c r="I50">
        <v>99.658750310000002</v>
      </c>
      <c r="J50">
        <v>102.5104735</v>
      </c>
      <c r="K50">
        <v>105.37593769999999</v>
      </c>
      <c r="L50">
        <v>107.9664906</v>
      </c>
      <c r="M50">
        <v>109.5219891</v>
      </c>
      <c r="N50">
        <v>110.5342263</v>
      </c>
    </row>
    <row r="51" spans="1:14" x14ac:dyDescent="0.25">
      <c r="A51">
        <v>1</v>
      </c>
      <c r="B51" s="13">
        <v>4.125</v>
      </c>
      <c r="C51">
        <v>0.89168630599999998</v>
      </c>
      <c r="D51">
        <v>103.07988520000001</v>
      </c>
      <c r="E51">
        <v>4.1440534000000001E-2</v>
      </c>
      <c r="F51">
        <v>95.080352629999993</v>
      </c>
      <c r="G51">
        <v>96.080000909999995</v>
      </c>
      <c r="H51">
        <v>97.621468570000005</v>
      </c>
      <c r="I51">
        <v>100.2030707</v>
      </c>
      <c r="J51">
        <v>103.07988520000001</v>
      </c>
      <c r="K51">
        <v>105.9654232</v>
      </c>
      <c r="L51">
        <v>108.569802</v>
      </c>
      <c r="M51">
        <v>110.13167129999999</v>
      </c>
      <c r="N51">
        <v>111.14728789999999</v>
      </c>
    </row>
    <row r="52" spans="1:14" x14ac:dyDescent="0.25">
      <c r="A52">
        <v>1</v>
      </c>
      <c r="B52" s="13">
        <v>4.208333333333333</v>
      </c>
      <c r="C52">
        <v>0.95039152999999998</v>
      </c>
      <c r="D52">
        <v>103.645864</v>
      </c>
      <c r="E52">
        <v>4.1539634999999998E-2</v>
      </c>
      <c r="F52">
        <v>95.564348050000007</v>
      </c>
      <c r="G52">
        <v>96.576348879999998</v>
      </c>
      <c r="H52">
        <v>98.135662460000006</v>
      </c>
      <c r="I52">
        <v>100.7439435</v>
      </c>
      <c r="J52">
        <v>103.645864</v>
      </c>
      <c r="K52">
        <v>106.55182120000001</v>
      </c>
      <c r="L52">
        <v>109.1706428</v>
      </c>
      <c r="M52">
        <v>110.7393989</v>
      </c>
      <c r="N52">
        <v>111.7587911</v>
      </c>
    </row>
    <row r="53" spans="1:14" x14ac:dyDescent="0.25">
      <c r="A53">
        <v>1</v>
      </c>
      <c r="B53" s="13">
        <v>4.291666666666667</v>
      </c>
      <c r="C53">
        <v>1.0038300060000001</v>
      </c>
      <c r="D53">
        <v>104.208713</v>
      </c>
      <c r="E53">
        <v>4.1641136000000002E-2</v>
      </c>
      <c r="F53">
        <v>96.045997479999997</v>
      </c>
      <c r="G53">
        <v>97.070127240000005</v>
      </c>
      <c r="H53">
        <v>98.647008760000006</v>
      </c>
      <c r="I53">
        <v>101.281694</v>
      </c>
      <c r="J53">
        <v>104.208713</v>
      </c>
      <c r="K53">
        <v>107.1354171</v>
      </c>
      <c r="L53">
        <v>109.76927999999999</v>
      </c>
      <c r="M53">
        <v>111.3454248</v>
      </c>
      <c r="N53">
        <v>112.3689778</v>
      </c>
    </row>
    <row r="54" spans="1:14" x14ac:dyDescent="0.25">
      <c r="A54">
        <v>1</v>
      </c>
      <c r="B54" s="13">
        <v>4.375</v>
      </c>
      <c r="C54">
        <v>1.0521356900000001</v>
      </c>
      <c r="D54">
        <v>104.7687256</v>
      </c>
      <c r="E54">
        <v>4.1744601999999999E-2</v>
      </c>
      <c r="F54">
        <v>96.525677130000005</v>
      </c>
      <c r="G54">
        <v>97.56169654</v>
      </c>
      <c r="H54">
        <v>99.155847969999996</v>
      </c>
      <c r="I54">
        <v>101.8166373</v>
      </c>
      <c r="J54">
        <v>104.7687256</v>
      </c>
      <c r="K54">
        <v>107.7164829</v>
      </c>
      <c r="L54">
        <v>110.3659614</v>
      </c>
      <c r="M54">
        <v>111.94997789999999</v>
      </c>
      <c r="N54">
        <v>112.9780622</v>
      </c>
    </row>
    <row r="55" spans="1:14" x14ac:dyDescent="0.25">
      <c r="A55">
        <v>1</v>
      </c>
      <c r="B55" s="13">
        <v>4.458333333333333</v>
      </c>
      <c r="C55">
        <v>1.0953668999999999</v>
      </c>
      <c r="D55">
        <v>105.3261638</v>
      </c>
      <c r="E55">
        <v>4.1849606999999997E-2</v>
      </c>
      <c r="F55">
        <v>97.003758329999997</v>
      </c>
      <c r="G55">
        <v>98.05140652</v>
      </c>
      <c r="H55">
        <v>99.662502029999999</v>
      </c>
      <c r="I55">
        <v>102.3490611</v>
      </c>
      <c r="J55">
        <v>105.3261638</v>
      </c>
      <c r="K55">
        <v>108.2952617</v>
      </c>
      <c r="L55">
        <v>110.96091389999999</v>
      </c>
      <c r="M55">
        <v>112.55327370000001</v>
      </c>
      <c r="N55">
        <v>113.5862516</v>
      </c>
    </row>
    <row r="56" spans="1:14" x14ac:dyDescent="0.25">
      <c r="A56">
        <v>1</v>
      </c>
      <c r="B56" s="13">
        <v>4.541666666666667</v>
      </c>
      <c r="C56">
        <v>1.133652119</v>
      </c>
      <c r="D56">
        <v>105.8812823</v>
      </c>
      <c r="E56">
        <v>4.1955723E-2</v>
      </c>
      <c r="F56">
        <v>97.480583550000006</v>
      </c>
      <c r="G56">
        <v>98.539583660000005</v>
      </c>
      <c r="H56">
        <v>100.16727659999999</v>
      </c>
      <c r="I56">
        <v>102.87924390000001</v>
      </c>
      <c r="J56">
        <v>105.8812823</v>
      </c>
      <c r="K56">
        <v>108.8719858</v>
      </c>
      <c r="L56">
        <v>111.5543461</v>
      </c>
      <c r="M56">
        <v>113.1555037</v>
      </c>
      <c r="N56">
        <v>114.1937245</v>
      </c>
    </row>
    <row r="57" spans="1:14" x14ac:dyDescent="0.25">
      <c r="A57">
        <v>1</v>
      </c>
      <c r="B57" s="13">
        <v>4.625</v>
      </c>
      <c r="C57">
        <v>1.167104213</v>
      </c>
      <c r="D57">
        <v>106.43431459999999</v>
      </c>
      <c r="E57">
        <v>4.2062532E-2</v>
      </c>
      <c r="F57">
        <v>97.956478619999999</v>
      </c>
      <c r="G57">
        <v>99.026537000000005</v>
      </c>
      <c r="H57">
        <v>100.6704587</v>
      </c>
      <c r="I57">
        <v>103.4074438</v>
      </c>
      <c r="J57">
        <v>106.43431459999999</v>
      </c>
      <c r="K57">
        <v>109.4468665</v>
      </c>
      <c r="L57">
        <v>112.14644749999999</v>
      </c>
      <c r="M57">
        <v>113.7568423</v>
      </c>
      <c r="N57">
        <v>114.80064400000001</v>
      </c>
    </row>
    <row r="58" spans="1:14" x14ac:dyDescent="0.25">
      <c r="A58">
        <v>1</v>
      </c>
      <c r="B58" s="13">
        <v>4.708333333333333</v>
      </c>
      <c r="C58">
        <v>1.1958453529999999</v>
      </c>
      <c r="D58">
        <v>106.98547689999999</v>
      </c>
      <c r="E58">
        <v>4.2169628000000001E-2</v>
      </c>
      <c r="F58">
        <v>98.431747680000001</v>
      </c>
      <c r="G58">
        <v>99.512555219999996</v>
      </c>
      <c r="H58">
        <v>101.1723164</v>
      </c>
      <c r="I58">
        <v>103.9339016</v>
      </c>
      <c r="J58">
        <v>106.98547689999999</v>
      </c>
      <c r="K58">
        <v>110.0200973</v>
      </c>
      <c r="L58">
        <v>112.7373894</v>
      </c>
      <c r="M58">
        <v>114.3574452</v>
      </c>
      <c r="N58">
        <v>115.40715489999999</v>
      </c>
    </row>
    <row r="59" spans="1:14" x14ac:dyDescent="0.25">
      <c r="A59">
        <v>1</v>
      </c>
      <c r="B59" s="13">
        <v>4.791666666666667</v>
      </c>
      <c r="C59">
        <v>1.220004233</v>
      </c>
      <c r="D59">
        <v>107.53496800000001</v>
      </c>
      <c r="E59">
        <v>4.2276619000000001E-2</v>
      </c>
      <c r="F59">
        <v>98.906672540000002</v>
      </c>
      <c r="G59">
        <v>99.997906049999997</v>
      </c>
      <c r="H59">
        <v>101.6730987</v>
      </c>
      <c r="I59">
        <v>104.4588401</v>
      </c>
      <c r="J59">
        <v>107.53496800000001</v>
      </c>
      <c r="K59">
        <v>110.59185410000001</v>
      </c>
      <c r="L59">
        <v>113.327325</v>
      </c>
      <c r="M59">
        <v>114.9574502</v>
      </c>
      <c r="N59">
        <v>116.01338370000001</v>
      </c>
    </row>
    <row r="60" spans="1:14" x14ac:dyDescent="0.25">
      <c r="A60">
        <v>1</v>
      </c>
      <c r="B60" s="13">
        <v>4.875</v>
      </c>
      <c r="C60">
        <v>1.2397158559999999</v>
      </c>
      <c r="D60">
        <v>108.0829695</v>
      </c>
      <c r="E60">
        <v>4.2383128999999999E-2</v>
      </c>
      <c r="F60">
        <v>99.381511799999998</v>
      </c>
      <c r="G60">
        <v>100.4828356</v>
      </c>
      <c r="H60">
        <v>102.17303459999999</v>
      </c>
      <c r="I60">
        <v>104.9824642</v>
      </c>
      <c r="J60">
        <v>108.0829695</v>
      </c>
      <c r="K60">
        <v>111.1622955</v>
      </c>
      <c r="L60">
        <v>113.9163901</v>
      </c>
      <c r="M60">
        <v>115.5569776</v>
      </c>
      <c r="N60">
        <v>116.61943979999999</v>
      </c>
    </row>
    <row r="61" spans="1:14" x14ac:dyDescent="0.25">
      <c r="A61">
        <v>1</v>
      </c>
      <c r="B61" s="13">
        <v>4.958333333333333</v>
      </c>
      <c r="C61">
        <v>1.255121285</v>
      </c>
      <c r="D61">
        <v>108.6296457</v>
      </c>
      <c r="E61">
        <v>4.2488803999999998E-2</v>
      </c>
      <c r="F61">
        <v>99.856500010000005</v>
      </c>
      <c r="G61">
        <v>100.9675675</v>
      </c>
      <c r="H61">
        <v>102.6723326</v>
      </c>
      <c r="I61">
        <v>105.5049607</v>
      </c>
      <c r="J61">
        <v>108.6296457</v>
      </c>
      <c r="K61">
        <v>111.73156299999999</v>
      </c>
      <c r="L61">
        <v>114.5047033</v>
      </c>
      <c r="M61">
        <v>116.1561304</v>
      </c>
      <c r="N61">
        <v>117.2254154</v>
      </c>
    </row>
    <row r="62" spans="1:14" x14ac:dyDescent="0.25">
      <c r="A62">
        <v>1</v>
      </c>
      <c r="B62" s="13">
        <v>5.041666666666667</v>
      </c>
      <c r="C62">
        <v>1.2663673980000001</v>
      </c>
      <c r="D62">
        <v>109.1751441</v>
      </c>
      <c r="E62">
        <v>4.2593311000000002E-2</v>
      </c>
      <c r="F62">
        <v>100.331847</v>
      </c>
      <c r="G62">
        <v>101.4523027</v>
      </c>
      <c r="H62">
        <v>103.171181</v>
      </c>
      <c r="I62">
        <v>106.026498</v>
      </c>
      <c r="J62">
        <v>109.1751441</v>
      </c>
      <c r="K62">
        <v>112.2997816</v>
      </c>
      <c r="L62">
        <v>115.0923665</v>
      </c>
      <c r="M62">
        <v>116.7549954</v>
      </c>
      <c r="N62">
        <v>117.83138599999999</v>
      </c>
    </row>
    <row r="63" spans="1:14" x14ac:dyDescent="0.25">
      <c r="A63">
        <v>1</v>
      </c>
      <c r="B63" s="13">
        <v>5.125</v>
      </c>
      <c r="C63">
        <v>1.273606657</v>
      </c>
      <c r="D63">
        <v>109.7195954</v>
      </c>
      <c r="E63">
        <v>4.2696341999999998E-2</v>
      </c>
      <c r="F63">
        <v>100.8077371</v>
      </c>
      <c r="G63">
        <v>101.9372185</v>
      </c>
      <c r="H63">
        <v>103.66974690000001</v>
      </c>
      <c r="I63">
        <v>106.54722649999999</v>
      </c>
      <c r="J63">
        <v>109.7195954</v>
      </c>
      <c r="K63">
        <v>112.86706</v>
      </c>
      <c r="L63">
        <v>115.67946550000001</v>
      </c>
      <c r="M63">
        <v>117.3536426</v>
      </c>
      <c r="N63">
        <v>118.43741129999999</v>
      </c>
    </row>
    <row r="64" spans="1:14" x14ac:dyDescent="0.25">
      <c r="A64">
        <v>1</v>
      </c>
      <c r="B64" s="13">
        <v>5.208333333333333</v>
      </c>
      <c r="C64">
        <v>1.276996893</v>
      </c>
      <c r="D64">
        <v>110.2631136</v>
      </c>
      <c r="E64">
        <v>4.2797614999999997E-2</v>
      </c>
      <c r="F64">
        <v>101.2843288</v>
      </c>
      <c r="G64">
        <v>102.4224687</v>
      </c>
      <c r="H64">
        <v>104.1681762</v>
      </c>
      <c r="I64">
        <v>107.0672782</v>
      </c>
      <c r="J64">
        <v>110.2631136</v>
      </c>
      <c r="K64">
        <v>113.4334909</v>
      </c>
      <c r="L64">
        <v>116.2660704</v>
      </c>
      <c r="M64">
        <v>117.9521268</v>
      </c>
      <c r="N64">
        <v>119.0435349</v>
      </c>
    </row>
    <row r="65" spans="1:14" x14ac:dyDescent="0.25">
      <c r="A65">
        <v>1</v>
      </c>
      <c r="B65" s="13">
        <v>5.291666666666667</v>
      </c>
      <c r="C65">
        <v>1.2767011189999999</v>
      </c>
      <c r="D65">
        <v>110.8057967</v>
      </c>
      <c r="E65">
        <v>4.2896877E-2</v>
      </c>
      <c r="F65">
        <v>101.7617545</v>
      </c>
      <c r="G65">
        <v>102.90818299999999</v>
      </c>
      <c r="H65">
        <v>104.66659370000001</v>
      </c>
      <c r="I65">
        <v>107.5867669</v>
      </c>
      <c r="J65">
        <v>110.8057967</v>
      </c>
      <c r="K65">
        <v>113.9991516</v>
      </c>
      <c r="L65">
        <v>116.8522359</v>
      </c>
      <c r="M65">
        <v>118.55048720000001</v>
      </c>
      <c r="N65">
        <v>119.6497853</v>
      </c>
    </row>
    <row r="66" spans="1:14" x14ac:dyDescent="0.25">
      <c r="A66">
        <v>1</v>
      </c>
      <c r="B66" s="13">
        <v>5.375</v>
      </c>
      <c r="C66">
        <v>1.272887366</v>
      </c>
      <c r="D66">
        <v>111.34772649999999</v>
      </c>
      <c r="E66">
        <v>4.2993903999999999E-2</v>
      </c>
      <c r="F66">
        <v>102.2401199</v>
      </c>
      <c r="G66">
        <v>103.3944666</v>
      </c>
      <c r="H66">
        <v>105.16510270000001</v>
      </c>
      <c r="I66">
        <v>108.1057886</v>
      </c>
      <c r="J66">
        <v>111.34772649999999</v>
      </c>
      <c r="K66">
        <v>114.56410440000001</v>
      </c>
      <c r="L66">
        <v>117.4380018</v>
      </c>
      <c r="M66">
        <v>119.1487482</v>
      </c>
      <c r="N66">
        <v>120.2561762</v>
      </c>
    </row>
    <row r="67" spans="1:14" x14ac:dyDescent="0.25">
      <c r="A67">
        <v>1</v>
      </c>
      <c r="B67" s="13">
        <v>5.458333333333333</v>
      </c>
      <c r="C67">
        <v>1.2657285359999999</v>
      </c>
      <c r="D67">
        <v>111.88896939999999</v>
      </c>
      <c r="E67">
        <v>4.3088503E-2</v>
      </c>
      <c r="F67">
        <v>102.719504</v>
      </c>
      <c r="G67">
        <v>103.88140060000001</v>
      </c>
      <c r="H67">
        <v>105.6637849</v>
      </c>
      <c r="I67">
        <v>108.62442110000001</v>
      </c>
      <c r="J67">
        <v>111.88896939999999</v>
      </c>
      <c r="K67">
        <v>115.12839700000001</v>
      </c>
      <c r="L67">
        <v>118.0233939</v>
      </c>
      <c r="M67">
        <v>119.7469201</v>
      </c>
      <c r="N67">
        <v>120.86270690000001</v>
      </c>
    </row>
    <row r="68" spans="1:14" x14ac:dyDescent="0.25">
      <c r="A68">
        <v>1</v>
      </c>
      <c r="B68" s="13">
        <v>5.541666666666667</v>
      </c>
      <c r="C68">
        <v>1.2554022810000001</v>
      </c>
      <c r="D68">
        <v>112.42957610000001</v>
      </c>
      <c r="E68">
        <v>4.3180512999999997E-2</v>
      </c>
      <c r="F68">
        <v>103.19995950000001</v>
      </c>
      <c r="G68">
        <v>104.36904180000001</v>
      </c>
      <c r="H68">
        <v>106.16270110000001</v>
      </c>
      <c r="I68">
        <v>109.14272459999999</v>
      </c>
      <c r="J68">
        <v>112.42957610000001</v>
      </c>
      <c r="K68">
        <v>115.6920629</v>
      </c>
      <c r="L68">
        <v>118.6084238</v>
      </c>
      <c r="M68">
        <v>120.3449993</v>
      </c>
      <c r="N68">
        <v>121.46936289999999</v>
      </c>
    </row>
    <row r="69" spans="1:14" x14ac:dyDescent="0.25">
      <c r="A69">
        <v>1</v>
      </c>
      <c r="B69" s="13">
        <v>5.625</v>
      </c>
      <c r="C69">
        <v>1.242090871</v>
      </c>
      <c r="D69">
        <v>112.9695827</v>
      </c>
      <c r="E69">
        <v>4.3269806000000001E-2</v>
      </c>
      <c r="F69">
        <v>103.6815122</v>
      </c>
      <c r="G69">
        <v>104.8574227</v>
      </c>
      <c r="H69">
        <v>106.6618905</v>
      </c>
      <c r="I69">
        <v>109.6607418</v>
      </c>
      <c r="J69">
        <v>112.9695827</v>
      </c>
      <c r="K69">
        <v>116.25512209999999</v>
      </c>
      <c r="L69">
        <v>119.19309029999999</v>
      </c>
      <c r="M69">
        <v>120.9429688</v>
      </c>
      <c r="N69">
        <v>122.0761162</v>
      </c>
    </row>
    <row r="70" spans="1:14" x14ac:dyDescent="0.25">
      <c r="A70">
        <v>1</v>
      </c>
      <c r="B70" s="13">
        <v>5.708333333333333</v>
      </c>
      <c r="C70">
        <v>1.225981067</v>
      </c>
      <c r="D70">
        <v>113.5090108</v>
      </c>
      <c r="E70">
        <v>4.3356287E-2</v>
      </c>
      <c r="F70">
        <v>104.164162</v>
      </c>
      <c r="G70">
        <v>105.34655189999999</v>
      </c>
      <c r="H70">
        <v>107.1613717</v>
      </c>
      <c r="I70">
        <v>110.1784984</v>
      </c>
      <c r="J70">
        <v>113.5090108</v>
      </c>
      <c r="K70">
        <v>116.81758120000001</v>
      </c>
      <c r="L70">
        <v>119.777379</v>
      </c>
      <c r="M70">
        <v>121.54079900000001</v>
      </c>
      <c r="N70">
        <v>122.68292599999999</v>
      </c>
    </row>
    <row r="71" spans="1:14" x14ac:dyDescent="0.25">
      <c r="A71">
        <v>1</v>
      </c>
      <c r="B71" s="13">
        <v>5.791666666666667</v>
      </c>
      <c r="C71">
        <v>1.2072639780000001</v>
      </c>
      <c r="D71">
        <v>114.04786780000001</v>
      </c>
      <c r="E71">
        <v>4.3439893E-2</v>
      </c>
      <c r="F71">
        <v>104.6478827</v>
      </c>
      <c r="G71">
        <v>105.8364145</v>
      </c>
      <c r="H71">
        <v>107.66114260000001</v>
      </c>
      <c r="I71">
        <v>110.6960031</v>
      </c>
      <c r="J71">
        <v>114.04786780000001</v>
      </c>
      <c r="K71">
        <v>117.3794345</v>
      </c>
      <c r="L71">
        <v>120.3612638</v>
      </c>
      <c r="M71">
        <v>122.1384479</v>
      </c>
      <c r="N71">
        <v>123.2897392</v>
      </c>
    </row>
    <row r="72" spans="1:14" x14ac:dyDescent="0.25">
      <c r="A72">
        <v>1</v>
      </c>
      <c r="B72" s="13">
        <v>5.875</v>
      </c>
      <c r="C72">
        <v>1.1861402219999999</v>
      </c>
      <c r="D72">
        <v>114.5861486</v>
      </c>
      <c r="E72">
        <v>4.3520597000000001E-2</v>
      </c>
      <c r="F72">
        <v>105.13262210000001</v>
      </c>
      <c r="G72">
        <v>106.32697210000001</v>
      </c>
      <c r="H72">
        <v>108.16118109999999</v>
      </c>
      <c r="I72">
        <v>111.21324920000001</v>
      </c>
      <c r="J72">
        <v>114.5861486</v>
      </c>
      <c r="K72">
        <v>117.94066479999999</v>
      </c>
      <c r="L72">
        <v>120.9447067</v>
      </c>
      <c r="M72">
        <v>122.7358617</v>
      </c>
      <c r="N72">
        <v>123.89648990000001</v>
      </c>
    </row>
    <row r="73" spans="1:14" x14ac:dyDescent="0.25">
      <c r="A73">
        <v>1</v>
      </c>
      <c r="B73" s="13">
        <v>5.958333333333333</v>
      </c>
      <c r="C73">
        <v>1.1627961979999999</v>
      </c>
      <c r="D73">
        <v>115.12383149999999</v>
      </c>
      <c r="E73">
        <v>4.3598406999999999E-2</v>
      </c>
      <c r="F73">
        <v>105.6183068</v>
      </c>
      <c r="G73">
        <v>106.8181654</v>
      </c>
      <c r="H73">
        <v>108.66144490000001</v>
      </c>
      <c r="I73">
        <v>111.7302112</v>
      </c>
      <c r="J73">
        <v>115.12383149999999</v>
      </c>
      <c r="K73">
        <v>118.5012409</v>
      </c>
      <c r="L73">
        <v>121.5276587</v>
      </c>
      <c r="M73">
        <v>123.3329768</v>
      </c>
      <c r="N73">
        <v>124.5031042</v>
      </c>
    </row>
    <row r="74" spans="1:14" x14ac:dyDescent="0.25">
      <c r="A74">
        <v>1</v>
      </c>
      <c r="B74" s="13">
        <v>6.041666666666667</v>
      </c>
      <c r="C74">
        <v>1.1374428679999999</v>
      </c>
      <c r="D74">
        <v>115.66088619999999</v>
      </c>
      <c r="E74">
        <v>4.3673359000000002E-2</v>
      </c>
      <c r="F74">
        <v>106.1048359</v>
      </c>
      <c r="G74">
        <v>107.30991160000001</v>
      </c>
      <c r="H74">
        <v>109.1618735</v>
      </c>
      <c r="I74">
        <v>112.2468516</v>
      </c>
      <c r="J74">
        <v>115.66088619999999</v>
      </c>
      <c r="K74">
        <v>119.0611237</v>
      </c>
      <c r="L74">
        <v>122.11006070000001</v>
      </c>
      <c r="M74">
        <v>123.9297176</v>
      </c>
      <c r="N74">
        <v>125.1094938</v>
      </c>
    </row>
    <row r="75" spans="1:14" x14ac:dyDescent="0.25">
      <c r="A75">
        <v>1</v>
      </c>
      <c r="B75" s="13">
        <v>6.125</v>
      </c>
      <c r="C75">
        <v>1.110286487</v>
      </c>
      <c r="D75">
        <v>116.1972691</v>
      </c>
      <c r="E75">
        <v>4.3745523000000001E-2</v>
      </c>
      <c r="F75">
        <v>106.59208700000001</v>
      </c>
      <c r="G75">
        <v>107.8021076</v>
      </c>
      <c r="H75">
        <v>109.6623876</v>
      </c>
      <c r="I75">
        <v>112.76311680000001</v>
      </c>
      <c r="J75">
        <v>116.1972691</v>
      </c>
      <c r="K75">
        <v>119.6202624</v>
      </c>
      <c r="L75">
        <v>122.6918435</v>
      </c>
      <c r="M75">
        <v>124.52599910000001</v>
      </c>
      <c r="N75">
        <v>125.7155618</v>
      </c>
    </row>
    <row r="76" spans="1:14" x14ac:dyDescent="0.25">
      <c r="A76">
        <v>1</v>
      </c>
      <c r="B76" s="13">
        <v>6.208333333333333</v>
      </c>
      <c r="C76">
        <v>1.081536236</v>
      </c>
      <c r="D76">
        <v>116.73292499999999</v>
      </c>
      <c r="E76">
        <v>4.3815002999999998E-2</v>
      </c>
      <c r="F76">
        <v>107.0799166</v>
      </c>
      <c r="G76">
        <v>108.2946307</v>
      </c>
      <c r="H76">
        <v>110.1628906</v>
      </c>
      <c r="I76">
        <v>113.2789389</v>
      </c>
      <c r="J76">
        <v>116.73292499999999</v>
      </c>
      <c r="K76">
        <v>120.17859679999999</v>
      </c>
      <c r="L76">
        <v>123.272929</v>
      </c>
      <c r="M76">
        <v>125.1217272</v>
      </c>
      <c r="N76">
        <v>126.32120190000001</v>
      </c>
    </row>
    <row r="77" spans="1:14" x14ac:dyDescent="0.25">
      <c r="A77">
        <v>1</v>
      </c>
      <c r="B77" s="13">
        <v>6.291666666666667</v>
      </c>
      <c r="C77">
        <v>1.05140374</v>
      </c>
      <c r="D77">
        <v>117.2677879</v>
      </c>
      <c r="E77">
        <v>4.3881929E-2</v>
      </c>
      <c r="F77">
        <v>107.5681606</v>
      </c>
      <c r="G77">
        <v>108.7873391</v>
      </c>
      <c r="H77">
        <v>110.6632694</v>
      </c>
      <c r="I77">
        <v>113.79423679999999</v>
      </c>
      <c r="J77">
        <v>117.2677879</v>
      </c>
      <c r="K77">
        <v>120.73605740000001</v>
      </c>
      <c r="L77">
        <v>123.8532304</v>
      </c>
      <c r="M77">
        <v>125.7167992</v>
      </c>
      <c r="N77">
        <v>126.926299</v>
      </c>
    </row>
    <row r="78" spans="1:14" x14ac:dyDescent="0.25">
      <c r="A78">
        <v>1</v>
      </c>
      <c r="B78" s="13">
        <v>6.375</v>
      </c>
      <c r="C78">
        <v>1.0201024970000001</v>
      </c>
      <c r="D78">
        <v>117.80178189999999</v>
      </c>
      <c r="E78">
        <v>4.3946460999999999E-2</v>
      </c>
      <c r="F78">
        <v>108.0566359</v>
      </c>
      <c r="G78">
        <v>109.2800738</v>
      </c>
      <c r="H78">
        <v>111.1633949</v>
      </c>
      <c r="I78">
        <v>114.3089166</v>
      </c>
      <c r="J78">
        <v>117.80178189999999</v>
      </c>
      <c r="K78">
        <v>121.2925663</v>
      </c>
      <c r="L78">
        <v>124.4326533</v>
      </c>
      <c r="M78">
        <v>126.3111047</v>
      </c>
      <c r="N78">
        <v>127.5307299</v>
      </c>
    </row>
    <row r="79" spans="1:14" x14ac:dyDescent="0.25">
      <c r="A79">
        <v>1</v>
      </c>
      <c r="B79" s="13">
        <v>6.458333333333333</v>
      </c>
      <c r="C79">
        <v>0.987847213</v>
      </c>
      <c r="D79">
        <v>118.3348215</v>
      </c>
      <c r="E79">
        <v>4.4008785000000002E-2</v>
      </c>
      <c r="F79">
        <v>108.54514229999999</v>
      </c>
      <c r="G79">
        <v>109.7726591</v>
      </c>
      <c r="H79">
        <v>111.6631239</v>
      </c>
      <c r="I79">
        <v>114.8228726</v>
      </c>
      <c r="J79">
        <v>118.3348215</v>
      </c>
      <c r="K79">
        <v>121.8480376</v>
      </c>
      <c r="L79">
        <v>125.0110959</v>
      </c>
      <c r="M79">
        <v>126.9045258</v>
      </c>
      <c r="N79">
        <v>128.13436400000001</v>
      </c>
    </row>
    <row r="80" spans="1:14" x14ac:dyDescent="0.25">
      <c r="A80">
        <v>1</v>
      </c>
      <c r="B80" s="13">
        <v>6.541666666666667</v>
      </c>
      <c r="C80">
        <v>0.95485304299999996</v>
      </c>
      <c r="D80">
        <v>118.86681230000001</v>
      </c>
      <c r="E80">
        <v>4.4069112000000001E-2</v>
      </c>
      <c r="F80">
        <v>109.0334636</v>
      </c>
      <c r="G80">
        <v>110.2649049</v>
      </c>
      <c r="H80">
        <v>112.1622995</v>
      </c>
      <c r="I80">
        <v>115.335988</v>
      </c>
      <c r="J80">
        <v>118.86681230000001</v>
      </c>
      <c r="K80">
        <v>122.40237860000001</v>
      </c>
      <c r="L80">
        <v>125.5884499</v>
      </c>
      <c r="M80">
        <v>127.4969382</v>
      </c>
      <c r="N80">
        <v>128.737064</v>
      </c>
    </row>
    <row r="81" spans="1:14" x14ac:dyDescent="0.25">
      <c r="A81">
        <v>1</v>
      </c>
      <c r="B81" s="13">
        <v>6.625</v>
      </c>
      <c r="C81">
        <v>0.92133474199999998</v>
      </c>
      <c r="D81">
        <v>119.39765199999999</v>
      </c>
      <c r="E81">
        <v>4.4127674999999998E-2</v>
      </c>
      <c r="F81">
        <v>109.52136950000001</v>
      </c>
      <c r="G81">
        <v>110.7566073</v>
      </c>
      <c r="H81">
        <v>112.6607528</v>
      </c>
      <c r="I81">
        <v>115.84813579999999</v>
      </c>
      <c r="J81">
        <v>119.39765199999999</v>
      </c>
      <c r="K81">
        <v>122.9554895</v>
      </c>
      <c r="L81">
        <v>126.16460120000001</v>
      </c>
      <c r="M81">
        <v>128.0882119</v>
      </c>
      <c r="N81">
        <v>129.33868659999999</v>
      </c>
    </row>
    <row r="82" spans="1:14" x14ac:dyDescent="0.25">
      <c r="A82">
        <v>1</v>
      </c>
      <c r="B82" s="13">
        <v>6.708333333333333</v>
      </c>
      <c r="C82">
        <v>0.88750572299999997</v>
      </c>
      <c r="D82">
        <v>119.9272309</v>
      </c>
      <c r="E82">
        <v>4.4184725000000001E-2</v>
      </c>
      <c r="F82">
        <v>110.00861740000001</v>
      </c>
      <c r="G82">
        <v>111.247551</v>
      </c>
      <c r="H82">
        <v>113.158304</v>
      </c>
      <c r="I82">
        <v>116.3591802</v>
      </c>
      <c r="J82">
        <v>119.9272309</v>
      </c>
      <c r="K82">
        <v>123.50726520000001</v>
      </c>
      <c r="L82">
        <v>126.73943060000001</v>
      </c>
      <c r="M82">
        <v>128.6782115</v>
      </c>
      <c r="N82">
        <v>129.93908339999999</v>
      </c>
    </row>
    <row r="83" spans="1:14" x14ac:dyDescent="0.25">
      <c r="A83">
        <v>1</v>
      </c>
      <c r="B83" s="13">
        <v>6.791666666666667</v>
      </c>
      <c r="C83">
        <v>0.85357702999999996</v>
      </c>
      <c r="D83">
        <v>120.455433</v>
      </c>
      <c r="E83">
        <v>4.4240531999999999E-2</v>
      </c>
      <c r="F83">
        <v>110.49495450000001</v>
      </c>
      <c r="G83">
        <v>111.73751040000001</v>
      </c>
      <c r="H83">
        <v>113.654764</v>
      </c>
      <c r="I83">
        <v>116.86897690000001</v>
      </c>
      <c r="J83">
        <v>120.455433</v>
      </c>
      <c r="K83">
        <v>124.05759500000001</v>
      </c>
      <c r="L83">
        <v>127.3128143</v>
      </c>
      <c r="M83">
        <v>129.26679770000001</v>
      </c>
      <c r="N83">
        <v>130.53810150000001</v>
      </c>
    </row>
    <row r="84" spans="1:14" x14ac:dyDescent="0.25">
      <c r="A84">
        <v>1</v>
      </c>
      <c r="B84" s="13">
        <v>6.875</v>
      </c>
      <c r="C84">
        <v>0.81975623900000005</v>
      </c>
      <c r="D84">
        <v>120.9821362</v>
      </c>
      <c r="E84">
        <v>4.4295379000000003E-2</v>
      </c>
      <c r="F84">
        <v>110.9801192</v>
      </c>
      <c r="G84">
        <v>112.2262515</v>
      </c>
      <c r="H84">
        <v>114.1499353</v>
      </c>
      <c r="I84">
        <v>117.3773747</v>
      </c>
      <c r="J84">
        <v>120.9821362</v>
      </c>
      <c r="K84">
        <v>124.6063638</v>
      </c>
      <c r="L84">
        <v>127.88462490000001</v>
      </c>
      <c r="M84">
        <v>129.85382720000001</v>
      </c>
      <c r="N84">
        <v>131.1355844</v>
      </c>
    </row>
    <row r="85" spans="1:14" x14ac:dyDescent="0.25">
      <c r="A85">
        <v>1</v>
      </c>
      <c r="B85" s="13">
        <v>6.958333333333333</v>
      </c>
      <c r="C85">
        <v>0.78624629599999996</v>
      </c>
      <c r="D85">
        <v>121.5072136</v>
      </c>
      <c r="E85">
        <v>4.4349558999999997E-2</v>
      </c>
      <c r="F85">
        <v>111.4638437</v>
      </c>
      <c r="G85">
        <v>112.71353379999999</v>
      </c>
      <c r="H85">
        <v>114.64361409999999</v>
      </c>
      <c r="I85">
        <v>117.8842164</v>
      </c>
      <c r="J85">
        <v>121.5072136</v>
      </c>
      <c r="K85">
        <v>125.1534527</v>
      </c>
      <c r="L85">
        <v>128.4547316</v>
      </c>
      <c r="M85">
        <v>130.43915419999999</v>
      </c>
      <c r="N85">
        <v>131.7313729</v>
      </c>
    </row>
    <row r="86" spans="1:14" x14ac:dyDescent="0.25">
      <c r="A86">
        <v>1</v>
      </c>
      <c r="B86" s="13">
        <v>7.041666666666667</v>
      </c>
      <c r="C86">
        <v>0.75324429199999998</v>
      </c>
      <c r="D86">
        <v>122.03053420000001</v>
      </c>
      <c r="E86">
        <v>4.4403374000000002E-2</v>
      </c>
      <c r="F86">
        <v>111.9458554</v>
      </c>
      <c r="G86">
        <v>113.1991118</v>
      </c>
      <c r="H86">
        <v>115.1355915</v>
      </c>
      <c r="I86">
        <v>118.38933969999999</v>
      </c>
      <c r="J86">
        <v>122.03053420000001</v>
      </c>
      <c r="K86">
        <v>125.6987395</v>
      </c>
      <c r="L86">
        <v>129.02300149999999</v>
      </c>
      <c r="M86">
        <v>131.0226304</v>
      </c>
      <c r="N86">
        <v>132.3253057</v>
      </c>
    </row>
    <row r="87" spans="1:14" x14ac:dyDescent="0.25">
      <c r="A87">
        <v>1</v>
      </c>
      <c r="B87" s="13">
        <v>7.125</v>
      </c>
      <c r="C87">
        <v>0.72094022199999996</v>
      </c>
      <c r="D87">
        <v>122.55196340000001</v>
      </c>
      <c r="E87">
        <v>4.4457129999999997E-2</v>
      </c>
      <c r="F87">
        <v>112.4258796</v>
      </c>
      <c r="G87">
        <v>113.6827373</v>
      </c>
      <c r="H87">
        <v>115.62565499999999</v>
      </c>
      <c r="I87">
        <v>118.8925788</v>
      </c>
      <c r="J87">
        <v>122.55196340000001</v>
      </c>
      <c r="K87">
        <v>126.2420996</v>
      </c>
      <c r="L87">
        <v>129.58929989999999</v>
      </c>
      <c r="M87">
        <v>131.60410669999999</v>
      </c>
      <c r="N87">
        <v>132.91722050000001</v>
      </c>
    </row>
    <row r="88" spans="1:14" x14ac:dyDescent="0.25">
      <c r="A88">
        <v>1</v>
      </c>
      <c r="B88" s="13">
        <v>7.208333333333333</v>
      </c>
      <c r="C88">
        <v>0.68951570799999995</v>
      </c>
      <c r="D88">
        <v>123.0713645</v>
      </c>
      <c r="E88">
        <v>4.4511135E-2</v>
      </c>
      <c r="F88">
        <v>112.9036412</v>
      </c>
      <c r="G88">
        <v>114.1641607</v>
      </c>
      <c r="H88">
        <v>116.11359040000001</v>
      </c>
      <c r="I88">
        <v>119.3937653</v>
      </c>
      <c r="J88">
        <v>123.0713645</v>
      </c>
      <c r="K88">
        <v>126.7834065</v>
      </c>
      <c r="L88">
        <v>130.153491</v>
      </c>
      <c r="M88">
        <v>132.18343300000001</v>
      </c>
      <c r="N88">
        <v>133.50695479999999</v>
      </c>
    </row>
    <row r="89" spans="1:14" x14ac:dyDescent="0.25">
      <c r="A89">
        <v>1</v>
      </c>
      <c r="B89" s="13">
        <v>7.291666666666667</v>
      </c>
      <c r="C89">
        <v>0.65914273099999998</v>
      </c>
      <c r="D89">
        <v>123.588599</v>
      </c>
      <c r="E89">
        <v>4.4565693000000003E-2</v>
      </c>
      <c r="F89">
        <v>113.37886640000001</v>
      </c>
      <c r="G89">
        <v>114.6431334</v>
      </c>
      <c r="H89">
        <v>116.5991827</v>
      </c>
      <c r="I89">
        <v>119.89272920000001</v>
      </c>
      <c r="J89">
        <v>123.588599</v>
      </c>
      <c r="K89">
        <v>127.3225327</v>
      </c>
      <c r="L89">
        <v>130.71543890000001</v>
      </c>
      <c r="M89">
        <v>132.7604599</v>
      </c>
      <c r="N89">
        <v>134.09434669999999</v>
      </c>
    </row>
    <row r="90" spans="1:14" x14ac:dyDescent="0.25">
      <c r="A90">
        <v>1</v>
      </c>
      <c r="B90" s="13">
        <v>7.375</v>
      </c>
      <c r="C90">
        <v>0.629997853</v>
      </c>
      <c r="D90">
        <v>124.10353120000001</v>
      </c>
      <c r="E90">
        <v>4.4621104000000002E-2</v>
      </c>
      <c r="F90">
        <v>113.8512827</v>
      </c>
      <c r="G90">
        <v>115.1194078</v>
      </c>
      <c r="H90">
        <v>117.0822191</v>
      </c>
      <c r="I90">
        <v>120.3893032</v>
      </c>
      <c r="J90">
        <v>124.10353120000001</v>
      </c>
      <c r="K90">
        <v>127.8593529</v>
      </c>
      <c r="L90">
        <v>131.2750083</v>
      </c>
      <c r="M90">
        <v>133.335037</v>
      </c>
      <c r="N90">
        <v>134.67923210000001</v>
      </c>
    </row>
    <row r="91" spans="1:14" x14ac:dyDescent="0.25">
      <c r="A91">
        <v>1</v>
      </c>
      <c r="B91" s="13">
        <v>7.458333333333333</v>
      </c>
      <c r="C91">
        <v>0.60220398399999997</v>
      </c>
      <c r="D91">
        <v>124.6160161</v>
      </c>
      <c r="E91">
        <v>4.4677662E-2</v>
      </c>
      <c r="F91">
        <v>114.3206308</v>
      </c>
      <c r="G91">
        <v>115.5927447</v>
      </c>
      <c r="H91">
        <v>117.562488</v>
      </c>
      <c r="I91">
        <v>120.8833137</v>
      </c>
      <c r="J91">
        <v>124.6160161</v>
      </c>
      <c r="K91">
        <v>128.39373499999999</v>
      </c>
      <c r="L91">
        <v>131.83206430000001</v>
      </c>
      <c r="M91">
        <v>133.90702060000001</v>
      </c>
      <c r="N91">
        <v>135.2614591</v>
      </c>
    </row>
    <row r="92" spans="1:14" x14ac:dyDescent="0.25">
      <c r="A92">
        <v>1</v>
      </c>
      <c r="B92" s="13">
        <v>7.541666666666667</v>
      </c>
      <c r="C92">
        <v>0.57590803800000001</v>
      </c>
      <c r="D92">
        <v>125.1259182</v>
      </c>
      <c r="E92">
        <v>4.4735645999999997E-2</v>
      </c>
      <c r="F92">
        <v>114.78665220000001</v>
      </c>
      <c r="G92">
        <v>116.0629074</v>
      </c>
      <c r="H92">
        <v>118.0397834</v>
      </c>
      <c r="I92">
        <v>121.37459560000001</v>
      </c>
      <c r="J92">
        <v>125.1259182</v>
      </c>
      <c r="K92">
        <v>128.92555429999999</v>
      </c>
      <c r="L92">
        <v>132.38647449999999</v>
      </c>
      <c r="M92">
        <v>134.47626550000001</v>
      </c>
      <c r="N92">
        <v>135.8408704</v>
      </c>
    </row>
    <row r="93" spans="1:14" x14ac:dyDescent="0.25">
      <c r="A93">
        <v>1</v>
      </c>
      <c r="B93" s="13">
        <v>7.625</v>
      </c>
      <c r="C93">
        <v>0.55123133999999996</v>
      </c>
      <c r="D93">
        <v>125.6331012</v>
      </c>
      <c r="E93">
        <v>4.4795321999999999E-2</v>
      </c>
      <c r="F93">
        <v>115.24910010000001</v>
      </c>
      <c r="G93">
        <v>116.52966859999999</v>
      </c>
      <c r="H93">
        <v>118.5139049</v>
      </c>
      <c r="I93">
        <v>121.86298549999999</v>
      </c>
      <c r="J93">
        <v>125.6331012</v>
      </c>
      <c r="K93">
        <v>129.45468579999999</v>
      </c>
      <c r="L93">
        <v>132.9381089</v>
      </c>
      <c r="M93">
        <v>135.04263119999999</v>
      </c>
      <c r="N93">
        <v>136.41731559999999</v>
      </c>
    </row>
    <row r="94" spans="1:14" x14ac:dyDescent="0.25">
      <c r="A94">
        <v>1</v>
      </c>
      <c r="B94" s="13">
        <v>7.708333333333333</v>
      </c>
      <c r="C94">
        <v>0.528279901</v>
      </c>
      <c r="D94">
        <v>126.1374319</v>
      </c>
      <c r="E94">
        <v>4.4856940999999997E-2</v>
      </c>
      <c r="F94">
        <v>115.7077388</v>
      </c>
      <c r="G94">
        <v>116.9928104</v>
      </c>
      <c r="H94">
        <v>118.9846594</v>
      </c>
      <c r="I94">
        <v>122.3483243</v>
      </c>
      <c r="J94">
        <v>126.1374319</v>
      </c>
      <c r="K94">
        <v>129.9810071</v>
      </c>
      <c r="L94">
        <v>133.48684069999999</v>
      </c>
      <c r="M94">
        <v>135.60598150000001</v>
      </c>
      <c r="N94">
        <v>136.9906494</v>
      </c>
    </row>
    <row r="95" spans="1:14" x14ac:dyDescent="0.25">
      <c r="A95">
        <v>1</v>
      </c>
      <c r="B95" s="13">
        <v>7.791666666666667</v>
      </c>
      <c r="C95">
        <v>0.50714357600000004</v>
      </c>
      <c r="D95">
        <v>126.6387804</v>
      </c>
      <c r="E95">
        <v>4.4920729999999999E-2</v>
      </c>
      <c r="F95">
        <v>116.16234609999999</v>
      </c>
      <c r="G95">
        <v>117.4521263</v>
      </c>
      <c r="H95">
        <v>119.45186270000001</v>
      </c>
      <c r="I95">
        <v>122.8304588</v>
      </c>
      <c r="J95">
        <v>126.6387804</v>
      </c>
      <c r="K95">
        <v>130.50439900000001</v>
      </c>
      <c r="L95">
        <v>134.0325473</v>
      </c>
      <c r="M95">
        <v>136.1661852</v>
      </c>
      <c r="N95">
        <v>137.56073240000001</v>
      </c>
    </row>
    <row r="96" spans="1:14" x14ac:dyDescent="0.25">
      <c r="A96">
        <v>1</v>
      </c>
      <c r="B96" s="13">
        <v>7.875</v>
      </c>
      <c r="C96">
        <v>0.48789534400000001</v>
      </c>
      <c r="D96">
        <v>127.13702170000001</v>
      </c>
      <c r="E96">
        <v>4.4986898999999997E-2</v>
      </c>
      <c r="F96">
        <v>116.6127146</v>
      </c>
      <c r="G96">
        <v>117.9074226</v>
      </c>
      <c r="H96">
        <v>119.9153408</v>
      </c>
      <c r="I96">
        <v>123.3092425</v>
      </c>
      <c r="J96">
        <v>127.13702170000001</v>
      </c>
      <c r="K96">
        <v>131.02474599999999</v>
      </c>
      <c r="L96">
        <v>134.5751108</v>
      </c>
      <c r="M96">
        <v>136.72311730000001</v>
      </c>
      <c r="N96">
        <v>138.12743230000001</v>
      </c>
    </row>
    <row r="97" spans="1:14" x14ac:dyDescent="0.25">
      <c r="A97">
        <v>1</v>
      </c>
      <c r="B97" s="13">
        <v>7.958333333333333</v>
      </c>
      <c r="C97">
        <v>0.47059075299999997</v>
      </c>
      <c r="D97">
        <v>127.6320362</v>
      </c>
      <c r="E97">
        <v>4.5055631999999998E-2</v>
      </c>
      <c r="F97">
        <v>117.0586529</v>
      </c>
      <c r="G97">
        <v>118.35852010000001</v>
      </c>
      <c r="H97">
        <v>120.3749315</v>
      </c>
      <c r="I97">
        <v>123.784537</v>
      </c>
      <c r="J97">
        <v>127.6320362</v>
      </c>
      <c r="K97">
        <v>131.54193749999999</v>
      </c>
      <c r="L97">
        <v>135.11441880000001</v>
      </c>
      <c r="M97">
        <v>137.27665920000001</v>
      </c>
      <c r="N97">
        <v>138.69062450000001</v>
      </c>
    </row>
    <row r="98" spans="1:14" x14ac:dyDescent="0.25">
      <c r="A98">
        <v>1</v>
      </c>
      <c r="B98" s="13">
        <v>8.0416666666666661</v>
      </c>
      <c r="C98">
        <v>0.45526750700000002</v>
      </c>
      <c r="D98">
        <v>128.12371039999999</v>
      </c>
      <c r="E98">
        <v>4.5127088000000003E-2</v>
      </c>
      <c r="F98">
        <v>117.49998789999999</v>
      </c>
      <c r="G98">
        <v>118.8052553</v>
      </c>
      <c r="H98">
        <v>120.830485</v>
      </c>
      <c r="I98">
        <v>124.25621270000001</v>
      </c>
      <c r="J98">
        <v>128.12371039999999</v>
      </c>
      <c r="K98">
        <v>132.05586840000001</v>
      </c>
      <c r="L98">
        <v>135.65036520000001</v>
      </c>
      <c r="M98">
        <v>137.82670010000001</v>
      </c>
      <c r="N98">
        <v>139.2501934</v>
      </c>
    </row>
    <row r="99" spans="1:14" x14ac:dyDescent="0.25">
      <c r="A99">
        <v>1</v>
      </c>
      <c r="B99" s="13">
        <v>8.125</v>
      </c>
      <c r="C99">
        <v>0.44194524099999999</v>
      </c>
      <c r="D99">
        <v>128.61193829999999</v>
      </c>
      <c r="E99">
        <v>4.5201399000000003E-2</v>
      </c>
      <c r="F99">
        <v>117.9365657</v>
      </c>
      <c r="G99">
        <v>119.2474816</v>
      </c>
      <c r="H99">
        <v>121.28186599999999</v>
      </c>
      <c r="I99">
        <v>124.7241502</v>
      </c>
      <c r="J99">
        <v>128.61193829999999</v>
      </c>
      <c r="K99">
        <v>132.56643969999999</v>
      </c>
      <c r="L99">
        <v>136.18285109999999</v>
      </c>
      <c r="M99">
        <v>138.37313760000001</v>
      </c>
      <c r="N99">
        <v>139.80603249999999</v>
      </c>
    </row>
    <row r="100" spans="1:14" x14ac:dyDescent="0.25">
      <c r="A100">
        <v>1</v>
      </c>
      <c r="B100" s="13">
        <v>8.2083333333333339</v>
      </c>
      <c r="C100">
        <v>0.43062545800000002</v>
      </c>
      <c r="D100">
        <v>129.096622</v>
      </c>
      <c r="E100">
        <v>4.5278671E-2</v>
      </c>
      <c r="F100">
        <v>118.36825260000001</v>
      </c>
      <c r="G100">
        <v>119.6850711</v>
      </c>
      <c r="H100">
        <v>121.7289543</v>
      </c>
      <c r="I100">
        <v>125.18824119999999</v>
      </c>
      <c r="J100">
        <v>129.096622</v>
      </c>
      <c r="K100">
        <v>133.07355949999999</v>
      </c>
      <c r="L100">
        <v>136.7117853</v>
      </c>
      <c r="M100">
        <v>138.91587849999999</v>
      </c>
      <c r="N100">
        <v>140.35804619999999</v>
      </c>
    </row>
    <row r="101" spans="1:14" x14ac:dyDescent="0.25">
      <c r="A101">
        <v>1</v>
      </c>
      <c r="B101" s="13">
        <v>8.2916666666666661</v>
      </c>
      <c r="C101">
        <v>0.42129164800000002</v>
      </c>
      <c r="D101">
        <v>129.57767229999999</v>
      </c>
      <c r="E101">
        <v>4.5358979000000001E-2</v>
      </c>
      <c r="F101">
        <v>118.794937</v>
      </c>
      <c r="G101">
        <v>120.1179149</v>
      </c>
      <c r="H101">
        <v>122.17164579999999</v>
      </c>
      <c r="I101">
        <v>125.64838930000001</v>
      </c>
      <c r="J101">
        <v>129.57767229999999</v>
      </c>
      <c r="K101">
        <v>133.57714379999999</v>
      </c>
      <c r="L101">
        <v>137.23708540000001</v>
      </c>
      <c r="M101">
        <v>139.45483949999999</v>
      </c>
      <c r="N101">
        <v>140.90615020000001</v>
      </c>
    </row>
    <row r="102" spans="1:14" x14ac:dyDescent="0.25">
      <c r="A102">
        <v>1</v>
      </c>
      <c r="B102" s="13">
        <v>8.375</v>
      </c>
      <c r="C102">
        <v>0.41390958799999999</v>
      </c>
      <c r="D102">
        <v>130.0550101</v>
      </c>
      <c r="E102">
        <v>4.5442372000000002E-2</v>
      </c>
      <c r="F102">
        <v>119.2165297</v>
      </c>
      <c r="G102">
        <v>120.54592479999999</v>
      </c>
      <c r="H102">
        <v>122.6098539</v>
      </c>
      <c r="I102">
        <v>126.1045113</v>
      </c>
      <c r="J102">
        <v>130.0550101</v>
      </c>
      <c r="K102">
        <v>134.0771172</v>
      </c>
      <c r="L102">
        <v>137.75867840000001</v>
      </c>
      <c r="M102">
        <v>139.9899485</v>
      </c>
      <c r="N102">
        <v>141.45027229999999</v>
      </c>
    </row>
    <row r="103" spans="1:14" x14ac:dyDescent="0.25">
      <c r="A103">
        <v>1</v>
      </c>
      <c r="B103" s="13">
        <v>8.4583333333333339</v>
      </c>
      <c r="C103">
        <v>0.40842781299999997</v>
      </c>
      <c r="D103">
        <v>130.52856689999999</v>
      </c>
      <c r="E103">
        <v>4.5528869E-2</v>
      </c>
      <c r="F103">
        <v>119.6329654</v>
      </c>
      <c r="G103">
        <v>120.9690339</v>
      </c>
      <c r="H103">
        <v>123.04351</v>
      </c>
      <c r="I103">
        <v>126.55653770000001</v>
      </c>
      <c r="J103">
        <v>130.52856689999999</v>
      </c>
      <c r="K103">
        <v>134.5734138</v>
      </c>
      <c r="L103">
        <v>138.27650170000001</v>
      </c>
      <c r="M103">
        <v>140.52114510000001</v>
      </c>
      <c r="N103">
        <v>141.9903534</v>
      </c>
    </row>
    <row r="104" spans="1:14" x14ac:dyDescent="0.25">
      <c r="A104">
        <v>1</v>
      </c>
      <c r="B104" s="13">
        <v>8.5416666666666661</v>
      </c>
      <c r="C104">
        <v>0.404778262</v>
      </c>
      <c r="D104">
        <v>130.9982857</v>
      </c>
      <c r="E104">
        <v>4.5618459E-2</v>
      </c>
      <c r="F104">
        <v>120.0442031</v>
      </c>
      <c r="G104">
        <v>121.3871973</v>
      </c>
      <c r="H104">
        <v>123.4725646</v>
      </c>
      <c r="I104">
        <v>127.0044134</v>
      </c>
      <c r="J104">
        <v>130.9982857</v>
      </c>
      <c r="K104">
        <v>135.065978</v>
      </c>
      <c r="L104">
        <v>138.7905039</v>
      </c>
      <c r="M104">
        <v>141.04838129999999</v>
      </c>
      <c r="N104">
        <v>142.52634860000001</v>
      </c>
    </row>
    <row r="105" spans="1:14" x14ac:dyDescent="0.25">
      <c r="A105">
        <v>1</v>
      </c>
      <c r="B105" s="13">
        <v>8.625</v>
      </c>
      <c r="C105">
        <v>0.40287707699999997</v>
      </c>
      <c r="D105">
        <v>131.46412179999999</v>
      </c>
      <c r="E105">
        <v>4.5711105000000002E-2</v>
      </c>
      <c r="F105">
        <v>120.450227</v>
      </c>
      <c r="G105">
        <v>121.8003934</v>
      </c>
      <c r="H105">
        <v>123.89698799999999</v>
      </c>
      <c r="I105">
        <v>127.4480994</v>
      </c>
      <c r="J105">
        <v>131.46412179999999</v>
      </c>
      <c r="K105">
        <v>135.5547656</v>
      </c>
      <c r="L105">
        <v>139.3006456</v>
      </c>
      <c r="M105">
        <v>141.57162289999999</v>
      </c>
      <c r="N105">
        <v>143.05822739999999</v>
      </c>
    </row>
    <row r="106" spans="1:14" x14ac:dyDescent="0.25">
      <c r="A106">
        <v>1</v>
      </c>
      <c r="B106" s="13">
        <v>8.7083333333333339</v>
      </c>
      <c r="C106">
        <v>0.40262556100000002</v>
      </c>
      <c r="D106">
        <v>131.9260439</v>
      </c>
      <c r="E106">
        <v>4.5806741999999998E-2</v>
      </c>
      <c r="F106">
        <v>120.8510473</v>
      </c>
      <c r="G106">
        <v>122.20862390000001</v>
      </c>
      <c r="H106">
        <v>124.31677089999999</v>
      </c>
      <c r="I106">
        <v>127.8875724</v>
      </c>
      <c r="J106">
        <v>131.9260439</v>
      </c>
      <c r="K106">
        <v>136.03974439999999</v>
      </c>
      <c r="L106">
        <v>139.8069003</v>
      </c>
      <c r="M106">
        <v>142.0908498</v>
      </c>
      <c r="N106">
        <v>143.5859753</v>
      </c>
    </row>
    <row r="107" spans="1:14" x14ac:dyDescent="0.25">
      <c r="A107">
        <v>1</v>
      </c>
      <c r="B107" s="13">
        <v>8.7916666666666661</v>
      </c>
      <c r="C107">
        <v>0.40391126999999999</v>
      </c>
      <c r="D107">
        <v>132.38403479999999</v>
      </c>
      <c r="E107">
        <v>4.5905280999999999E-2</v>
      </c>
      <c r="F107">
        <v>121.2467001</v>
      </c>
      <c r="G107">
        <v>122.6119145</v>
      </c>
      <c r="H107">
        <v>124.7319249</v>
      </c>
      <c r="I107">
        <v>128.32282649999999</v>
      </c>
      <c r="J107">
        <v>132.38403479999999</v>
      </c>
      <c r="K107">
        <v>136.52089520000001</v>
      </c>
      <c r="L107">
        <v>140.30925550000001</v>
      </c>
      <c r="M107">
        <v>142.60605709999999</v>
      </c>
      <c r="N107">
        <v>144.10959399999999</v>
      </c>
    </row>
    <row r="108" spans="1:14" x14ac:dyDescent="0.25">
      <c r="A108">
        <v>1</v>
      </c>
      <c r="B108" s="13">
        <v>8.875</v>
      </c>
      <c r="C108">
        <v>0.40660923199999999</v>
      </c>
      <c r="D108">
        <v>132.83809199999999</v>
      </c>
      <c r="E108">
        <v>4.6006604E-2</v>
      </c>
      <c r="F108">
        <v>121.6372483</v>
      </c>
      <c r="G108">
        <v>123.0103156</v>
      </c>
      <c r="H108">
        <v>125.1424835</v>
      </c>
      <c r="I108">
        <v>128.75387319999999</v>
      </c>
      <c r="J108">
        <v>132.83809199999999</v>
      </c>
      <c r="K108">
        <v>136.9982129</v>
      </c>
      <c r="L108">
        <v>140.80771329999999</v>
      </c>
      <c r="M108">
        <v>143.11725620000001</v>
      </c>
      <c r="N108">
        <v>144.6291028</v>
      </c>
    </row>
    <row r="109" spans="1:14" x14ac:dyDescent="0.25">
      <c r="A109">
        <v>1</v>
      </c>
      <c r="B109" s="13">
        <v>8.9583333333333339</v>
      </c>
      <c r="C109">
        <v>0.410583274</v>
      </c>
      <c r="D109">
        <v>133.2882291</v>
      </c>
      <c r="E109">
        <v>4.6110573000000002E-2</v>
      </c>
      <c r="F109">
        <v>122.0227817</v>
      </c>
      <c r="G109">
        <v>123.40390240000001</v>
      </c>
      <c r="H109">
        <v>125.5485022</v>
      </c>
      <c r="I109">
        <v>129.1807426</v>
      </c>
      <c r="J109">
        <v>133.2882291</v>
      </c>
      <c r="K109">
        <v>137.47170689999999</v>
      </c>
      <c r="L109">
        <v>141.30229159999999</v>
      </c>
      <c r="M109">
        <v>143.6244753</v>
      </c>
      <c r="N109">
        <v>145.1445387</v>
      </c>
    </row>
    <row r="110" spans="1:14" x14ac:dyDescent="0.25">
      <c r="A110">
        <v>1</v>
      </c>
      <c r="B110" s="13">
        <v>9.0416666666666661</v>
      </c>
      <c r="C110">
        <v>0.41568744299999999</v>
      </c>
      <c r="D110">
        <v>133.73447590000001</v>
      </c>
      <c r="E110">
        <v>4.6217028E-2</v>
      </c>
      <c r="F110">
        <v>122.4034171</v>
      </c>
      <c r="G110">
        <v>123.79277519999999</v>
      </c>
      <c r="H110">
        <v>125.95005879999999</v>
      </c>
      <c r="I110">
        <v>129.60348389999999</v>
      </c>
      <c r="J110">
        <v>133.73447590000001</v>
      </c>
      <c r="K110">
        <v>137.94140290000001</v>
      </c>
      <c r="L110">
        <v>141.793025</v>
      </c>
      <c r="M110">
        <v>144.12776049999999</v>
      </c>
      <c r="N110">
        <v>145.65595809999999</v>
      </c>
    </row>
    <row r="111" spans="1:14" x14ac:dyDescent="0.25">
      <c r="A111">
        <v>1</v>
      </c>
      <c r="B111" s="13">
        <v>9.125</v>
      </c>
      <c r="C111">
        <v>0.42176751400000001</v>
      </c>
      <c r="D111">
        <v>134.17688010000001</v>
      </c>
      <c r="E111">
        <v>4.6325789999999999E-2</v>
      </c>
      <c r="F111">
        <v>122.77929829999999</v>
      </c>
      <c r="G111">
        <v>124.17705960000001</v>
      </c>
      <c r="H111">
        <v>126.34725419999999</v>
      </c>
      <c r="I111">
        <v>130.02216569999999</v>
      </c>
      <c r="J111">
        <v>134.17688010000001</v>
      </c>
      <c r="K111">
        <v>138.40734330000001</v>
      </c>
      <c r="L111">
        <v>142.27996540000001</v>
      </c>
      <c r="M111">
        <v>144.62717670000001</v>
      </c>
      <c r="N111">
        <v>146.1634368</v>
      </c>
    </row>
    <row r="112" spans="1:14" x14ac:dyDescent="0.25">
      <c r="A112">
        <v>1</v>
      </c>
      <c r="B112" s="13">
        <v>9.2083333333333339</v>
      </c>
      <c r="C112">
        <v>0.428662551</v>
      </c>
      <c r="D112">
        <v>134.6155076</v>
      </c>
      <c r="E112">
        <v>4.6436661999999997E-2</v>
      </c>
      <c r="F112">
        <v>123.1505962</v>
      </c>
      <c r="G112">
        <v>124.5569064</v>
      </c>
      <c r="H112">
        <v>126.7402123</v>
      </c>
      <c r="I112">
        <v>130.43687700000001</v>
      </c>
      <c r="J112">
        <v>134.6155076</v>
      </c>
      <c r="K112">
        <v>138.86958809999999</v>
      </c>
      <c r="L112">
        <v>142.76318380000001</v>
      </c>
      <c r="M112">
        <v>145.1228083</v>
      </c>
      <c r="N112">
        <v>146.6670713</v>
      </c>
    </row>
    <row r="113" spans="1:14" x14ac:dyDescent="0.25">
      <c r="A113">
        <v>1</v>
      </c>
      <c r="B113" s="13">
        <v>9.2916666666666661</v>
      </c>
      <c r="C113">
        <v>0.43620653100000001</v>
      </c>
      <c r="D113">
        <v>135.05044330000001</v>
      </c>
      <c r="E113">
        <v>4.6549430000000003E-2</v>
      </c>
      <c r="F113">
        <v>123.5175084</v>
      </c>
      <c r="G113">
        <v>124.9324922</v>
      </c>
      <c r="H113">
        <v>127.1290805</v>
      </c>
      <c r="I113">
        <v>130.8477278</v>
      </c>
      <c r="J113">
        <v>135.05044330000001</v>
      </c>
      <c r="K113">
        <v>139.32821630000001</v>
      </c>
      <c r="L113">
        <v>143.2427702</v>
      </c>
      <c r="M113">
        <v>145.61476020000001</v>
      </c>
      <c r="N113">
        <v>147.1669794</v>
      </c>
    </row>
    <row r="114" spans="1:14" x14ac:dyDescent="0.25">
      <c r="A114">
        <v>1</v>
      </c>
      <c r="B114" s="13">
        <v>9.375</v>
      </c>
      <c r="C114">
        <v>0.44423000000000001</v>
      </c>
      <c r="D114">
        <v>135.48179250000001</v>
      </c>
      <c r="E114">
        <v>4.6663871000000003E-2</v>
      </c>
      <c r="F114">
        <v>123.8802592</v>
      </c>
      <c r="G114">
        <v>125.3040185</v>
      </c>
      <c r="H114">
        <v>127.5140299</v>
      </c>
      <c r="I114">
        <v>131.25484940000001</v>
      </c>
      <c r="J114">
        <v>135.48179250000001</v>
      </c>
      <c r="K114">
        <v>139.78332660000001</v>
      </c>
      <c r="L114">
        <v>143.71883560000001</v>
      </c>
      <c r="M114">
        <v>146.10315900000001</v>
      </c>
      <c r="N114">
        <v>147.66330110000001</v>
      </c>
    </row>
    <row r="115" spans="1:14" x14ac:dyDescent="0.25">
      <c r="A115">
        <v>1</v>
      </c>
      <c r="B115" s="13">
        <v>9.4583333333333339</v>
      </c>
      <c r="C115">
        <v>0.45256175999999998</v>
      </c>
      <c r="D115">
        <v>135.90968129999999</v>
      </c>
      <c r="E115">
        <v>4.6779748000000003E-2</v>
      </c>
      <c r="F115">
        <v>124.23909930000001</v>
      </c>
      <c r="G115">
        <v>125.6717122</v>
      </c>
      <c r="H115">
        <v>127.8952551</v>
      </c>
      <c r="I115">
        <v>131.6583952</v>
      </c>
      <c r="J115">
        <v>135.90968129999999</v>
      </c>
      <c r="K115">
        <v>140.23503890000001</v>
      </c>
      <c r="L115">
        <v>144.19151220000001</v>
      </c>
      <c r="M115">
        <v>146.5881531</v>
      </c>
      <c r="N115">
        <v>148.15619910000001</v>
      </c>
    </row>
    <row r="116" spans="1:14" x14ac:dyDescent="0.25">
      <c r="A116">
        <v>1</v>
      </c>
      <c r="B116" s="13">
        <v>9.5416666666666661</v>
      </c>
      <c r="C116">
        <v>0.46103057800000002</v>
      </c>
      <c r="D116">
        <v>136.33425769999999</v>
      </c>
      <c r="E116">
        <v>4.6896817E-2</v>
      </c>
      <c r="F116">
        <v>124.5943049</v>
      </c>
      <c r="G116">
        <v>126.035825</v>
      </c>
      <c r="H116">
        <v>128.2729746</v>
      </c>
      <c r="I116">
        <v>132.0585409</v>
      </c>
      <c r="J116">
        <v>136.33425769999999</v>
      </c>
      <c r="K116">
        <v>140.6834944</v>
      </c>
      <c r="L116">
        <v>144.66095480000001</v>
      </c>
      <c r="M116">
        <v>147.06991429999999</v>
      </c>
      <c r="N116">
        <v>148.64585980000001</v>
      </c>
    </row>
    <row r="117" spans="1:14" x14ac:dyDescent="0.25">
      <c r="A117">
        <v>1</v>
      </c>
      <c r="B117" s="13">
        <v>9.625</v>
      </c>
      <c r="C117">
        <v>0.46946690400000002</v>
      </c>
      <c r="D117">
        <v>136.75569229999999</v>
      </c>
      <c r="E117">
        <v>4.7014827000000002E-2</v>
      </c>
      <c r="F117">
        <v>124.9461775</v>
      </c>
      <c r="G117">
        <v>126.3966334</v>
      </c>
      <c r="H117">
        <v>128.64743110000001</v>
      </c>
      <c r="I117">
        <v>132.4554857</v>
      </c>
      <c r="J117">
        <v>136.75569229999999</v>
      </c>
      <c r="K117">
        <v>141.1288576</v>
      </c>
      <c r="L117">
        <v>145.12734169999999</v>
      </c>
      <c r="M117">
        <v>147.5486382</v>
      </c>
      <c r="N117">
        <v>149.13249400000001</v>
      </c>
    </row>
    <row r="118" spans="1:14" x14ac:dyDescent="0.25">
      <c r="A118">
        <v>1</v>
      </c>
      <c r="B118" s="13">
        <v>9.7083333333333339</v>
      </c>
      <c r="C118">
        <v>0.47770460799999998</v>
      </c>
      <c r="D118">
        <v>137.17417940000001</v>
      </c>
      <c r="E118">
        <v>4.7133525000000003E-2</v>
      </c>
      <c r="F118">
        <v>125.2950434</v>
      </c>
      <c r="G118">
        <v>126.7544381</v>
      </c>
      <c r="H118">
        <v>129.01889080000001</v>
      </c>
      <c r="I118">
        <v>132.84945210000001</v>
      </c>
      <c r="J118">
        <v>137.17417940000001</v>
      </c>
      <c r="K118">
        <v>141.57131680000001</v>
      </c>
      <c r="L118">
        <v>145.59087550000001</v>
      </c>
      <c r="M118">
        <v>148.02454520000001</v>
      </c>
      <c r="N118">
        <v>149.6163372</v>
      </c>
    </row>
    <row r="119" spans="1:14" x14ac:dyDescent="0.25">
      <c r="A119">
        <v>1</v>
      </c>
      <c r="B119" s="13">
        <v>9.7916666666666661</v>
      </c>
      <c r="C119">
        <v>0.48558272000000002</v>
      </c>
      <c r="D119">
        <v>137.5899378</v>
      </c>
      <c r="E119">
        <v>4.7252653999999998E-2</v>
      </c>
      <c r="F119">
        <v>125.6412524</v>
      </c>
      <c r="G119">
        <v>127.1095636</v>
      </c>
      <c r="H119">
        <v>129.38764409999999</v>
      </c>
      <c r="I119">
        <v>133.2406866</v>
      </c>
      <c r="J119">
        <v>137.5899378</v>
      </c>
      <c r="K119">
        <v>142.01108500000001</v>
      </c>
      <c r="L119">
        <v>146.0517839</v>
      </c>
      <c r="M119">
        <v>148.4978811</v>
      </c>
      <c r="N119">
        <v>150.0976507</v>
      </c>
    </row>
    <row r="120" spans="1:14" x14ac:dyDescent="0.25">
      <c r="A120">
        <v>1</v>
      </c>
      <c r="B120" s="13">
        <v>9.875</v>
      </c>
      <c r="C120">
        <v>0.49294718199999998</v>
      </c>
      <c r="D120">
        <v>138.0032114</v>
      </c>
      <c r="E120">
        <v>4.7371960999999997E-2</v>
      </c>
      <c r="F120">
        <v>125.9851773</v>
      </c>
      <c r="G120">
        <v>127.4623576</v>
      </c>
      <c r="H120">
        <v>129.75400479999999</v>
      </c>
      <c r="I120">
        <v>133.6294604</v>
      </c>
      <c r="J120">
        <v>138.0032114</v>
      </c>
      <c r="K120">
        <v>142.44840139999999</v>
      </c>
      <c r="L120">
        <v>146.510321</v>
      </c>
      <c r="M120">
        <v>148.96891780000001</v>
      </c>
      <c r="N120">
        <v>150.57672170000001</v>
      </c>
    </row>
    <row r="121" spans="1:14" x14ac:dyDescent="0.25">
      <c r="A121">
        <v>1</v>
      </c>
      <c r="B121" s="13">
        <v>9.9583333333333339</v>
      </c>
      <c r="C121">
        <v>0.49965261700000002</v>
      </c>
      <c r="D121">
        <v>138.4142703</v>
      </c>
      <c r="E121">
        <v>4.7491194E-2</v>
      </c>
      <c r="F121">
        <v>126.32721309999999</v>
      </c>
      <c r="G121">
        <v>127.8131904</v>
      </c>
      <c r="H121">
        <v>130.1183106</v>
      </c>
      <c r="I121">
        <v>134.0160697</v>
      </c>
      <c r="J121">
        <v>138.4142703</v>
      </c>
      <c r="K121">
        <v>142.88353169999999</v>
      </c>
      <c r="L121">
        <v>146.9667676</v>
      </c>
      <c r="M121">
        <v>149.4379538</v>
      </c>
      <c r="N121">
        <v>151.05386390000001</v>
      </c>
    </row>
    <row r="122" spans="1:14" x14ac:dyDescent="0.25">
      <c r="A122">
        <v>1</v>
      </c>
      <c r="B122" s="13">
        <v>10.041666666666666</v>
      </c>
      <c r="C122">
        <v>0.50556411499999998</v>
      </c>
      <c r="D122">
        <v>138.8234114</v>
      </c>
      <c r="E122">
        <v>4.7610107999999998E-2</v>
      </c>
      <c r="F122">
        <v>126.6677753</v>
      </c>
      <c r="G122">
        <v>128.16245420000001</v>
      </c>
      <c r="H122">
        <v>130.48092209999999</v>
      </c>
      <c r="I122">
        <v>134.40083569999999</v>
      </c>
      <c r="J122">
        <v>138.8234114</v>
      </c>
      <c r="K122">
        <v>143.31676909999999</v>
      </c>
      <c r="L122">
        <v>147.42143200000001</v>
      </c>
      <c r="M122">
        <v>149.9053151</v>
      </c>
      <c r="N122">
        <v>151.5294179</v>
      </c>
    </row>
    <row r="123" spans="1:14" x14ac:dyDescent="0.25">
      <c r="A123">
        <v>1</v>
      </c>
      <c r="B123" s="13">
        <v>10.125</v>
      </c>
      <c r="C123">
        <v>0.51055904699999999</v>
      </c>
      <c r="D123">
        <v>139.2309592</v>
      </c>
      <c r="E123">
        <v>4.7728462999999999E-2</v>
      </c>
      <c r="F123">
        <v>127.0072991</v>
      </c>
      <c r="G123">
        <v>128.5105623</v>
      </c>
      <c r="H123">
        <v>130.84222339999999</v>
      </c>
      <c r="I123">
        <v>134.78410539999999</v>
      </c>
      <c r="J123">
        <v>139.2309592</v>
      </c>
      <c r="K123">
        <v>143.74843540000001</v>
      </c>
      <c r="L123">
        <v>147.87465069999999</v>
      </c>
      <c r="M123">
        <v>150.3713549</v>
      </c>
      <c r="N123">
        <v>152.00375109999999</v>
      </c>
    </row>
    <row r="124" spans="1:14" x14ac:dyDescent="0.25">
      <c r="A124">
        <v>1</v>
      </c>
      <c r="B124" s="13">
        <v>10.208333333333334</v>
      </c>
      <c r="C124">
        <v>0.51452890299999998</v>
      </c>
      <c r="D124">
        <v>139.63726629999999</v>
      </c>
      <c r="E124">
        <v>4.7846029999999998E-2</v>
      </c>
      <c r="F124">
        <v>127.34623809999999</v>
      </c>
      <c r="G124">
        <v>128.85794799999999</v>
      </c>
      <c r="H124">
        <v>131.20262070000001</v>
      </c>
      <c r="I124">
        <v>135.16625160000001</v>
      </c>
      <c r="J124">
        <v>139.63726629999999</v>
      </c>
      <c r="K124">
        <v>144.17888149999999</v>
      </c>
      <c r="L124">
        <v>148.32678899999999</v>
      </c>
      <c r="M124">
        <v>150.83645430000001</v>
      </c>
      <c r="N124">
        <v>152.47725790000001</v>
      </c>
    </row>
    <row r="125" spans="1:14" x14ac:dyDescent="0.25">
      <c r="A125">
        <v>1</v>
      </c>
      <c r="B125" s="13">
        <v>10.291666666666666</v>
      </c>
      <c r="C125">
        <v>0.51738117699999997</v>
      </c>
      <c r="D125">
        <v>140.04271399999999</v>
      </c>
      <c r="E125">
        <v>4.7962591999999998E-2</v>
      </c>
      <c r="F125">
        <v>127.68506240000001</v>
      </c>
      <c r="G125">
        <v>129.2050634</v>
      </c>
      <c r="H125">
        <v>131.56254229999999</v>
      </c>
      <c r="I125">
        <v>135.54767319999999</v>
      </c>
      <c r="J125">
        <v>140.04271399999999</v>
      </c>
      <c r="K125">
        <v>144.60848770000001</v>
      </c>
      <c r="L125">
        <v>148.77824089999999</v>
      </c>
      <c r="M125">
        <v>151.3010223</v>
      </c>
      <c r="N125">
        <v>152.95035960000001</v>
      </c>
    </row>
    <row r="126" spans="1:14" x14ac:dyDescent="0.25">
      <c r="A126">
        <v>1</v>
      </c>
      <c r="B126" s="13">
        <v>10.375</v>
      </c>
      <c r="C126">
        <v>0.51904128500000002</v>
      </c>
      <c r="D126">
        <v>140.44771270000001</v>
      </c>
      <c r="E126">
        <v>4.8077941999999999E-2</v>
      </c>
      <c r="F126">
        <v>128.02425719999999</v>
      </c>
      <c r="G126">
        <v>129.5523785</v>
      </c>
      <c r="H126">
        <v>131.92243790000001</v>
      </c>
      <c r="I126">
        <v>135.92879479999999</v>
      </c>
      <c r="J126">
        <v>140.44771270000001</v>
      </c>
      <c r="K126">
        <v>145.03766450000001</v>
      </c>
      <c r="L126">
        <v>149.2294296</v>
      </c>
      <c r="M126">
        <v>151.76549510000001</v>
      </c>
      <c r="N126">
        <v>153.42350350000001</v>
      </c>
    </row>
    <row r="127" spans="1:14" x14ac:dyDescent="0.25">
      <c r="A127">
        <v>1</v>
      </c>
      <c r="B127" s="13">
        <v>10.458333333333334</v>
      </c>
      <c r="C127">
        <v>0.51945452400000003</v>
      </c>
      <c r="D127">
        <v>140.85270220000001</v>
      </c>
      <c r="E127">
        <v>4.8191889000000002E-2</v>
      </c>
      <c r="F127">
        <v>128.3643208</v>
      </c>
      <c r="G127">
        <v>129.90037950000001</v>
      </c>
      <c r="H127">
        <v>132.2827776</v>
      </c>
      <c r="I127">
        <v>136.31006690000001</v>
      </c>
      <c r="J127">
        <v>140.85270220000001</v>
      </c>
      <c r="K127">
        <v>145.4668527</v>
      </c>
      <c r="L127">
        <v>149.6808068</v>
      </c>
      <c r="M127">
        <v>152.2303363</v>
      </c>
      <c r="N127">
        <v>153.89716240000001</v>
      </c>
    </row>
    <row r="128" spans="1:14" x14ac:dyDescent="0.25">
      <c r="A128">
        <v>1</v>
      </c>
      <c r="B128" s="13">
        <v>10.541666666666666</v>
      </c>
      <c r="C128">
        <v>0.51858807200000001</v>
      </c>
      <c r="D128">
        <v>141.2581515</v>
      </c>
      <c r="E128">
        <v>4.8304259000000002E-2</v>
      </c>
      <c r="F128">
        <v>128.70576270000001</v>
      </c>
      <c r="G128">
        <v>130.2495672</v>
      </c>
      <c r="H128">
        <v>132.64405110000001</v>
      </c>
      <c r="I128">
        <v>136.6919657</v>
      </c>
      <c r="J128">
        <v>141.2581515</v>
      </c>
      <c r="K128">
        <v>145.89652330000001</v>
      </c>
      <c r="L128">
        <v>150.13285310000001</v>
      </c>
      <c r="M128">
        <v>152.69603549999999</v>
      </c>
      <c r="N128">
        <v>154.37183350000001</v>
      </c>
    </row>
    <row r="129" spans="1:14" x14ac:dyDescent="0.25">
      <c r="A129">
        <v>1</v>
      </c>
      <c r="B129" s="13">
        <v>10.625</v>
      </c>
      <c r="C129">
        <v>0.51643300400000003</v>
      </c>
      <c r="D129">
        <v>141.66455920000001</v>
      </c>
      <c r="E129">
        <v>4.8414893000000001E-2</v>
      </c>
      <c r="F129">
        <v>129.04910150000001</v>
      </c>
      <c r="G129">
        <v>130.60045550000001</v>
      </c>
      <c r="H129">
        <v>133.00676609999999</v>
      </c>
      <c r="I129">
        <v>137.0749922</v>
      </c>
      <c r="J129">
        <v>141.66455920000001</v>
      </c>
      <c r="K129">
        <v>146.32717729999999</v>
      </c>
      <c r="L129">
        <v>150.58607670000001</v>
      </c>
      <c r="M129">
        <v>153.1631074</v>
      </c>
      <c r="N129">
        <v>154.84803669999999</v>
      </c>
    </row>
    <row r="130" spans="1:14" x14ac:dyDescent="0.25">
      <c r="A130">
        <v>1</v>
      </c>
      <c r="B130" s="13">
        <v>10.708333333333334</v>
      </c>
      <c r="C130">
        <v>0.51300631200000002</v>
      </c>
      <c r="D130">
        <v>142.072452</v>
      </c>
      <c r="E130">
        <v>4.8523648000000003E-2</v>
      </c>
      <c r="F130">
        <v>129.39486199999999</v>
      </c>
      <c r="G130">
        <v>130.9535693</v>
      </c>
      <c r="H130">
        <v>133.37144749999999</v>
      </c>
      <c r="I130">
        <v>137.4596717</v>
      </c>
      <c r="J130">
        <v>142.072452</v>
      </c>
      <c r="K130">
        <v>146.7593449</v>
      </c>
      <c r="L130">
        <v>151.04101230000001</v>
      </c>
      <c r="M130">
        <v>153.63209040000001</v>
      </c>
      <c r="N130">
        <v>155.3263129</v>
      </c>
    </row>
    <row r="131" spans="1:14" x14ac:dyDescent="0.25">
      <c r="A131">
        <v>1</v>
      </c>
      <c r="B131" s="13">
        <v>10.791666666666666</v>
      </c>
      <c r="C131">
        <v>0.50835290099999997</v>
      </c>
      <c r="D131">
        <v>142.48238520000001</v>
      </c>
      <c r="E131">
        <v>4.8630402000000003E-2</v>
      </c>
      <c r="F131">
        <v>129.74357319999999</v>
      </c>
      <c r="G131">
        <v>131.30944199999999</v>
      </c>
      <c r="H131">
        <v>133.73863499999999</v>
      </c>
      <c r="I131">
        <v>137.8465525</v>
      </c>
      <c r="J131">
        <v>142.48238520000001</v>
      </c>
      <c r="K131">
        <v>147.19358489999999</v>
      </c>
      <c r="L131">
        <v>151.49821990000001</v>
      </c>
      <c r="M131">
        <v>154.103544</v>
      </c>
      <c r="N131">
        <v>155.80722109999999</v>
      </c>
    </row>
    <row r="132" spans="1:14" x14ac:dyDescent="0.25">
      <c r="A132">
        <v>1</v>
      </c>
      <c r="B132" s="13">
        <v>10.875</v>
      </c>
      <c r="C132">
        <v>0.50254750199999998</v>
      </c>
      <c r="D132">
        <v>142.8949403</v>
      </c>
      <c r="E132">
        <v>4.8735050000000002E-2</v>
      </c>
      <c r="F132">
        <v>130.095765</v>
      </c>
      <c r="G132">
        <v>131.6686134</v>
      </c>
      <c r="H132">
        <v>134.10888170000001</v>
      </c>
      <c r="I132">
        <v>138.2362048</v>
      </c>
      <c r="J132">
        <v>142.8949403</v>
      </c>
      <c r="K132">
        <v>147.630483</v>
      </c>
      <c r="L132">
        <v>151.95828220000001</v>
      </c>
      <c r="M132">
        <v>154.5780465</v>
      </c>
      <c r="N132">
        <v>156.2913356</v>
      </c>
    </row>
    <row r="133" spans="1:14" x14ac:dyDescent="0.25">
      <c r="A133">
        <v>1</v>
      </c>
      <c r="B133" s="13">
        <v>10.958333333333334</v>
      </c>
      <c r="C133">
        <v>0.49569645400000001</v>
      </c>
      <c r="D133">
        <v>143.31072409999999</v>
      </c>
      <c r="E133">
        <v>4.8837503999999997E-2</v>
      </c>
      <c r="F133">
        <v>130.4519655</v>
      </c>
      <c r="G133">
        <v>132.03162699999999</v>
      </c>
      <c r="H133">
        <v>134.48275169999999</v>
      </c>
      <c r="I133">
        <v>138.62921850000001</v>
      </c>
      <c r="J133">
        <v>143.31072409999999</v>
      </c>
      <c r="K133">
        <v>148.07065</v>
      </c>
      <c r="L133">
        <v>152.4218027</v>
      </c>
      <c r="M133">
        <v>155.05619189999999</v>
      </c>
      <c r="N133">
        <v>156.77924229999999</v>
      </c>
    </row>
    <row r="134" spans="1:14" x14ac:dyDescent="0.25">
      <c r="A134">
        <v>1</v>
      </c>
      <c r="B134" s="13">
        <v>11.041666666666666</v>
      </c>
      <c r="C134">
        <v>0.48793927500000001</v>
      </c>
      <c r="D134">
        <v>143.73036629999999</v>
      </c>
      <c r="E134">
        <v>4.8937693999999997E-2</v>
      </c>
      <c r="F134">
        <v>130.81269760000001</v>
      </c>
      <c r="G134">
        <v>132.39902670000001</v>
      </c>
      <c r="H134">
        <v>134.86081709999999</v>
      </c>
      <c r="I134">
        <v>139.02620150000001</v>
      </c>
      <c r="J134">
        <v>143.73036629999999</v>
      </c>
      <c r="K134">
        <v>148.5147188</v>
      </c>
      <c r="L134">
        <v>152.88940160000001</v>
      </c>
      <c r="M134">
        <v>155.53858579999999</v>
      </c>
      <c r="N134">
        <v>157.27153419999999</v>
      </c>
    </row>
    <row r="135" spans="1:14" x14ac:dyDescent="0.25">
      <c r="A135">
        <v>1</v>
      </c>
      <c r="B135" s="13">
        <v>11.125</v>
      </c>
      <c r="C135">
        <v>0.47944992400000003</v>
      </c>
      <c r="D135">
        <v>144.15451669999999</v>
      </c>
      <c r="E135">
        <v>4.9035563999999997E-2</v>
      </c>
      <c r="F135">
        <v>131.17847560000001</v>
      </c>
      <c r="G135">
        <v>132.771354</v>
      </c>
      <c r="H135">
        <v>135.24365549999999</v>
      </c>
      <c r="I135">
        <v>139.42777609999999</v>
      </c>
      <c r="J135">
        <v>144.15451669999999</v>
      </c>
      <c r="K135">
        <v>148.96334210000001</v>
      </c>
      <c r="L135">
        <v>153.3617127</v>
      </c>
      <c r="M135">
        <v>156.0258407</v>
      </c>
      <c r="N135">
        <v>157.76880629999999</v>
      </c>
    </row>
    <row r="136" spans="1:14" x14ac:dyDescent="0.25">
      <c r="A136">
        <v>1</v>
      </c>
      <c r="B136" s="13">
        <v>11.208333333333334</v>
      </c>
      <c r="C136">
        <v>0.47043765199999998</v>
      </c>
      <c r="D136">
        <v>144.58384140000001</v>
      </c>
      <c r="E136">
        <v>4.9131072999999997E-2</v>
      </c>
      <c r="F136">
        <v>131.5498015</v>
      </c>
      <c r="G136">
        <v>133.14914419999999</v>
      </c>
      <c r="H136">
        <v>135.63184630000001</v>
      </c>
      <c r="I136">
        <v>139.83457670000001</v>
      </c>
      <c r="J136">
        <v>144.58384140000001</v>
      </c>
      <c r="K136">
        <v>149.41718739999999</v>
      </c>
      <c r="L136">
        <v>153.83937800000001</v>
      </c>
      <c r="M136">
        <v>156.5185711</v>
      </c>
      <c r="N136">
        <v>158.27164999999999</v>
      </c>
    </row>
    <row r="137" spans="1:14" x14ac:dyDescent="0.25">
      <c r="A137">
        <v>1</v>
      </c>
      <c r="B137" s="13">
        <v>11.291666666666666</v>
      </c>
      <c r="C137">
        <v>0.46114730500000001</v>
      </c>
      <c r="D137">
        <v>145.0190192</v>
      </c>
      <c r="E137">
        <v>4.9224189000000002E-2</v>
      </c>
      <c r="F137">
        <v>131.92716160000001</v>
      </c>
      <c r="G137">
        <v>133.53292260000001</v>
      </c>
      <c r="H137">
        <v>136.0259671</v>
      </c>
      <c r="I137">
        <v>140.2472448</v>
      </c>
      <c r="J137">
        <v>145.0190192</v>
      </c>
      <c r="K137">
        <v>149.87693300000001</v>
      </c>
      <c r="L137">
        <v>154.32304250000001</v>
      </c>
      <c r="M137">
        <v>157.0173867</v>
      </c>
      <c r="N137">
        <v>158.78064620000001</v>
      </c>
    </row>
    <row r="138" spans="1:14" x14ac:dyDescent="0.25">
      <c r="A138">
        <v>1</v>
      </c>
      <c r="B138" s="13">
        <v>11.375</v>
      </c>
      <c r="C138">
        <v>0.45185894599999998</v>
      </c>
      <c r="D138">
        <v>145.4607359</v>
      </c>
      <c r="E138">
        <v>4.9314887000000002E-2</v>
      </c>
      <c r="F138">
        <v>132.31102200000001</v>
      </c>
      <c r="G138">
        <v>133.9232006</v>
      </c>
      <c r="H138">
        <v>136.4265892</v>
      </c>
      <c r="I138">
        <v>140.66642529999999</v>
      </c>
      <c r="J138">
        <v>145.4607359</v>
      </c>
      <c r="K138">
        <v>150.34326179999999</v>
      </c>
      <c r="L138">
        <v>154.8133474</v>
      </c>
      <c r="M138">
        <v>157.522886</v>
      </c>
      <c r="N138">
        <v>159.29635780000001</v>
      </c>
    </row>
    <row r="139" spans="1:14" x14ac:dyDescent="0.25">
      <c r="A139">
        <v>1</v>
      </c>
      <c r="B139" s="13">
        <v>11.458333333333334</v>
      </c>
      <c r="C139">
        <v>0.44288666100000001</v>
      </c>
      <c r="D139">
        <v>145.90967839999999</v>
      </c>
      <c r="E139">
        <v>4.9403145000000002E-2</v>
      </c>
      <c r="F139">
        <v>132.70182510000001</v>
      </c>
      <c r="G139">
        <v>134.3204714</v>
      </c>
      <c r="H139">
        <v>136.8342729</v>
      </c>
      <c r="I139">
        <v>141.09276030000001</v>
      </c>
      <c r="J139">
        <v>145.90967839999999</v>
      </c>
      <c r="K139">
        <v>150.8168546</v>
      </c>
      <c r="L139">
        <v>155.31092330000001</v>
      </c>
      <c r="M139">
        <v>158.0356481</v>
      </c>
      <c r="N139">
        <v>159.81932209999999</v>
      </c>
    </row>
    <row r="140" spans="1:14" x14ac:dyDescent="0.25">
      <c r="A140">
        <v>1</v>
      </c>
      <c r="B140" s="13">
        <v>11.541666666666666</v>
      </c>
      <c r="C140">
        <v>0.43457638500000001</v>
      </c>
      <c r="D140">
        <v>146.3665278</v>
      </c>
      <c r="E140">
        <v>4.9488933999999998E-2</v>
      </c>
      <c r="F140">
        <v>133.09998540000001</v>
      </c>
      <c r="G140">
        <v>134.72520549999999</v>
      </c>
      <c r="H140">
        <v>137.24956270000001</v>
      </c>
      <c r="I140">
        <v>141.52688370000001</v>
      </c>
      <c r="J140">
        <v>146.3665278</v>
      </c>
      <c r="K140">
        <v>151.2983826</v>
      </c>
      <c r="L140">
        <v>155.8163811</v>
      </c>
      <c r="M140">
        <v>158.5562242</v>
      </c>
      <c r="N140">
        <v>160.3500415</v>
      </c>
    </row>
    <row r="141" spans="1:14" x14ac:dyDescent="0.25">
      <c r="A141">
        <v>1</v>
      </c>
      <c r="B141" s="13">
        <v>11.625</v>
      </c>
      <c r="C141">
        <v>0.42730263299999999</v>
      </c>
      <c r="D141">
        <v>146.83195129999999</v>
      </c>
      <c r="E141">
        <v>4.9572216000000002E-2</v>
      </c>
      <c r="F141">
        <v>133.50588529999999</v>
      </c>
      <c r="G141">
        <v>135.13784580000001</v>
      </c>
      <c r="H141">
        <v>137.67298109999999</v>
      </c>
      <c r="I141">
        <v>141.96941380000001</v>
      </c>
      <c r="J141">
        <v>146.83195129999999</v>
      </c>
      <c r="K141">
        <v>151.78849829999999</v>
      </c>
      <c r="L141">
        <v>156.33030339999999</v>
      </c>
      <c r="M141">
        <v>159.085128</v>
      </c>
      <c r="N141">
        <v>160.8889743</v>
      </c>
    </row>
    <row r="142" spans="1:14" x14ac:dyDescent="0.25">
      <c r="A142">
        <v>1</v>
      </c>
      <c r="B142" s="13">
        <v>11.708333333333334</v>
      </c>
      <c r="C142">
        <v>0.42146402700000002</v>
      </c>
      <c r="D142">
        <v>147.3065929</v>
      </c>
      <c r="E142">
        <v>4.9652935000000002E-2</v>
      </c>
      <c r="F142">
        <v>133.91987140000001</v>
      </c>
      <c r="G142">
        <v>135.5588028</v>
      </c>
      <c r="H142">
        <v>138.10502310000001</v>
      </c>
      <c r="I142">
        <v>142.4209457</v>
      </c>
      <c r="J142">
        <v>147.3065929</v>
      </c>
      <c r="K142">
        <v>152.2878255</v>
      </c>
      <c r="L142">
        <v>156.8532337</v>
      </c>
      <c r="M142">
        <v>159.622826</v>
      </c>
      <c r="N142">
        <v>161.43652449999999</v>
      </c>
    </row>
    <row r="143" spans="1:14" x14ac:dyDescent="0.25">
      <c r="A143">
        <v>1</v>
      </c>
      <c r="B143" s="13">
        <v>11.791666666666666</v>
      </c>
      <c r="C143">
        <v>0.41747753799999998</v>
      </c>
      <c r="D143">
        <v>147.79106350000001</v>
      </c>
      <c r="E143">
        <v>4.9731004000000002E-2</v>
      </c>
      <c r="F143">
        <v>134.34225000000001</v>
      </c>
      <c r="G143">
        <v>135.98845009999999</v>
      </c>
      <c r="H143">
        <v>138.54614960000001</v>
      </c>
      <c r="I143">
        <v>142.88204289999999</v>
      </c>
      <c r="J143">
        <v>147.79106350000001</v>
      </c>
      <c r="K143">
        <v>152.79694839999999</v>
      </c>
      <c r="L143">
        <v>157.38566589999999</v>
      </c>
      <c r="M143">
        <v>160.16972630000001</v>
      </c>
      <c r="N143">
        <v>161.993032</v>
      </c>
    </row>
    <row r="144" spans="1:14" x14ac:dyDescent="0.25">
      <c r="A144">
        <v>1</v>
      </c>
      <c r="B144" s="13">
        <v>11.875</v>
      </c>
      <c r="C144">
        <v>0.41577143799999999</v>
      </c>
      <c r="D144">
        <v>148.28592939999999</v>
      </c>
      <c r="E144">
        <v>4.9806299999999998E-2</v>
      </c>
      <c r="F144">
        <v>134.77328399999999</v>
      </c>
      <c r="G144">
        <v>136.42711850000001</v>
      </c>
      <c r="H144">
        <v>138.99678030000001</v>
      </c>
      <c r="I144">
        <v>143.353228</v>
      </c>
      <c r="J144">
        <v>148.28592939999999</v>
      </c>
      <c r="K144">
        <v>153.31639960000001</v>
      </c>
      <c r="L144">
        <v>157.92803180000001</v>
      </c>
      <c r="M144">
        <v>160.72616790000001</v>
      </c>
      <c r="N144">
        <v>162.5587616</v>
      </c>
    </row>
    <row r="145" spans="1:14" x14ac:dyDescent="0.25">
      <c r="A145">
        <v>1</v>
      </c>
      <c r="B145" s="13">
        <v>11.958333333333334</v>
      </c>
      <c r="C145">
        <v>0.416777012</v>
      </c>
      <c r="D145">
        <v>148.79170060000001</v>
      </c>
      <c r="E145">
        <v>4.9878649999999997E-2</v>
      </c>
      <c r="F145">
        <v>135.21318869999999</v>
      </c>
      <c r="G145">
        <v>136.8750919</v>
      </c>
      <c r="H145">
        <v>139.45728729999999</v>
      </c>
      <c r="I145">
        <v>143.83497270000001</v>
      </c>
      <c r="J145">
        <v>148.79170060000001</v>
      </c>
      <c r="K145">
        <v>153.84664660000001</v>
      </c>
      <c r="L145">
        <v>158.48068939999999</v>
      </c>
      <c r="M145">
        <v>161.29240909999999</v>
      </c>
      <c r="N145">
        <v>163.133893</v>
      </c>
    </row>
    <row r="146" spans="1:14" x14ac:dyDescent="0.25">
      <c r="A146">
        <v>1</v>
      </c>
      <c r="B146" s="13">
        <v>12.041666666666666</v>
      </c>
      <c r="C146">
        <v>0.42091914200000002</v>
      </c>
      <c r="D146">
        <v>149.30881780000001</v>
      </c>
      <c r="E146">
        <v>4.9947823000000002E-2</v>
      </c>
      <c r="F146">
        <v>135.6621289</v>
      </c>
      <c r="G146">
        <v>137.3326017</v>
      </c>
      <c r="H146">
        <v>139.9279871</v>
      </c>
      <c r="I146">
        <v>144.3276874</v>
      </c>
      <c r="J146">
        <v>149.30881780000001</v>
      </c>
      <c r="K146">
        <v>154.38807919999999</v>
      </c>
      <c r="L146">
        <v>159.04390979999999</v>
      </c>
      <c r="M146">
        <v>161.86861619999999</v>
      </c>
      <c r="N146">
        <v>163.7185106</v>
      </c>
    </row>
    <row r="147" spans="1:14" x14ac:dyDescent="0.25">
      <c r="A147">
        <v>1</v>
      </c>
      <c r="B147" s="13">
        <v>12.125</v>
      </c>
      <c r="C147">
        <v>0.42860600700000001</v>
      </c>
      <c r="D147">
        <v>149.83763909999999</v>
      </c>
      <c r="E147">
        <v>5.0013518E-2</v>
      </c>
      <c r="F147">
        <v>136.12021559999999</v>
      </c>
      <c r="G147">
        <v>137.79982219999999</v>
      </c>
      <c r="H147">
        <v>140.40913399999999</v>
      </c>
      <c r="I147">
        <v>144.8317108</v>
      </c>
      <c r="J147">
        <v>149.83763909999999</v>
      </c>
      <c r="K147">
        <v>154.9409947</v>
      </c>
      <c r="L147">
        <v>159.61786459999999</v>
      </c>
      <c r="M147">
        <v>162.45485260000001</v>
      </c>
      <c r="N147">
        <v>164.3125939</v>
      </c>
    </row>
    <row r="148" spans="1:14" x14ac:dyDescent="0.25">
      <c r="A148">
        <v>1</v>
      </c>
      <c r="B148" s="13">
        <v>12.208333333333334</v>
      </c>
      <c r="C148">
        <v>0.44021816699999999</v>
      </c>
      <c r="D148">
        <v>150.37842670000001</v>
      </c>
      <c r="E148">
        <v>5.0075353000000003E-2</v>
      </c>
      <c r="F148">
        <v>136.5875035</v>
      </c>
      <c r="G148">
        <v>138.27686610000001</v>
      </c>
      <c r="H148">
        <v>140.90091219999999</v>
      </c>
      <c r="I148">
        <v>145.34729809999999</v>
      </c>
      <c r="J148">
        <v>150.37842670000001</v>
      </c>
      <c r="K148">
        <v>155.505584</v>
      </c>
      <c r="L148">
        <v>160.2026132</v>
      </c>
      <c r="M148">
        <v>163.05106789999999</v>
      </c>
      <c r="N148">
        <v>164.91600890000001</v>
      </c>
    </row>
    <row r="149" spans="1:14" x14ac:dyDescent="0.25">
      <c r="A149">
        <v>1</v>
      </c>
      <c r="B149" s="13">
        <v>12.291666666666666</v>
      </c>
      <c r="C149">
        <v>0.45609744299999999</v>
      </c>
      <c r="D149">
        <v>150.93133309999999</v>
      </c>
      <c r="E149">
        <v>5.0132858000000002E-2</v>
      </c>
      <c r="F149">
        <v>137.06398830000001</v>
      </c>
      <c r="G149">
        <v>138.7637799</v>
      </c>
      <c r="H149">
        <v>141.40342899999999</v>
      </c>
      <c r="I149">
        <v>145.87461110000001</v>
      </c>
      <c r="J149">
        <v>150.93133309999999</v>
      </c>
      <c r="K149">
        <v>156.0819181</v>
      </c>
      <c r="L149">
        <v>160.79809130000001</v>
      </c>
      <c r="M149">
        <v>163.65708900000001</v>
      </c>
      <c r="N149">
        <v>165.52850040000001</v>
      </c>
    </row>
    <row r="150" spans="1:14" x14ac:dyDescent="0.25">
      <c r="A150">
        <v>1</v>
      </c>
      <c r="B150" s="13">
        <v>12.375</v>
      </c>
      <c r="C150">
        <v>0.47653601400000001</v>
      </c>
      <c r="D150">
        <v>151.49638870000001</v>
      </c>
      <c r="E150">
        <v>5.0185471000000002E-2</v>
      </c>
      <c r="F150">
        <v>137.5496052</v>
      </c>
      <c r="G150">
        <v>139.26054020000001</v>
      </c>
      <c r="H150">
        <v>141.91670790000001</v>
      </c>
      <c r="I150">
        <v>146.41370689999999</v>
      </c>
      <c r="J150">
        <v>151.49638870000001</v>
      </c>
      <c r="K150">
        <v>156.6699351</v>
      </c>
      <c r="L150">
        <v>161.4041</v>
      </c>
      <c r="M150">
        <v>164.27261139999999</v>
      </c>
      <c r="N150">
        <v>166.14968630000001</v>
      </c>
    </row>
    <row r="151" spans="1:14" x14ac:dyDescent="0.25">
      <c r="A151">
        <v>1</v>
      </c>
      <c r="B151" s="13">
        <v>12.458333333333334</v>
      </c>
      <c r="C151">
        <v>0.50176623399999998</v>
      </c>
      <c r="D151">
        <v>152.07348970000001</v>
      </c>
      <c r="E151">
        <v>5.0232532000000003E-2</v>
      </c>
      <c r="F151">
        <v>138.0442266</v>
      </c>
      <c r="G151">
        <v>139.7670498</v>
      </c>
      <c r="H151">
        <v>142.44068229999999</v>
      </c>
      <c r="I151">
        <v>146.9645285</v>
      </c>
      <c r="J151">
        <v>152.07348970000001</v>
      </c>
      <c r="K151">
        <v>157.2694285</v>
      </c>
      <c r="L151">
        <v>162.02029669999999</v>
      </c>
      <c r="M151">
        <v>164.89719299999999</v>
      </c>
      <c r="N151">
        <v>166.7790531</v>
      </c>
    </row>
    <row r="152" spans="1:14" x14ac:dyDescent="0.25">
      <c r="A152">
        <v>1</v>
      </c>
      <c r="B152" s="13">
        <v>12.541666666666666</v>
      </c>
      <c r="C152">
        <v>0.53195165499999997</v>
      </c>
      <c r="D152">
        <v>152.6623878</v>
      </c>
      <c r="E152">
        <v>5.0273285000000001E-2</v>
      </c>
      <c r="F152">
        <v>138.54766169999999</v>
      </c>
      <c r="G152">
        <v>140.28313460000001</v>
      </c>
      <c r="H152">
        <v>142.9751899</v>
      </c>
      <c r="I152">
        <v>147.52689570000001</v>
      </c>
      <c r="J152">
        <v>152.6623878</v>
      </c>
      <c r="K152">
        <v>157.8800378</v>
      </c>
      <c r="L152">
        <v>162.64618849999999</v>
      </c>
      <c r="M152">
        <v>165.53024970000001</v>
      </c>
      <c r="N152">
        <v>167.41595359999999</v>
      </c>
    </row>
    <row r="153" spans="1:14" x14ac:dyDescent="0.25">
      <c r="A153">
        <v>1</v>
      </c>
      <c r="B153" s="13">
        <v>12.625</v>
      </c>
      <c r="C153">
        <v>0.56717972500000002</v>
      </c>
      <c r="D153">
        <v>153.26268189999999</v>
      </c>
      <c r="E153">
        <v>5.0306885000000003E-2</v>
      </c>
      <c r="F153">
        <v>139.0596548</v>
      </c>
      <c r="G153">
        <v>140.8085414</v>
      </c>
      <c r="H153">
        <v>143.51996750000001</v>
      </c>
      <c r="I153">
        <v>148.1004983</v>
      </c>
      <c r="J153">
        <v>153.26268189999999</v>
      </c>
      <c r="K153">
        <v>158.5012409</v>
      </c>
      <c r="L153">
        <v>163.28112709999999</v>
      </c>
      <c r="M153">
        <v>166.17105340000001</v>
      </c>
      <c r="N153">
        <v>168.05960690000001</v>
      </c>
    </row>
    <row r="154" spans="1:14" x14ac:dyDescent="0.25">
      <c r="A154">
        <v>1</v>
      </c>
      <c r="B154" s="13">
        <v>12.708333333333334</v>
      </c>
      <c r="C154">
        <v>0.607456565</v>
      </c>
      <c r="D154">
        <v>153.87381239999999</v>
      </c>
      <c r="E154">
        <v>5.0332406000000003E-2</v>
      </c>
      <c r="F154">
        <v>139.57988549999999</v>
      </c>
      <c r="G154">
        <v>141.3429356</v>
      </c>
      <c r="H154">
        <v>144.07464809999999</v>
      </c>
      <c r="I154">
        <v>148.68489020000001</v>
      </c>
      <c r="J154">
        <v>153.87381239999999</v>
      </c>
      <c r="K154">
        <v>159.1323501</v>
      </c>
      <c r="L154">
        <v>163.92430809999999</v>
      </c>
      <c r="M154">
        <v>166.81873289999999</v>
      </c>
      <c r="N154">
        <v>168.70910090000001</v>
      </c>
    </row>
    <row r="155" spans="1:14" x14ac:dyDescent="0.25">
      <c r="A155">
        <v>1</v>
      </c>
      <c r="B155" s="13">
        <v>12.791666666666666</v>
      </c>
      <c r="C155">
        <v>0.65270412099999997</v>
      </c>
      <c r="D155">
        <v>154.495058</v>
      </c>
      <c r="E155">
        <v>5.0348860000000002E-2</v>
      </c>
      <c r="F155">
        <v>140.1079685</v>
      </c>
      <c r="G155">
        <v>141.88590020000001</v>
      </c>
      <c r="H155">
        <v>144.63875759999999</v>
      </c>
      <c r="I155">
        <v>149.27948570000001</v>
      </c>
      <c r="J155">
        <v>154.495058</v>
      </c>
      <c r="K155">
        <v>159.7725112</v>
      </c>
      <c r="L155">
        <v>164.57477209999999</v>
      </c>
      <c r="M155">
        <v>167.47227760000001</v>
      </c>
      <c r="N155">
        <v>169.36339760000001</v>
      </c>
    </row>
    <row r="156" spans="1:14" x14ac:dyDescent="0.25">
      <c r="A156">
        <v>1</v>
      </c>
      <c r="B156" s="13">
        <v>12.875</v>
      </c>
      <c r="C156">
        <v>0.70275986800000001</v>
      </c>
      <c r="D156">
        <v>155.12553650000001</v>
      </c>
      <c r="E156">
        <v>5.0355216000000001E-2</v>
      </c>
      <c r="F156">
        <v>140.64345359999999</v>
      </c>
      <c r="G156">
        <v>142.43693540000001</v>
      </c>
      <c r="H156">
        <v>145.21171440000001</v>
      </c>
      <c r="I156">
        <v>149.88355910000001</v>
      </c>
      <c r="J156">
        <v>155.12553650000001</v>
      </c>
      <c r="K156">
        <v>160.42070620000001</v>
      </c>
      <c r="L156">
        <v>165.23141089999999</v>
      </c>
      <c r="M156">
        <v>168.13054439999999</v>
      </c>
      <c r="N156">
        <v>170.02134079999999</v>
      </c>
    </row>
    <row r="157" spans="1:14" x14ac:dyDescent="0.25">
      <c r="A157">
        <v>1</v>
      </c>
      <c r="B157" s="13">
        <v>12.958333333333334</v>
      </c>
      <c r="C157">
        <v>0.75737910600000002</v>
      </c>
      <c r="D157">
        <v>155.76420859999999</v>
      </c>
      <c r="E157">
        <v>5.0350422999999998E-2</v>
      </c>
      <c r="F157">
        <v>141.1858268</v>
      </c>
      <c r="G157">
        <v>142.99545910000001</v>
      </c>
      <c r="H157">
        <v>145.7928297</v>
      </c>
      <c r="I157">
        <v>150.4962462</v>
      </c>
      <c r="J157">
        <v>155.76420859999999</v>
      </c>
      <c r="K157">
        <v>161.07576030000001</v>
      </c>
      <c r="L157">
        <v>165.892976</v>
      </c>
      <c r="M157">
        <v>168.7922681</v>
      </c>
      <c r="N157">
        <v>170.68166650000001</v>
      </c>
    </row>
    <row r="158" spans="1:14" x14ac:dyDescent="0.25">
      <c r="A158">
        <v>1</v>
      </c>
      <c r="B158" s="13">
        <v>13.041666666666666</v>
      </c>
      <c r="C158">
        <v>0.81623971299999998</v>
      </c>
      <c r="D158">
        <v>156.40988580000001</v>
      </c>
      <c r="E158">
        <v>5.0333443999999998E-2</v>
      </c>
      <c r="F158">
        <v>141.73451159999999</v>
      </c>
      <c r="G158">
        <v>143.5608087</v>
      </c>
      <c r="H158">
        <v>146.3813098</v>
      </c>
      <c r="I158">
        <v>151.11654870000001</v>
      </c>
      <c r="J158">
        <v>156.40988580000001</v>
      </c>
      <c r="K158">
        <v>161.7363527</v>
      </c>
      <c r="L158">
        <v>166.55809170000001</v>
      </c>
      <c r="M158">
        <v>169.45607419999999</v>
      </c>
      <c r="N158">
        <v>171.34301629999999</v>
      </c>
    </row>
    <row r="159" spans="1:14" x14ac:dyDescent="0.25">
      <c r="A159">
        <v>1</v>
      </c>
      <c r="B159" s="13">
        <v>13.125</v>
      </c>
      <c r="C159">
        <v>0.87894741600000004</v>
      </c>
      <c r="D159">
        <v>157.06124149999999</v>
      </c>
      <c r="E159">
        <v>5.0303282999999997E-2</v>
      </c>
      <c r="F159">
        <v>142.28887119999999</v>
      </c>
      <c r="G159">
        <v>144.1322433</v>
      </c>
      <c r="H159">
        <v>146.9762604</v>
      </c>
      <c r="I159">
        <v>151.74334160000001</v>
      </c>
      <c r="J159">
        <v>157.06124149999999</v>
      </c>
      <c r="K159">
        <v>162.40103110000001</v>
      </c>
      <c r="L159">
        <v>167.2252714</v>
      </c>
      <c r="M159">
        <v>170.12049590000001</v>
      </c>
      <c r="N159">
        <v>172.00395349999999</v>
      </c>
    </row>
    <row r="160" spans="1:14" x14ac:dyDescent="0.25">
      <c r="A160">
        <v>1</v>
      </c>
      <c r="B160" s="13">
        <v>13.208333333333334</v>
      </c>
      <c r="C160">
        <v>0.94505348600000005</v>
      </c>
      <c r="D160">
        <v>157.7168289</v>
      </c>
      <c r="E160">
        <v>5.0259018000000003E-2</v>
      </c>
      <c r="F160">
        <v>142.84820769999999</v>
      </c>
      <c r="G160">
        <v>144.70894659999999</v>
      </c>
      <c r="H160">
        <v>147.57669300000001</v>
      </c>
      <c r="I160">
        <v>152.3753859</v>
      </c>
      <c r="J160">
        <v>157.7168289</v>
      </c>
      <c r="K160">
        <v>163.06823209999999</v>
      </c>
      <c r="L160">
        <v>167.8929368</v>
      </c>
      <c r="M160">
        <v>170.78399089999999</v>
      </c>
      <c r="N160">
        <v>172.66297800000001</v>
      </c>
    </row>
    <row r="161" spans="1:14" x14ac:dyDescent="0.25">
      <c r="A161">
        <v>1</v>
      </c>
      <c r="B161" s="13">
        <v>13.291666666666666</v>
      </c>
      <c r="C161">
        <v>1.0140461080000001</v>
      </c>
      <c r="D161">
        <v>158.3750929</v>
      </c>
      <c r="E161">
        <v>5.0199836999999997E-2</v>
      </c>
      <c r="F161">
        <v>143.4117718</v>
      </c>
      <c r="G161">
        <v>145.29003460000001</v>
      </c>
      <c r="H161">
        <v>148.18153190000001</v>
      </c>
      <c r="I161">
        <v>153.01133680000001</v>
      </c>
      <c r="J161">
        <v>158.3750929</v>
      </c>
      <c r="K161">
        <v>163.73629819999999</v>
      </c>
      <c r="L161">
        <v>168.55944020000001</v>
      </c>
      <c r="M161">
        <v>171.44496599999999</v>
      </c>
      <c r="N161">
        <v>173.3185527</v>
      </c>
    </row>
    <row r="162" spans="1:14" x14ac:dyDescent="0.25">
      <c r="A162">
        <v>1</v>
      </c>
      <c r="B162" s="13">
        <v>13.375</v>
      </c>
      <c r="C162">
        <v>1.085383319</v>
      </c>
      <c r="D162">
        <v>159.03439900000001</v>
      </c>
      <c r="E162">
        <v>5.0125061999999998E-2</v>
      </c>
      <c r="F162">
        <v>143.9787585</v>
      </c>
      <c r="G162">
        <v>145.87455790000001</v>
      </c>
      <c r="H162">
        <v>148.78962530000001</v>
      </c>
      <c r="I162">
        <v>153.64976540000001</v>
      </c>
      <c r="J162">
        <v>159.03439900000001</v>
      </c>
      <c r="K162">
        <v>164.40350749999999</v>
      </c>
      <c r="L162">
        <v>169.2230883</v>
      </c>
      <c r="M162">
        <v>172.1017957</v>
      </c>
      <c r="N162">
        <v>173.96911639999999</v>
      </c>
    </row>
    <row r="163" spans="1:14" x14ac:dyDescent="0.25">
      <c r="A163">
        <v>1</v>
      </c>
      <c r="B163" s="13">
        <v>13.458333333333334</v>
      </c>
      <c r="C163">
        <v>1.158487278</v>
      </c>
      <c r="D163">
        <v>159.69305009999999</v>
      </c>
      <c r="E163">
        <v>5.0034179999999998E-2</v>
      </c>
      <c r="F163">
        <v>144.5483179</v>
      </c>
      <c r="G163">
        <v>146.46151169999999</v>
      </c>
      <c r="H163">
        <v>149.3997554</v>
      </c>
      <c r="I163">
        <v>154.28917190000001</v>
      </c>
      <c r="J163">
        <v>159.69305009999999</v>
      </c>
      <c r="K163">
        <v>165.06809480000001</v>
      </c>
      <c r="L163">
        <v>169.88216779999999</v>
      </c>
      <c r="M163">
        <v>172.75284909999999</v>
      </c>
      <c r="N163">
        <v>174.61311230000001</v>
      </c>
    </row>
    <row r="164" spans="1:14" x14ac:dyDescent="0.25">
      <c r="A164">
        <v>1</v>
      </c>
      <c r="B164" s="13">
        <v>13.541666666666666</v>
      </c>
      <c r="C164">
        <v>1.2327688160000001</v>
      </c>
      <c r="D164">
        <v>160.3493168</v>
      </c>
      <c r="E164">
        <v>4.9926861000000003E-2</v>
      </c>
      <c r="F164">
        <v>145.11955520000001</v>
      </c>
      <c r="G164">
        <v>147.04984210000001</v>
      </c>
      <c r="H164">
        <v>150.01065249999999</v>
      </c>
      <c r="I164">
        <v>154.9280091</v>
      </c>
      <c r="J164">
        <v>160.3493168</v>
      </c>
      <c r="K164">
        <v>165.72828229999999</v>
      </c>
      <c r="L164">
        <v>170.5349712</v>
      </c>
      <c r="M164">
        <v>173.39651119999999</v>
      </c>
      <c r="N164">
        <v>175.2490052</v>
      </c>
    </row>
    <row r="165" spans="1:14" x14ac:dyDescent="0.25">
      <c r="A165">
        <v>1</v>
      </c>
      <c r="B165" s="13">
        <v>13.625</v>
      </c>
      <c r="C165">
        <v>1.307628899</v>
      </c>
      <c r="D165">
        <v>161.00145860000001</v>
      </c>
      <c r="E165">
        <v>4.9802976999999998E-2</v>
      </c>
      <c r="F165">
        <v>145.6915401</v>
      </c>
      <c r="G165">
        <v>147.63845670000001</v>
      </c>
      <c r="H165">
        <v>150.6210083</v>
      </c>
      <c r="I165">
        <v>155.5647003</v>
      </c>
      <c r="J165">
        <v>161.00145860000001</v>
      </c>
      <c r="K165">
        <v>166.38230419999999</v>
      </c>
      <c r="L165">
        <v>171.17982240000001</v>
      </c>
      <c r="M165">
        <v>174.0312083</v>
      </c>
      <c r="N165">
        <v>175.87530659999999</v>
      </c>
    </row>
    <row r="166" spans="1:14" x14ac:dyDescent="0.25">
      <c r="A166">
        <v>1</v>
      </c>
      <c r="B166" s="13">
        <v>13.708333333333334</v>
      </c>
      <c r="C166">
        <v>1.382473225</v>
      </c>
      <c r="D166">
        <v>161.6477515</v>
      </c>
      <c r="E166">
        <v>4.9662610000000003E-2</v>
      </c>
      <c r="F166">
        <v>146.26331189999999</v>
      </c>
      <c r="G166">
        <v>148.22623400000001</v>
      </c>
      <c r="H166">
        <v>151.22949130000001</v>
      </c>
      <c r="I166">
        <v>156.1976616</v>
      </c>
      <c r="J166">
        <v>161.6477515</v>
      </c>
      <c r="K166">
        <v>167.02843379999999</v>
      </c>
      <c r="L166">
        <v>171.81510130000001</v>
      </c>
      <c r="M166">
        <v>174.6554295</v>
      </c>
      <c r="N166">
        <v>176.49059399999999</v>
      </c>
    </row>
    <row r="167" spans="1:14" x14ac:dyDescent="0.25">
      <c r="A167">
        <v>1</v>
      </c>
      <c r="B167" s="13">
        <v>13.791666666666666</v>
      </c>
      <c r="C167">
        <v>1.4567204789999999</v>
      </c>
      <c r="D167">
        <v>162.28651189999999</v>
      </c>
      <c r="E167">
        <v>4.9506051000000002E-2</v>
      </c>
      <c r="F167">
        <v>146.83388679999999</v>
      </c>
      <c r="G167">
        <v>148.8120346</v>
      </c>
      <c r="H167">
        <v>151.8347622</v>
      </c>
      <c r="I167">
        <v>156.82532380000001</v>
      </c>
      <c r="J167">
        <v>162.28651189999999</v>
      </c>
      <c r="K167">
        <v>167.6650085</v>
      </c>
      <c r="L167">
        <v>172.4392666</v>
      </c>
      <c r="M167">
        <v>175.26774810000001</v>
      </c>
      <c r="N167">
        <v>177.09352989999999</v>
      </c>
    </row>
    <row r="168" spans="1:14" x14ac:dyDescent="0.25">
      <c r="A168">
        <v>1</v>
      </c>
      <c r="B168" s="13">
        <v>13.875</v>
      </c>
      <c r="C168">
        <v>1.5298102469999999</v>
      </c>
      <c r="D168">
        <v>162.91612019999999</v>
      </c>
      <c r="E168">
        <v>4.9333800999999997E-2</v>
      </c>
      <c r="F168">
        <v>147.40226569999999</v>
      </c>
      <c r="G168">
        <v>149.394712</v>
      </c>
      <c r="H168">
        <v>152.43548949999999</v>
      </c>
      <c r="I168">
        <v>157.44615229999999</v>
      </c>
      <c r="J168">
        <v>162.91612019999999</v>
      </c>
      <c r="K168">
        <v>168.2904522</v>
      </c>
      <c r="L168">
        <v>173.0508762</v>
      </c>
      <c r="M168">
        <v>175.86683930000001</v>
      </c>
      <c r="N168">
        <v>177.68287950000001</v>
      </c>
    </row>
    <row r="169" spans="1:14" x14ac:dyDescent="0.25">
      <c r="A169">
        <v>1</v>
      </c>
      <c r="B169" s="13">
        <v>13.958333333333334</v>
      </c>
      <c r="C169">
        <v>1.6012195730000001</v>
      </c>
      <c r="D169">
        <v>163.535045</v>
      </c>
      <c r="E169">
        <v>4.9146553000000003E-2</v>
      </c>
      <c r="F169">
        <v>147.9674393</v>
      </c>
      <c r="G169">
        <v>149.97312260000001</v>
      </c>
      <c r="H169">
        <v>153.03036539999999</v>
      </c>
      <c r="I169">
        <v>158.0586697</v>
      </c>
      <c r="J169">
        <v>163.535045</v>
      </c>
      <c r="K169">
        <v>168.9032981</v>
      </c>
      <c r="L169">
        <v>173.6486051</v>
      </c>
      <c r="M169">
        <v>176.45149470000001</v>
      </c>
      <c r="N169">
        <v>178.25752109999999</v>
      </c>
    </row>
    <row r="170" spans="1:14" x14ac:dyDescent="0.25">
      <c r="A170">
        <v>1</v>
      </c>
      <c r="B170" s="13">
        <v>14.041666666666666</v>
      </c>
      <c r="C170">
        <v>1.6704334439999999</v>
      </c>
      <c r="D170">
        <v>164.1418486</v>
      </c>
      <c r="E170">
        <v>4.894519E-2</v>
      </c>
      <c r="F170">
        <v>148.52840889999999</v>
      </c>
      <c r="G170">
        <v>150.54614309999999</v>
      </c>
      <c r="H170">
        <v>153.6181187</v>
      </c>
      <c r="I170">
        <v>158.66146359999999</v>
      </c>
      <c r="J170">
        <v>164.1418486</v>
      </c>
      <c r="K170">
        <v>169.50219630000001</v>
      </c>
      <c r="L170">
        <v>174.2312589</v>
      </c>
      <c r="M170">
        <v>177.02064089999999</v>
      </c>
      <c r="N170">
        <v>178.81646929999999</v>
      </c>
    </row>
    <row r="171" spans="1:14" x14ac:dyDescent="0.25">
      <c r="A171">
        <v>1</v>
      </c>
      <c r="B171" s="13">
        <v>14.125</v>
      </c>
      <c r="C171">
        <v>1.736995571</v>
      </c>
      <c r="D171">
        <v>164.7352199</v>
      </c>
      <c r="E171">
        <v>4.8730748999999997E-2</v>
      </c>
      <c r="F171">
        <v>149.08417890000001</v>
      </c>
      <c r="G171">
        <v>151.1126739</v>
      </c>
      <c r="H171">
        <v>154.19753119999999</v>
      </c>
      <c r="I171">
        <v>159.2532157</v>
      </c>
      <c r="J171">
        <v>164.7352199</v>
      </c>
      <c r="K171">
        <v>170.08593880000001</v>
      </c>
      <c r="L171">
        <v>174.79778519999999</v>
      </c>
      <c r="M171">
        <v>177.57334059999999</v>
      </c>
      <c r="N171">
        <v>179.3588685</v>
      </c>
    </row>
    <row r="172" spans="1:14" x14ac:dyDescent="0.25">
      <c r="A172">
        <v>1</v>
      </c>
      <c r="B172" s="13">
        <v>14.208333333333334</v>
      </c>
      <c r="C172">
        <v>1.800483802</v>
      </c>
      <c r="D172">
        <v>165.3139755</v>
      </c>
      <c r="E172">
        <v>4.8504404000000001E-2</v>
      </c>
      <c r="F172">
        <v>149.6337753</v>
      </c>
      <c r="G172">
        <v>151.67165439999999</v>
      </c>
      <c r="H172">
        <v>154.76744840000001</v>
      </c>
      <c r="I172">
        <v>159.83270680000001</v>
      </c>
      <c r="J172">
        <v>165.3139755</v>
      </c>
      <c r="K172">
        <v>170.6534628</v>
      </c>
      <c r="L172">
        <v>175.34728100000001</v>
      </c>
      <c r="M172">
        <v>178.1088034</v>
      </c>
      <c r="N172">
        <v>179.88400659999999</v>
      </c>
    </row>
    <row r="173" spans="1:14" x14ac:dyDescent="0.25">
      <c r="A173">
        <v>1</v>
      </c>
      <c r="B173" s="13">
        <v>14.291666666666666</v>
      </c>
      <c r="C173">
        <v>1.860518777</v>
      </c>
      <c r="D173">
        <v>165.8770715</v>
      </c>
      <c r="E173">
        <v>4.8267442000000001E-2</v>
      </c>
      <c r="F173">
        <v>150.1762526</v>
      </c>
      <c r="G173">
        <v>152.22207180000001</v>
      </c>
      <c r="H173">
        <v>155.3267913</v>
      </c>
      <c r="I173">
        <v>160.3988301</v>
      </c>
      <c r="J173">
        <v>165.8770715</v>
      </c>
      <c r="K173">
        <v>171.2038574</v>
      </c>
      <c r="L173">
        <v>175.87899609999999</v>
      </c>
      <c r="M173">
        <v>178.6263873</v>
      </c>
      <c r="N173">
        <v>180.3913154</v>
      </c>
    </row>
    <row r="174" spans="1:14" x14ac:dyDescent="0.25">
      <c r="A174">
        <v>1</v>
      </c>
      <c r="B174" s="13">
        <v>14.375</v>
      </c>
      <c r="C174">
        <v>1.916765525</v>
      </c>
      <c r="D174">
        <v>166.42360869999999</v>
      </c>
      <c r="E174">
        <v>4.8021229999999998E-2</v>
      </c>
      <c r="F174">
        <v>150.71070130000001</v>
      </c>
      <c r="G174">
        <v>152.76297009999999</v>
      </c>
      <c r="H174">
        <v>155.87456499999999</v>
      </c>
      <c r="I174">
        <v>160.95059850000001</v>
      </c>
      <c r="J174">
        <v>166.42360869999999</v>
      </c>
      <c r="K174">
        <v>171.73636730000001</v>
      </c>
      <c r="L174">
        <v>176.39233400000001</v>
      </c>
      <c r="M174">
        <v>179.12559870000001</v>
      </c>
      <c r="N174">
        <v>180.88036980000001</v>
      </c>
    </row>
    <row r="175" spans="1:14" x14ac:dyDescent="0.25">
      <c r="A175">
        <v>1</v>
      </c>
      <c r="B175" s="13">
        <v>14.458333333333334</v>
      </c>
      <c r="C175">
        <v>1.9689344440000001</v>
      </c>
      <c r="D175">
        <v>166.9528354</v>
      </c>
      <c r="E175">
        <v>4.7767192E-2</v>
      </c>
      <c r="F175">
        <v>151.23625659999999</v>
      </c>
      <c r="G175">
        <v>153.2934582</v>
      </c>
      <c r="H175">
        <v>156.40986649999999</v>
      </c>
      <c r="I175">
        <v>161.4871507</v>
      </c>
      <c r="J175">
        <v>166.9528354</v>
      </c>
      <c r="K175">
        <v>172.25039179999999</v>
      </c>
      <c r="L175">
        <v>176.88684889999999</v>
      </c>
      <c r="M175">
        <v>179.6060885</v>
      </c>
      <c r="N175">
        <v>181.3508837</v>
      </c>
    </row>
    <row r="176" spans="1:14" x14ac:dyDescent="0.25">
      <c r="A176">
        <v>1</v>
      </c>
      <c r="B176" s="13">
        <v>14.541666666666666</v>
      </c>
      <c r="C176">
        <v>2.0167817760000002</v>
      </c>
      <c r="D176">
        <v>167.46414659999999</v>
      </c>
      <c r="E176">
        <v>4.7506782999999997E-2</v>
      </c>
      <c r="F176">
        <v>151.7521046</v>
      </c>
      <c r="G176">
        <v>153.81271630000001</v>
      </c>
      <c r="H176">
        <v>156.9318906</v>
      </c>
      <c r="I176">
        <v>162.0077536</v>
      </c>
      <c r="J176">
        <v>167.46414659999999</v>
      </c>
      <c r="K176">
        <v>172.7454817</v>
      </c>
      <c r="L176">
        <v>177.36224129999999</v>
      </c>
      <c r="M176">
        <v>180.0676464</v>
      </c>
      <c r="N176">
        <v>181.8027041</v>
      </c>
    </row>
    <row r="177" spans="1:14" x14ac:dyDescent="0.25">
      <c r="A177">
        <v>1</v>
      </c>
      <c r="B177" s="13">
        <v>14.625</v>
      </c>
      <c r="C177">
        <v>2.060109658</v>
      </c>
      <c r="D177">
        <v>167.95708139999999</v>
      </c>
      <c r="E177">
        <v>4.7241456000000001E-2</v>
      </c>
      <c r="F177">
        <v>152.25748870000001</v>
      </c>
      <c r="G177">
        <v>154.3200013</v>
      </c>
      <c r="H177">
        <v>157.43993270000001</v>
      </c>
      <c r="I177">
        <v>162.51180310000001</v>
      </c>
      <c r="J177">
        <v>167.95708139999999</v>
      </c>
      <c r="K177">
        <v>173.22133349999999</v>
      </c>
      <c r="L177">
        <v>177.81834989999999</v>
      </c>
      <c r="M177">
        <v>180.51019360000001</v>
      </c>
      <c r="N177">
        <v>182.23580340000001</v>
      </c>
    </row>
    <row r="178" spans="1:14" x14ac:dyDescent="0.25">
      <c r="A178">
        <v>1</v>
      </c>
      <c r="B178" s="13">
        <v>14.708333333333334</v>
      </c>
      <c r="C178">
        <v>2.0987658169999999</v>
      </c>
      <c r="D178">
        <v>168.43131750000001</v>
      </c>
      <c r="E178">
        <v>4.6972649999999998E-2</v>
      </c>
      <c r="F178">
        <v>152.75171510000001</v>
      </c>
      <c r="G178">
        <v>154.814651</v>
      </c>
      <c r="H178">
        <v>157.9333914</v>
      </c>
      <c r="I178">
        <v>162.99882220000001</v>
      </c>
      <c r="J178">
        <v>168.43131750000001</v>
      </c>
      <c r="K178">
        <v>173.67778190000001</v>
      </c>
      <c r="L178">
        <v>178.2551431</v>
      </c>
      <c r="M178">
        <v>180.9337725</v>
      </c>
      <c r="N178">
        <v>182.65026940000001</v>
      </c>
    </row>
    <row r="179" spans="1:14" x14ac:dyDescent="0.25">
      <c r="A179">
        <v>1</v>
      </c>
      <c r="B179" s="13">
        <v>14.791666666666666</v>
      </c>
      <c r="C179">
        <v>2.132642948</v>
      </c>
      <c r="D179">
        <v>168.8866644</v>
      </c>
      <c r="E179">
        <v>4.6701759000000002E-2</v>
      </c>
      <c r="F179">
        <v>153.2341567</v>
      </c>
      <c r="G179">
        <v>155.2960861</v>
      </c>
      <c r="H179">
        <v>158.41176849999999</v>
      </c>
      <c r="I179">
        <v>163.4684575</v>
      </c>
      <c r="J179">
        <v>168.8866644</v>
      </c>
      <c r="K179">
        <v>174.11478990000001</v>
      </c>
      <c r="L179">
        <v>178.67270809999999</v>
      </c>
      <c r="M179">
        <v>181.33853640000001</v>
      </c>
      <c r="N179">
        <v>183.04629460000001</v>
      </c>
    </row>
    <row r="180" spans="1:14" x14ac:dyDescent="0.25">
      <c r="A180">
        <v>1</v>
      </c>
      <c r="B180" s="13">
        <v>14.875</v>
      </c>
      <c r="C180">
        <v>2.1616777900000002</v>
      </c>
      <c r="D180">
        <v>169.32305479999999</v>
      </c>
      <c r="E180">
        <v>4.6430121999999997E-2</v>
      </c>
      <c r="F180">
        <v>153.7042563</v>
      </c>
      <c r="G180">
        <v>155.76381230000001</v>
      </c>
      <c r="H180">
        <v>158.8746672</v>
      </c>
      <c r="I180">
        <v>163.9204738</v>
      </c>
      <c r="J180">
        <v>169.32305479999999</v>
      </c>
      <c r="K180">
        <v>174.53243879999999</v>
      </c>
      <c r="L180">
        <v>179.0712394</v>
      </c>
      <c r="M180">
        <v>181.7247376</v>
      </c>
      <c r="N180">
        <v>183.42416460000001</v>
      </c>
    </row>
    <row r="181" spans="1:14" x14ac:dyDescent="0.25">
      <c r="A181">
        <v>1</v>
      </c>
      <c r="B181" s="13">
        <v>14.958333333333334</v>
      </c>
      <c r="C181">
        <v>2.1858499039999999</v>
      </c>
      <c r="D181">
        <v>169.74053509999999</v>
      </c>
      <c r="E181">
        <v>4.6159003999999997E-2</v>
      </c>
      <c r="F181">
        <v>154.16152880000001</v>
      </c>
      <c r="G181">
        <v>156.2174196</v>
      </c>
      <c r="H181">
        <v>159.32179009999999</v>
      </c>
      <c r="I181">
        <v>164.35474790000001</v>
      </c>
      <c r="J181">
        <v>169.74053509999999</v>
      </c>
      <c r="K181">
        <v>174.9309165</v>
      </c>
      <c r="L181">
        <v>179.4510272</v>
      </c>
      <c r="M181">
        <v>182.09271559999999</v>
      </c>
      <c r="N181">
        <v>183.78424659999999</v>
      </c>
    </row>
    <row r="182" spans="1:14" x14ac:dyDescent="0.25">
      <c r="A182">
        <v>1</v>
      </c>
      <c r="B182" s="13">
        <v>15.041666666666666</v>
      </c>
      <c r="C182">
        <v>2.2051801530000001</v>
      </c>
      <c r="D182">
        <v>170.13925499999999</v>
      </c>
      <c r="E182">
        <v>4.5889584999999997E-2</v>
      </c>
      <c r="F182">
        <v>154.60556220000001</v>
      </c>
      <c r="G182">
        <v>156.6565818</v>
      </c>
      <c r="H182">
        <v>159.75293429999999</v>
      </c>
      <c r="I182">
        <v>164.77126029999999</v>
      </c>
      <c r="J182">
        <v>170.13925499999999</v>
      </c>
      <c r="K182">
        <v>175.310506</v>
      </c>
      <c r="L182">
        <v>179.81244469999999</v>
      </c>
      <c r="M182">
        <v>182.44288510000001</v>
      </c>
      <c r="N182">
        <v>184.1269767</v>
      </c>
    </row>
    <row r="183" spans="1:14" x14ac:dyDescent="0.25">
      <c r="A183">
        <v>1</v>
      </c>
      <c r="B183" s="13">
        <v>15.125</v>
      </c>
      <c r="C183">
        <v>2.2197288689999999</v>
      </c>
      <c r="D183">
        <v>170.51945670000001</v>
      </c>
      <c r="E183">
        <v>4.5622955E-2</v>
      </c>
      <c r="F183">
        <v>155.03601750000001</v>
      </c>
      <c r="G183">
        <v>157.0810539</v>
      </c>
      <c r="H183">
        <v>160.16798739999999</v>
      </c>
      <c r="I183">
        <v>165.17008730000001</v>
      </c>
      <c r="J183">
        <v>170.51945670000001</v>
      </c>
      <c r="K183">
        <v>175.67157330000001</v>
      </c>
      <c r="L183">
        <v>180.15593630000001</v>
      </c>
      <c r="M183">
        <v>182.7757235</v>
      </c>
      <c r="N183">
        <v>184.4528488</v>
      </c>
    </row>
    <row r="184" spans="1:14" x14ac:dyDescent="0.25">
      <c r="A184">
        <v>1</v>
      </c>
      <c r="B184" s="13">
        <v>15.208333333333334</v>
      </c>
      <c r="C184">
        <v>2.2295937000000001</v>
      </c>
      <c r="D184">
        <v>170.88146399999999</v>
      </c>
      <c r="E184">
        <v>4.5360101E-2</v>
      </c>
      <c r="F184">
        <v>155.452628</v>
      </c>
      <c r="G184">
        <v>157.49066959999999</v>
      </c>
      <c r="H184">
        <v>160.5669211</v>
      </c>
      <c r="I184">
        <v>165.5513919</v>
      </c>
      <c r="J184">
        <v>170.88146399999999</v>
      </c>
      <c r="K184">
        <v>176.01455559999999</v>
      </c>
      <c r="L184">
        <v>180.48200610000001</v>
      </c>
      <c r="M184">
        <v>183.09175999999999</v>
      </c>
      <c r="N184">
        <v>184.7624031</v>
      </c>
    </row>
    <row r="185" spans="1:14" x14ac:dyDescent="0.25">
      <c r="A185">
        <v>1</v>
      </c>
      <c r="B185" s="13">
        <v>15.291666666666666</v>
      </c>
      <c r="C185">
        <v>2.2349071440000001</v>
      </c>
      <c r="D185">
        <v>171.22567169999999</v>
      </c>
      <c r="E185">
        <v>4.5101913E-2</v>
      </c>
      <c r="F185">
        <v>155.8551976</v>
      </c>
      <c r="G185">
        <v>157.8853369</v>
      </c>
      <c r="H185">
        <v>160.94978520000001</v>
      </c>
      <c r="I185">
        <v>165.91541470000001</v>
      </c>
      <c r="J185">
        <v>171.22567169999999</v>
      </c>
      <c r="K185">
        <v>176.33995039999999</v>
      </c>
      <c r="L185">
        <v>180.79120599999999</v>
      </c>
      <c r="M185">
        <v>183.3915648</v>
      </c>
      <c r="N185">
        <v>185.05621590000001</v>
      </c>
    </row>
    <row r="186" spans="1:14" x14ac:dyDescent="0.25">
      <c r="A186">
        <v>1</v>
      </c>
      <c r="B186" s="13">
        <v>15.375</v>
      </c>
      <c r="C186">
        <v>2.2358337669999999</v>
      </c>
      <c r="D186">
        <v>171.55253450000001</v>
      </c>
      <c r="E186">
        <v>4.4849173999999999E-2</v>
      </c>
      <c r="F186">
        <v>156.24359799999999</v>
      </c>
      <c r="G186">
        <v>158.2650343</v>
      </c>
      <c r="H186">
        <v>161.31670059999999</v>
      </c>
      <c r="I186">
        <v>166.2624644</v>
      </c>
      <c r="J186">
        <v>171.55253450000001</v>
      </c>
      <c r="K186">
        <v>176.648304</v>
      </c>
      <c r="L186">
        <v>181.08412630000001</v>
      </c>
      <c r="M186">
        <v>183.67573859999999</v>
      </c>
      <c r="N186">
        <v>185.33488929999999</v>
      </c>
    </row>
    <row r="187" spans="1:14" x14ac:dyDescent="0.25">
      <c r="A187">
        <v>1</v>
      </c>
      <c r="B187" s="13">
        <v>15.458333333333334</v>
      </c>
      <c r="C187">
        <v>2.2325671379999998</v>
      </c>
      <c r="D187">
        <v>171.8625576</v>
      </c>
      <c r="E187">
        <v>4.4602566000000003E-2</v>
      </c>
      <c r="F187">
        <v>156.61776620000001</v>
      </c>
      <c r="G187">
        <v>158.6298055</v>
      </c>
      <c r="H187">
        <v>161.66785279999999</v>
      </c>
      <c r="I187">
        <v>166.59290920000001</v>
      </c>
      <c r="J187">
        <v>171.8625576</v>
      </c>
      <c r="K187">
        <v>176.94020209999999</v>
      </c>
      <c r="L187">
        <v>181.36138510000001</v>
      </c>
      <c r="M187">
        <v>183.94490379999999</v>
      </c>
      <c r="N187">
        <v>185.59904309999999</v>
      </c>
    </row>
    <row r="188" spans="1:14" x14ac:dyDescent="0.25">
      <c r="A188">
        <v>1</v>
      </c>
      <c r="B188" s="13">
        <v>15.541666666666666</v>
      </c>
      <c r="C188">
        <v>2.2253265</v>
      </c>
      <c r="D188">
        <v>172.15628649999999</v>
      </c>
      <c r="E188">
        <v>4.4362673999999998E-2</v>
      </c>
      <c r="F188">
        <v>156.9777005</v>
      </c>
      <c r="G188">
        <v>158.97975439999999</v>
      </c>
      <c r="H188">
        <v>162.00348460000001</v>
      </c>
      <c r="I188">
        <v>166.90716739999999</v>
      </c>
      <c r="J188">
        <v>172.15628649999999</v>
      </c>
      <c r="K188">
        <v>177.21625979999999</v>
      </c>
      <c r="L188">
        <v>181.6236202</v>
      </c>
      <c r="M188">
        <v>184.19969649999999</v>
      </c>
      <c r="N188">
        <v>185.84930629999999</v>
      </c>
    </row>
    <row r="189" spans="1:14" x14ac:dyDescent="0.25">
      <c r="A189">
        <v>1</v>
      </c>
      <c r="B189" s="13">
        <v>15.625</v>
      </c>
      <c r="C189">
        <v>2.2143532320000001</v>
      </c>
      <c r="D189">
        <v>172.43429829999999</v>
      </c>
      <c r="E189">
        <v>4.4129984999999997E-2</v>
      </c>
      <c r="F189">
        <v>157.32345649999999</v>
      </c>
      <c r="G189">
        <v>159.31504000000001</v>
      </c>
      <c r="H189">
        <v>162.32388889999999</v>
      </c>
      <c r="I189">
        <v>167.20569929999999</v>
      </c>
      <c r="J189">
        <v>172.43429829999999</v>
      </c>
      <c r="K189">
        <v>177.47711340000001</v>
      </c>
      <c r="L189">
        <v>181.87148099999999</v>
      </c>
      <c r="M189">
        <v>184.44075849999999</v>
      </c>
      <c r="N189">
        <v>186.0863109</v>
      </c>
    </row>
    <row r="190" spans="1:14" x14ac:dyDescent="0.25">
      <c r="A190">
        <v>1</v>
      </c>
      <c r="B190" s="13">
        <v>15.708333333333334</v>
      </c>
      <c r="C190">
        <v>2.1999059019999998</v>
      </c>
      <c r="D190">
        <v>172.6971935</v>
      </c>
      <c r="E190">
        <v>4.3904896999999998E-2</v>
      </c>
      <c r="F190">
        <v>157.6551432</v>
      </c>
      <c r="G190">
        <v>159.63587029999999</v>
      </c>
      <c r="H190">
        <v>162.62940219999999</v>
      </c>
      <c r="I190">
        <v>167.4889986</v>
      </c>
      <c r="J190">
        <v>172.6971935</v>
      </c>
      <c r="K190">
        <v>177.72341220000001</v>
      </c>
      <c r="L190">
        <v>182.10562179999999</v>
      </c>
      <c r="M190">
        <v>184.6687321</v>
      </c>
      <c r="N190">
        <v>186.31068590000001</v>
      </c>
    </row>
    <row r="191" spans="1:14" x14ac:dyDescent="0.25">
      <c r="A191">
        <v>1</v>
      </c>
      <c r="B191" s="13">
        <v>15.791666666666666</v>
      </c>
      <c r="C191">
        <v>2.1822628640000001</v>
      </c>
      <c r="D191">
        <v>172.94558979999999</v>
      </c>
      <c r="E191">
        <v>4.3687722999999998E-2</v>
      </c>
      <c r="F191">
        <v>157.97291659999999</v>
      </c>
      <c r="G191">
        <v>159.94249679999999</v>
      </c>
      <c r="H191">
        <v>162.92039829999999</v>
      </c>
      <c r="I191">
        <v>167.75758719999999</v>
      </c>
      <c r="J191">
        <v>172.94558979999999</v>
      </c>
      <c r="K191">
        <v>177.9558135</v>
      </c>
      <c r="L191">
        <v>182.32669569999999</v>
      </c>
      <c r="M191">
        <v>184.8842531</v>
      </c>
      <c r="N191">
        <v>186.52305050000001</v>
      </c>
    </row>
    <row r="192" spans="1:14" x14ac:dyDescent="0.25">
      <c r="A192">
        <v>1</v>
      </c>
      <c r="B192" s="13">
        <v>15.875</v>
      </c>
      <c r="C192">
        <v>2.1617049690000001</v>
      </c>
      <c r="D192">
        <v>173.18011200000001</v>
      </c>
      <c r="E192">
        <v>4.3478698000000003E-2</v>
      </c>
      <c r="F192">
        <v>158.27697929999999</v>
      </c>
      <c r="G192">
        <v>160.23521020000001</v>
      </c>
      <c r="H192">
        <v>163.1972811</v>
      </c>
      <c r="I192">
        <v>168.01200399999999</v>
      </c>
      <c r="J192">
        <v>173.18011200000001</v>
      </c>
      <c r="K192">
        <v>178.17497299999999</v>
      </c>
      <c r="L192">
        <v>182.53534930000001</v>
      </c>
      <c r="M192">
        <v>185.08794850000001</v>
      </c>
      <c r="N192">
        <v>186.72401410000001</v>
      </c>
    </row>
    <row r="193" spans="1:14" x14ac:dyDescent="0.25">
      <c r="A193">
        <v>1</v>
      </c>
      <c r="B193" s="13">
        <v>15.958333333333334</v>
      </c>
      <c r="C193">
        <v>2.138524662</v>
      </c>
      <c r="D193">
        <v>173.40138959999999</v>
      </c>
      <c r="E193">
        <v>4.3277986999999997E-2</v>
      </c>
      <c r="F193">
        <v>158.5675712</v>
      </c>
      <c r="G193">
        <v>160.5143338</v>
      </c>
      <c r="H193">
        <v>163.46047949999999</v>
      </c>
      <c r="I193">
        <v>168.25280290000001</v>
      </c>
      <c r="J193">
        <v>173.40138959999999</v>
      </c>
      <c r="K193">
        <v>178.38154299999999</v>
      </c>
      <c r="L193">
        <v>182.7322187</v>
      </c>
      <c r="M193">
        <v>185.28043070000001</v>
      </c>
      <c r="N193">
        <v>186.91416899999999</v>
      </c>
    </row>
    <row r="194" spans="1:14" x14ac:dyDescent="0.25">
      <c r="A194">
        <v>1</v>
      </c>
      <c r="B194" s="13">
        <v>16.041666666666668</v>
      </c>
      <c r="C194">
        <v>2.113023423</v>
      </c>
      <c r="D194">
        <v>173.61005180000001</v>
      </c>
      <c r="E194">
        <v>4.3085684999999999E-2</v>
      </c>
      <c r="F194">
        <v>158.8449655</v>
      </c>
      <c r="G194">
        <v>160.7802183</v>
      </c>
      <c r="H194">
        <v>163.71044240000001</v>
      </c>
      <c r="I194">
        <v>168.48054690000001</v>
      </c>
      <c r="J194">
        <v>173.61005180000001</v>
      </c>
      <c r="K194">
        <v>178.57616759999999</v>
      </c>
      <c r="L194">
        <v>182.91792570000001</v>
      </c>
      <c r="M194">
        <v>185.4622948</v>
      </c>
      <c r="N194">
        <v>187.09408769999999</v>
      </c>
    </row>
    <row r="195" spans="1:14" x14ac:dyDescent="0.25">
      <c r="A195">
        <v>1</v>
      </c>
      <c r="B195" s="13">
        <v>16.125</v>
      </c>
      <c r="C195">
        <v>2.0854902860000002</v>
      </c>
      <c r="D195">
        <v>173.8067179</v>
      </c>
      <c r="E195">
        <v>4.2901834999999999E-2</v>
      </c>
      <c r="F195">
        <v>159.1094689</v>
      </c>
      <c r="G195">
        <v>161.0332391</v>
      </c>
      <c r="H195">
        <v>163.94763219999999</v>
      </c>
      <c r="I195">
        <v>168.69579880000001</v>
      </c>
      <c r="J195">
        <v>173.8067179</v>
      </c>
      <c r="K195">
        <v>178.7594756</v>
      </c>
      <c r="L195">
        <v>183.093075</v>
      </c>
      <c r="M195">
        <v>185.63411830000001</v>
      </c>
      <c r="N195">
        <v>187.26432579999999</v>
      </c>
    </row>
    <row r="196" spans="1:14" x14ac:dyDescent="0.25">
      <c r="A196">
        <v>1</v>
      </c>
      <c r="B196" s="13">
        <v>16.208333333333332</v>
      </c>
      <c r="C196">
        <v>2.0562195000000001</v>
      </c>
      <c r="D196">
        <v>173.9919998</v>
      </c>
      <c r="E196">
        <v>4.2726423999999999E-2</v>
      </c>
      <c r="F196">
        <v>159.36141119999999</v>
      </c>
      <c r="G196">
        <v>161.2737894</v>
      </c>
      <c r="H196">
        <v>164.17252189999999</v>
      </c>
      <c r="I196">
        <v>168.89912219999999</v>
      </c>
      <c r="J196">
        <v>173.9919998</v>
      </c>
      <c r="K196">
        <v>178.9320817</v>
      </c>
      <c r="L196">
        <v>183.25825180000001</v>
      </c>
      <c r="M196">
        <v>185.79645650000001</v>
      </c>
      <c r="N196">
        <v>187.4254148</v>
      </c>
    </row>
    <row r="197" spans="1:14" x14ac:dyDescent="0.25">
      <c r="A197">
        <v>1</v>
      </c>
      <c r="B197" s="13">
        <v>16.291666666666668</v>
      </c>
      <c r="C197">
        <v>2.0254966479999998</v>
      </c>
      <c r="D197">
        <v>174.16649509999999</v>
      </c>
      <c r="E197">
        <v>4.2559395999999999E-2</v>
      </c>
      <c r="F197">
        <v>159.6011441</v>
      </c>
      <c r="G197">
        <v>161.50227720000001</v>
      </c>
      <c r="H197">
        <v>164.3855897</v>
      </c>
      <c r="I197">
        <v>169.09107470000001</v>
      </c>
      <c r="J197">
        <v>174.16649509999999</v>
      </c>
      <c r="K197">
        <v>179.0945815</v>
      </c>
      <c r="L197">
        <v>183.41402020000001</v>
      </c>
      <c r="M197">
        <v>185.94984299999999</v>
      </c>
      <c r="N197">
        <v>187.57786429999999</v>
      </c>
    </row>
    <row r="198" spans="1:14" x14ac:dyDescent="0.25">
      <c r="A198">
        <v>1</v>
      </c>
      <c r="B198" s="13">
        <v>16.375</v>
      </c>
      <c r="C198">
        <v>1.9935981819999999</v>
      </c>
      <c r="D198">
        <v>174.33078549999999</v>
      </c>
      <c r="E198">
        <v>4.2400651999999997E-2</v>
      </c>
      <c r="F198">
        <v>159.82903690000001</v>
      </c>
      <c r="G198">
        <v>161.7191211</v>
      </c>
      <c r="H198">
        <v>164.58731649999999</v>
      </c>
      <c r="I198">
        <v>169.27220579999999</v>
      </c>
      <c r="J198">
        <v>174.33078549999999</v>
      </c>
      <c r="K198">
        <v>179.2475503</v>
      </c>
      <c r="L198">
        <v>183.56092169999999</v>
      </c>
      <c r="M198">
        <v>186.0947883</v>
      </c>
      <c r="N198">
        <v>187.72216069999999</v>
      </c>
    </row>
    <row r="199" spans="1:14" x14ac:dyDescent="0.25">
      <c r="A199">
        <v>1</v>
      </c>
      <c r="B199" s="13">
        <v>16.458333333333332</v>
      </c>
      <c r="C199">
        <v>1.960789092</v>
      </c>
      <c r="D199">
        <v>174.4854344</v>
      </c>
      <c r="E199">
        <v>4.2250062999999997E-2</v>
      </c>
      <c r="F199">
        <v>160.04547249999999</v>
      </c>
      <c r="G199">
        <v>161.92474730000001</v>
      </c>
      <c r="H199">
        <v>164.7781818</v>
      </c>
      <c r="I199">
        <v>169.44305360000001</v>
      </c>
      <c r="J199">
        <v>174.4854344</v>
      </c>
      <c r="K199">
        <v>179.39154149999999</v>
      </c>
      <c r="L199">
        <v>183.69947479999999</v>
      </c>
      <c r="M199">
        <v>186.23177939999999</v>
      </c>
      <c r="N199">
        <v>187.85876709999999</v>
      </c>
    </row>
    <row r="200" spans="1:14" x14ac:dyDescent="0.25">
      <c r="A200">
        <v>1</v>
      </c>
      <c r="B200" s="13">
        <v>16.541666666666668</v>
      </c>
      <c r="C200">
        <v>1.927320937</v>
      </c>
      <c r="D200">
        <v>174.6309856</v>
      </c>
      <c r="E200">
        <v>4.2107464999999997E-2</v>
      </c>
      <c r="F200">
        <v>160.25084409999999</v>
      </c>
      <c r="G200">
        <v>162.11958569999999</v>
      </c>
      <c r="H200">
        <v>164.95866129999999</v>
      </c>
      <c r="I200">
        <v>169.60414270000001</v>
      </c>
      <c r="J200">
        <v>174.6309856</v>
      </c>
      <c r="K200">
        <v>179.52708530000001</v>
      </c>
      <c r="L200">
        <v>183.83017380000001</v>
      </c>
      <c r="M200">
        <v>186.36128009999999</v>
      </c>
      <c r="N200">
        <v>187.98812330000001</v>
      </c>
    </row>
    <row r="201" spans="1:14" x14ac:dyDescent="0.25">
      <c r="A201">
        <v>1</v>
      </c>
      <c r="B201" s="13">
        <v>16.625</v>
      </c>
      <c r="C201">
        <v>1.89343024</v>
      </c>
      <c r="D201">
        <v>174.7679617</v>
      </c>
      <c r="E201">
        <v>4.1972676E-2</v>
      </c>
      <c r="F201">
        <v>160.4455519</v>
      </c>
      <c r="G201">
        <v>162.3040676</v>
      </c>
      <c r="H201">
        <v>165.1292244</v>
      </c>
      <c r="I201">
        <v>169.75598260000001</v>
      </c>
      <c r="J201">
        <v>174.7679617</v>
      </c>
      <c r="K201">
        <v>179.65468849999999</v>
      </c>
      <c r="L201">
        <v>183.9534894</v>
      </c>
      <c r="M201">
        <v>186.4837302</v>
      </c>
      <c r="N201">
        <v>188.1106465</v>
      </c>
    </row>
    <row r="202" spans="1:14" x14ac:dyDescent="0.25">
      <c r="A202">
        <v>1</v>
      </c>
      <c r="B202" s="13">
        <v>16.708333333333332</v>
      </c>
      <c r="C202">
        <v>1.8593372589999999</v>
      </c>
      <c r="D202">
        <v>174.8968634</v>
      </c>
      <c r="E202">
        <v>4.1845488E-2</v>
      </c>
      <c r="F202">
        <v>160.63000049999999</v>
      </c>
      <c r="G202">
        <v>162.4786229</v>
      </c>
      <c r="H202">
        <v>165.29033240000001</v>
      </c>
      <c r="I202">
        <v>169.8990665</v>
      </c>
      <c r="J202">
        <v>174.8968634</v>
      </c>
      <c r="K202">
        <v>179.77483380000001</v>
      </c>
      <c r="L202">
        <v>184.0698683</v>
      </c>
      <c r="M202">
        <v>186.59954680000001</v>
      </c>
      <c r="N202">
        <v>188.22673109999999</v>
      </c>
    </row>
    <row r="203" spans="1:14" x14ac:dyDescent="0.25">
      <c r="A203">
        <v>1</v>
      </c>
      <c r="B203" s="13">
        <v>16.791666666666668</v>
      </c>
      <c r="C203">
        <v>1.825245107</v>
      </c>
      <c r="D203">
        <v>175.01816909999999</v>
      </c>
      <c r="E203">
        <v>4.1725679000000002E-2</v>
      </c>
      <c r="F203">
        <v>160.8045956</v>
      </c>
      <c r="G203">
        <v>162.64367799999999</v>
      </c>
      <c r="H203">
        <v>165.44243639999999</v>
      </c>
      <c r="I203">
        <v>170.03386939999999</v>
      </c>
      <c r="J203">
        <v>175.01816909999999</v>
      </c>
      <c r="K203">
        <v>179.88797969999999</v>
      </c>
      <c r="L203">
        <v>184.17973330000001</v>
      </c>
      <c r="M203">
        <v>186.70912419999999</v>
      </c>
      <c r="N203">
        <v>188.33675030000001</v>
      </c>
    </row>
    <row r="204" spans="1:14" x14ac:dyDescent="0.25">
      <c r="A204">
        <v>1</v>
      </c>
      <c r="B204" s="13">
        <v>16.875</v>
      </c>
      <c r="C204">
        <v>1.791339209</v>
      </c>
      <c r="D204">
        <v>175.13233450000001</v>
      </c>
      <c r="E204">
        <v>4.1613015000000003E-2</v>
      </c>
      <c r="F204">
        <v>160.9697424</v>
      </c>
      <c r="G204">
        <v>162.7996536</v>
      </c>
      <c r="H204">
        <v>165.58597610000001</v>
      </c>
      <c r="I204">
        <v>170.1608483</v>
      </c>
      <c r="J204">
        <v>175.13233450000001</v>
      </c>
      <c r="K204">
        <v>179.99456090000001</v>
      </c>
      <c r="L204">
        <v>184.28348439999999</v>
      </c>
      <c r="M204">
        <v>186.81283479999999</v>
      </c>
      <c r="N204">
        <v>188.44105590000001</v>
      </c>
    </row>
    <row r="205" spans="1:14" x14ac:dyDescent="0.25">
      <c r="A205">
        <v>1</v>
      </c>
      <c r="B205" s="13">
        <v>16.958333333333332</v>
      </c>
      <c r="C205">
        <v>1.757787065</v>
      </c>
      <c r="D205">
        <v>175.23979259999999</v>
      </c>
      <c r="E205">
        <v>4.1507249000000003E-2</v>
      </c>
      <c r="F205">
        <v>161.12584330000001</v>
      </c>
      <c r="G205">
        <v>162.9469636</v>
      </c>
      <c r="H205">
        <v>165.72137860000001</v>
      </c>
      <c r="I205">
        <v>170.280441</v>
      </c>
      <c r="J205">
        <v>175.23979259999999</v>
      </c>
      <c r="K205">
        <v>180.09498830000001</v>
      </c>
      <c r="L205">
        <v>184.3814989</v>
      </c>
      <c r="M205">
        <v>186.91102960000001</v>
      </c>
      <c r="N205">
        <v>188.5399798</v>
      </c>
    </row>
    <row r="206" spans="1:14" x14ac:dyDescent="0.25">
      <c r="A206">
        <v>1</v>
      </c>
      <c r="B206" s="13">
        <v>17.041666666666668</v>
      </c>
      <c r="C206">
        <v>1.7247382920000001</v>
      </c>
      <c r="D206">
        <v>175.34095400000001</v>
      </c>
      <c r="E206">
        <v>4.1408129000000002E-2</v>
      </c>
      <c r="F206">
        <v>161.27329549999999</v>
      </c>
      <c r="G206">
        <v>163.0860132</v>
      </c>
      <c r="H206">
        <v>165.8490577</v>
      </c>
      <c r="I206">
        <v>170.39306640000001</v>
      </c>
      <c r="J206">
        <v>175.34095400000001</v>
      </c>
      <c r="K206">
        <v>180.18964980000001</v>
      </c>
      <c r="L206">
        <v>184.47413220000001</v>
      </c>
      <c r="M206">
        <v>187.00403940000001</v>
      </c>
      <c r="N206">
        <v>188.63383450000001</v>
      </c>
    </row>
    <row r="207" spans="1:14" x14ac:dyDescent="0.25">
      <c r="A207">
        <v>1</v>
      </c>
      <c r="B207" s="13">
        <v>17.125</v>
      </c>
      <c r="C207">
        <v>1.692324905</v>
      </c>
      <c r="D207">
        <v>175.43620709999999</v>
      </c>
      <c r="E207">
        <v>4.1315398000000003E-2</v>
      </c>
      <c r="F207">
        <v>161.4124903</v>
      </c>
      <c r="G207">
        <v>163.21719759999999</v>
      </c>
      <c r="H207">
        <v>165.96941290000001</v>
      </c>
      <c r="I207">
        <v>170.4991239</v>
      </c>
      <c r="J207">
        <v>175.43620709999999</v>
      </c>
      <c r="K207">
        <v>180.27891099999999</v>
      </c>
      <c r="L207">
        <v>184.56171850000001</v>
      </c>
      <c r="M207">
        <v>187.09217530000001</v>
      </c>
      <c r="N207">
        <v>188.72291419999999</v>
      </c>
    </row>
    <row r="208" spans="1:14" x14ac:dyDescent="0.25">
      <c r="A208">
        <v>1</v>
      </c>
      <c r="B208" s="13">
        <v>17.208333333333332</v>
      </c>
      <c r="C208">
        <v>1.6606618150000001</v>
      </c>
      <c r="D208">
        <v>175.52591910000001</v>
      </c>
      <c r="E208">
        <v>4.1228795999999998E-2</v>
      </c>
      <c r="F208">
        <v>161.54381119999999</v>
      </c>
      <c r="G208">
        <v>163.3409016</v>
      </c>
      <c r="H208">
        <v>166.0828291</v>
      </c>
      <c r="I208">
        <v>170.5989941</v>
      </c>
      <c r="J208">
        <v>175.52591910000001</v>
      </c>
      <c r="K208">
        <v>180.3631154</v>
      </c>
      <c r="L208">
        <v>184.64457200000001</v>
      </c>
      <c r="M208">
        <v>187.17572949999999</v>
      </c>
      <c r="N208">
        <v>188.80749549999999</v>
      </c>
    </row>
    <row r="209" spans="1:14" x14ac:dyDescent="0.25">
      <c r="A209">
        <v>1</v>
      </c>
      <c r="B209" s="13">
        <v>17.291666666666668</v>
      </c>
      <c r="C209">
        <v>1.6298474949999999</v>
      </c>
      <c r="D209">
        <v>175.6104358</v>
      </c>
      <c r="E209">
        <v>4.114806E-2</v>
      </c>
      <c r="F209">
        <v>161.6676329</v>
      </c>
      <c r="G209">
        <v>163.45749839999999</v>
      </c>
      <c r="H209">
        <v>166.18967649999999</v>
      </c>
      <c r="I209">
        <v>170.6930385</v>
      </c>
      <c r="J209">
        <v>175.6104358</v>
      </c>
      <c r="K209">
        <v>180.44258579999999</v>
      </c>
      <c r="L209">
        <v>184.7229873</v>
      </c>
      <c r="M209">
        <v>187.25497669999999</v>
      </c>
      <c r="N209">
        <v>188.88783860000001</v>
      </c>
    </row>
    <row r="210" spans="1:14" x14ac:dyDescent="0.25">
      <c r="A210">
        <v>1</v>
      </c>
      <c r="B210" s="13">
        <v>17.375</v>
      </c>
      <c r="C210">
        <v>1.5999647880000001</v>
      </c>
      <c r="D210">
        <v>175.69008299999999</v>
      </c>
      <c r="E210">
        <v>4.1072931E-2</v>
      </c>
      <c r="F210">
        <v>161.7843202</v>
      </c>
      <c r="G210">
        <v>163.56734890000001</v>
      </c>
      <c r="H210">
        <v>166.29031000000001</v>
      </c>
      <c r="I210">
        <v>170.78160020000001</v>
      </c>
      <c r="J210">
        <v>175.69008299999999</v>
      </c>
      <c r="K210">
        <v>180.51762489999999</v>
      </c>
      <c r="L210">
        <v>184.7972407</v>
      </c>
      <c r="M210">
        <v>187.3301745</v>
      </c>
      <c r="N210">
        <v>188.96418779999999</v>
      </c>
    </row>
    <row r="211" spans="1:14" x14ac:dyDescent="0.25">
      <c r="A211">
        <v>1</v>
      </c>
      <c r="B211" s="13">
        <v>17.458333333333332</v>
      </c>
      <c r="C211">
        <v>1.571081817</v>
      </c>
      <c r="D211">
        <v>175.76516710000001</v>
      </c>
      <c r="E211">
        <v>4.1003150000000002E-2</v>
      </c>
      <c r="F211">
        <v>161.89422730000001</v>
      </c>
      <c r="G211">
        <v>163.67080189999999</v>
      </c>
      <c r="H211">
        <v>166.38506949999999</v>
      </c>
      <c r="I211">
        <v>170.86500430000001</v>
      </c>
      <c r="J211">
        <v>175.76516710000001</v>
      </c>
      <c r="K211">
        <v>180.5885165</v>
      </c>
      <c r="L211">
        <v>184.867591</v>
      </c>
      <c r="M211">
        <v>187.40156450000001</v>
      </c>
      <c r="N211">
        <v>189.0367727</v>
      </c>
    </row>
    <row r="212" spans="1:14" x14ac:dyDescent="0.25">
      <c r="A212">
        <v>1</v>
      </c>
      <c r="B212" s="13">
        <v>17.541666666666668</v>
      </c>
      <c r="C212">
        <v>1.5432529820000001</v>
      </c>
      <c r="D212">
        <v>175.83597570000001</v>
      </c>
      <c r="E212">
        <v>4.0938463000000001E-2</v>
      </c>
      <c r="F212">
        <v>161.99769760000001</v>
      </c>
      <c r="G212">
        <v>163.7681929</v>
      </c>
      <c r="H212">
        <v>166.4742799</v>
      </c>
      <c r="I212">
        <v>170.9435584</v>
      </c>
      <c r="J212">
        <v>175.83597570000001</v>
      </c>
      <c r="K212">
        <v>180.6555257</v>
      </c>
      <c r="L212">
        <v>184.93428030000001</v>
      </c>
      <c r="M212">
        <v>187.46937320000001</v>
      </c>
      <c r="N212">
        <v>189.1058089</v>
      </c>
    </row>
    <row r="213" spans="1:14" x14ac:dyDescent="0.25">
      <c r="A213">
        <v>1</v>
      </c>
      <c r="B213" s="13">
        <v>17.625</v>
      </c>
      <c r="C213">
        <v>1.5165199979999999</v>
      </c>
      <c r="D213">
        <v>175.90277879999999</v>
      </c>
      <c r="E213">
        <v>4.0878616999999999E-2</v>
      </c>
      <c r="F213">
        <v>162.09506239999999</v>
      </c>
      <c r="G213">
        <v>163.8598446</v>
      </c>
      <c r="H213">
        <v>166.55825110000001</v>
      </c>
      <c r="I213">
        <v>171.01755309999999</v>
      </c>
      <c r="J213">
        <v>175.90277879999999</v>
      </c>
      <c r="K213">
        <v>180.71890060000001</v>
      </c>
      <c r="L213">
        <v>184.99753490000001</v>
      </c>
      <c r="M213">
        <v>187.53381279999999</v>
      </c>
      <c r="N213">
        <v>189.17149879999999</v>
      </c>
    </row>
    <row r="214" spans="1:14" x14ac:dyDescent="0.25">
      <c r="A214">
        <v>1</v>
      </c>
      <c r="B214" s="13">
        <v>17.708333333333332</v>
      </c>
      <c r="C214">
        <v>1.490912963</v>
      </c>
      <c r="D214">
        <v>175.9658293</v>
      </c>
      <c r="E214">
        <v>4.0823367999999999E-2</v>
      </c>
      <c r="F214">
        <v>162.18664140000001</v>
      </c>
      <c r="G214">
        <v>163.9460665</v>
      </c>
      <c r="H214">
        <v>166.6372787</v>
      </c>
      <c r="I214">
        <v>171.08726290000001</v>
      </c>
      <c r="J214">
        <v>175.9658293</v>
      </c>
      <c r="K214">
        <v>180.77887319999999</v>
      </c>
      <c r="L214">
        <v>185.0575666</v>
      </c>
      <c r="M214">
        <v>187.59508210000001</v>
      </c>
      <c r="N214">
        <v>189.2340323</v>
      </c>
    </row>
    <row r="215" spans="1:14" x14ac:dyDescent="0.25">
      <c r="A215">
        <v>1</v>
      </c>
      <c r="B215" s="13">
        <v>17.791666666666668</v>
      </c>
      <c r="C215">
        <v>1.4664514289999999</v>
      </c>
      <c r="D215">
        <v>176.02536409999999</v>
      </c>
      <c r="E215">
        <v>4.0772475000000002E-2</v>
      </c>
      <c r="F215">
        <v>162.27274199999999</v>
      </c>
      <c r="G215">
        <v>164.02715499999999</v>
      </c>
      <c r="H215">
        <v>166.7116437</v>
      </c>
      <c r="I215">
        <v>171.15294650000001</v>
      </c>
      <c r="J215">
        <v>176.02536409999999</v>
      </c>
      <c r="K215">
        <v>180.83565960000001</v>
      </c>
      <c r="L215">
        <v>185.11457300000001</v>
      </c>
      <c r="M215">
        <v>187.65336719999999</v>
      </c>
      <c r="N215">
        <v>189.29358780000001</v>
      </c>
    </row>
    <row r="216" spans="1:14" x14ac:dyDescent="0.25">
      <c r="A216">
        <v>1</v>
      </c>
      <c r="B216" s="13">
        <v>17.875</v>
      </c>
      <c r="C216">
        <v>1.44314546</v>
      </c>
      <c r="D216">
        <v>176.081605</v>
      </c>
      <c r="E216">
        <v>4.0725706E-2</v>
      </c>
      <c r="F216">
        <v>162.35365920000001</v>
      </c>
      <c r="G216">
        <v>164.10339350000001</v>
      </c>
      <c r="H216">
        <v>166.7816133</v>
      </c>
      <c r="I216">
        <v>171.21484770000001</v>
      </c>
      <c r="J216">
        <v>176.081605</v>
      </c>
      <c r="K216">
        <v>180.8894616</v>
      </c>
      <c r="L216">
        <v>185.16873860000001</v>
      </c>
      <c r="M216">
        <v>187.70884219999999</v>
      </c>
      <c r="N216">
        <v>189.3503326</v>
      </c>
    </row>
    <row r="217" spans="1:14" x14ac:dyDescent="0.25">
      <c r="A217">
        <v>1</v>
      </c>
      <c r="B217" s="13">
        <v>17.958333333333332</v>
      </c>
      <c r="C217">
        <v>1.4209966650000001</v>
      </c>
      <c r="D217">
        <v>176.13475930000001</v>
      </c>
      <c r="E217">
        <v>4.0682834000000001E-2</v>
      </c>
      <c r="F217">
        <v>162.429676</v>
      </c>
      <c r="G217">
        <v>164.17505270000001</v>
      </c>
      <c r="H217">
        <v>166.8474411</v>
      </c>
      <c r="I217">
        <v>171.2731962</v>
      </c>
      <c r="J217">
        <v>176.13475930000001</v>
      </c>
      <c r="K217">
        <v>180.94046760000001</v>
      </c>
      <c r="L217">
        <v>185.22023590000001</v>
      </c>
      <c r="M217">
        <v>187.7616702</v>
      </c>
      <c r="N217">
        <v>189.4044237</v>
      </c>
    </row>
    <row r="218" spans="1:14" x14ac:dyDescent="0.25">
      <c r="A218">
        <v>1</v>
      </c>
      <c r="B218" s="13">
        <v>18.041666666666668</v>
      </c>
      <c r="C218">
        <v>1.3999991869999999</v>
      </c>
      <c r="D218">
        <v>176.18502079999999</v>
      </c>
      <c r="E218">
        <v>4.0643640000000002E-2</v>
      </c>
      <c r="F218">
        <v>162.50106299999999</v>
      </c>
      <c r="G218">
        <v>164.24239040000001</v>
      </c>
      <c r="H218">
        <v>166.9093676</v>
      </c>
      <c r="I218">
        <v>171.3282079</v>
      </c>
      <c r="J218">
        <v>176.18502079999999</v>
      </c>
      <c r="K218">
        <v>180.9888527</v>
      </c>
      <c r="L218">
        <v>185.2692255</v>
      </c>
      <c r="M218">
        <v>187.81200380000001</v>
      </c>
      <c r="N218">
        <v>189.45600859999999</v>
      </c>
    </row>
    <row r="219" spans="1:14" x14ac:dyDescent="0.25">
      <c r="A219">
        <v>1</v>
      </c>
      <c r="B219" s="13">
        <v>18.125</v>
      </c>
      <c r="C219">
        <v>1.3801406510000001</v>
      </c>
      <c r="D219">
        <v>176.2325707</v>
      </c>
      <c r="E219">
        <v>4.0607913000000002E-2</v>
      </c>
      <c r="F219">
        <v>162.5680787</v>
      </c>
      <c r="G219">
        <v>164.30565229999999</v>
      </c>
      <c r="H219">
        <v>166.96762079999999</v>
      </c>
      <c r="I219">
        <v>171.38008579999999</v>
      </c>
      <c r="J219">
        <v>176.2325707</v>
      </c>
      <c r="K219">
        <v>181.0347806</v>
      </c>
      <c r="L219">
        <v>185.31585749999999</v>
      </c>
      <c r="M219">
        <v>187.8599859</v>
      </c>
      <c r="N219">
        <v>189.50522559999999</v>
      </c>
    </row>
    <row r="220" spans="1:14" x14ac:dyDescent="0.25">
      <c r="A220">
        <v>1</v>
      </c>
      <c r="B220" s="13">
        <v>18.208333333333332</v>
      </c>
      <c r="C220">
        <v>1.361403047</v>
      </c>
      <c r="D220">
        <v>176.2775781</v>
      </c>
      <c r="E220">
        <v>4.0575448E-2</v>
      </c>
      <c r="F220">
        <v>162.63096970000001</v>
      </c>
      <c r="G220">
        <v>164.365072</v>
      </c>
      <c r="H220">
        <v>167.02241620000001</v>
      </c>
      <c r="I220">
        <v>171.42902079999999</v>
      </c>
      <c r="J220">
        <v>176.2775781</v>
      </c>
      <c r="K220">
        <v>181.07840329999999</v>
      </c>
      <c r="L220">
        <v>185.36027189999999</v>
      </c>
      <c r="M220">
        <v>187.90574989999999</v>
      </c>
      <c r="N220">
        <v>189.55220439999999</v>
      </c>
    </row>
    <row r="221" spans="1:14" x14ac:dyDescent="0.25">
      <c r="A221">
        <v>1</v>
      </c>
      <c r="B221" s="13">
        <v>18.291666666666668</v>
      </c>
      <c r="C221">
        <v>1.3437635640000001</v>
      </c>
      <c r="D221">
        <v>176.32020080000001</v>
      </c>
      <c r="E221">
        <v>4.0546051E-2</v>
      </c>
      <c r="F221">
        <v>162.68997100000001</v>
      </c>
      <c r="G221">
        <v>164.42087140000001</v>
      </c>
      <c r="H221">
        <v>167.07395790000001</v>
      </c>
      <c r="I221">
        <v>171.47519209999999</v>
      </c>
      <c r="J221">
        <v>176.32020080000001</v>
      </c>
      <c r="K221">
        <v>181.1198626</v>
      </c>
      <c r="L221">
        <v>185.4025992</v>
      </c>
      <c r="M221">
        <v>187.9494211</v>
      </c>
      <c r="N221">
        <v>189.5970671</v>
      </c>
    </row>
    <row r="222" spans="1:14" x14ac:dyDescent="0.25">
      <c r="A222">
        <v>1</v>
      </c>
      <c r="B222" s="13">
        <v>18.375</v>
      </c>
      <c r="C222">
        <v>1.327195355</v>
      </c>
      <c r="D222">
        <v>176.36058639999999</v>
      </c>
      <c r="E222">
        <v>4.0519531999999997E-2</v>
      </c>
      <c r="F222">
        <v>162.74530609999999</v>
      </c>
      <c r="G222">
        <v>164.47326100000001</v>
      </c>
      <c r="H222">
        <v>167.1224387</v>
      </c>
      <c r="I222">
        <v>171.5187679</v>
      </c>
      <c r="J222">
        <v>176.36058639999999</v>
      </c>
      <c r="K222">
        <v>181.15929059999999</v>
      </c>
      <c r="L222">
        <v>185.44296130000001</v>
      </c>
      <c r="M222">
        <v>187.9911165</v>
      </c>
      <c r="N222">
        <v>189.6399279</v>
      </c>
    </row>
    <row r="223" spans="1:14" x14ac:dyDescent="0.25">
      <c r="A223">
        <v>1</v>
      </c>
      <c r="B223" s="13">
        <v>18.458333333333332</v>
      </c>
      <c r="C223">
        <v>1.3116682420000001</v>
      </c>
      <c r="D223">
        <v>176.39887250000001</v>
      </c>
      <c r="E223">
        <v>4.0495713000000003E-2</v>
      </c>
      <c r="F223">
        <v>162.7971876</v>
      </c>
      <c r="G223">
        <v>164.52244060000001</v>
      </c>
      <c r="H223">
        <v>167.16804049999999</v>
      </c>
      <c r="I223">
        <v>171.5599062</v>
      </c>
      <c r="J223">
        <v>176.39887250000001</v>
      </c>
      <c r="K223">
        <v>181.19681030000001</v>
      </c>
      <c r="L223">
        <v>185.48147180000001</v>
      </c>
      <c r="M223">
        <v>188.0309455</v>
      </c>
      <c r="N223">
        <v>189.68089430000001</v>
      </c>
    </row>
    <row r="224" spans="1:14" x14ac:dyDescent="0.25">
      <c r="A224">
        <v>1</v>
      </c>
      <c r="B224" s="13">
        <v>18.541666666666668</v>
      </c>
      <c r="C224">
        <v>1.2971493590000001</v>
      </c>
      <c r="D224">
        <v>176.43518739999999</v>
      </c>
      <c r="E224">
        <v>4.0474420999999997E-2</v>
      </c>
      <c r="F224">
        <v>162.8458172</v>
      </c>
      <c r="G224">
        <v>164.56859919999999</v>
      </c>
      <c r="H224">
        <v>167.21093529999999</v>
      </c>
      <c r="I224">
        <v>171.59875500000001</v>
      </c>
      <c r="J224">
        <v>176.43518739999999</v>
      </c>
      <c r="K224">
        <v>181.23253600000001</v>
      </c>
      <c r="L224">
        <v>185.51823680000001</v>
      </c>
      <c r="M224">
        <v>188.0690108</v>
      </c>
      <c r="N224">
        <v>189.72006719999999</v>
      </c>
    </row>
    <row r="225" spans="1:14" x14ac:dyDescent="0.25">
      <c r="A225">
        <v>1</v>
      </c>
      <c r="B225" s="13">
        <v>18.625</v>
      </c>
      <c r="C225">
        <v>1.2836037280000001</v>
      </c>
      <c r="D225">
        <v>176.469651</v>
      </c>
      <c r="E225">
        <v>4.0455493000000002E-2</v>
      </c>
      <c r="F225">
        <v>162.8913862</v>
      </c>
      <c r="G225">
        <v>164.61191579999999</v>
      </c>
      <c r="H225">
        <v>167.251285</v>
      </c>
      <c r="I225">
        <v>171.63545329999999</v>
      </c>
      <c r="J225">
        <v>176.469651</v>
      </c>
      <c r="K225">
        <v>181.2665744</v>
      </c>
      <c r="L225">
        <v>185.5533551</v>
      </c>
      <c r="M225">
        <v>188.10540850000001</v>
      </c>
      <c r="N225">
        <v>189.75754130000001</v>
      </c>
    </row>
    <row r="226" spans="1:14" x14ac:dyDescent="0.25">
      <c r="A226">
        <v>1</v>
      </c>
      <c r="B226" s="13">
        <v>18.708333333333332</v>
      </c>
      <c r="C226">
        <v>1.270994782</v>
      </c>
      <c r="D226">
        <v>176.50237509999999</v>
      </c>
      <c r="E226">
        <v>4.0438772999999997E-2</v>
      </c>
      <c r="F226">
        <v>162.93407590000001</v>
      </c>
      <c r="G226">
        <v>164.65255959999999</v>
      </c>
      <c r="H226">
        <v>167.28924240000001</v>
      </c>
      <c r="I226">
        <v>171.6701314</v>
      </c>
      <c r="J226">
        <v>176.50237509999999</v>
      </c>
      <c r="K226">
        <v>181.29902490000001</v>
      </c>
      <c r="L226">
        <v>185.58691930000001</v>
      </c>
      <c r="M226">
        <v>188.14022840000001</v>
      </c>
      <c r="N226">
        <v>189.7934056</v>
      </c>
    </row>
    <row r="227" spans="1:14" x14ac:dyDescent="0.25">
      <c r="A227">
        <v>1</v>
      </c>
      <c r="B227" s="13">
        <v>18.791666666666668</v>
      </c>
      <c r="C227">
        <v>1.2592848299999999</v>
      </c>
      <c r="D227">
        <v>176.53346400000001</v>
      </c>
      <c r="E227">
        <v>4.0424110999999999E-2</v>
      </c>
      <c r="F227">
        <v>162.97405810000001</v>
      </c>
      <c r="G227">
        <v>164.6906907</v>
      </c>
      <c r="H227">
        <v>167.3249515</v>
      </c>
      <c r="I227">
        <v>171.7029114</v>
      </c>
      <c r="J227">
        <v>176.53346400000001</v>
      </c>
      <c r="K227">
        <v>181.32997990000001</v>
      </c>
      <c r="L227">
        <v>185.61901549999999</v>
      </c>
      <c r="M227">
        <v>188.1735549</v>
      </c>
      <c r="N227">
        <v>189.82774380000001</v>
      </c>
    </row>
    <row r="228" spans="1:14" x14ac:dyDescent="0.25">
      <c r="A228">
        <v>1</v>
      </c>
      <c r="B228" s="13">
        <v>18.875</v>
      </c>
      <c r="C228">
        <v>1.2484354609999999</v>
      </c>
      <c r="D228">
        <v>176.56301529999999</v>
      </c>
      <c r="E228">
        <v>4.0411365999999997E-2</v>
      </c>
      <c r="F228">
        <v>163.01149509999999</v>
      </c>
      <c r="G228">
        <v>164.72646</v>
      </c>
      <c r="H228">
        <v>167.3585477</v>
      </c>
      <c r="I228">
        <v>171.73390760000001</v>
      </c>
      <c r="J228">
        <v>176.56301529999999</v>
      </c>
      <c r="K228">
        <v>181.35952560000001</v>
      </c>
      <c r="L228">
        <v>185.6497244</v>
      </c>
      <c r="M228">
        <v>188.2054669</v>
      </c>
      <c r="N228">
        <v>189.86063440000001</v>
      </c>
    </row>
    <row r="229" spans="1:14" x14ac:dyDescent="0.25">
      <c r="A229">
        <v>1</v>
      </c>
      <c r="B229" s="13">
        <v>18.958333333333332</v>
      </c>
      <c r="C229">
        <v>1.2384079100000001</v>
      </c>
      <c r="D229">
        <v>176.59111970000001</v>
      </c>
      <c r="E229">
        <v>4.0400405E-2</v>
      </c>
      <c r="F229">
        <v>163.04654049999999</v>
      </c>
      <c r="G229">
        <v>164.76001020000001</v>
      </c>
      <c r="H229">
        <v>167.39015860000001</v>
      </c>
      <c r="I229">
        <v>171.76322740000001</v>
      </c>
      <c r="J229">
        <v>176.59111970000001</v>
      </c>
      <c r="K229">
        <v>181.3877426</v>
      </c>
      <c r="L229">
        <v>185.6791212</v>
      </c>
      <c r="M229">
        <v>188.2360386</v>
      </c>
      <c r="N229">
        <v>189.89215139999999</v>
      </c>
    </row>
    <row r="230" spans="1:14" x14ac:dyDescent="0.25">
      <c r="A230">
        <v>1</v>
      </c>
      <c r="B230" s="13">
        <v>19.041666666666668</v>
      </c>
      <c r="C230">
        <v>1.229163362</v>
      </c>
      <c r="D230">
        <v>176.6178621</v>
      </c>
      <c r="E230">
        <v>4.0391100999999999E-2</v>
      </c>
      <c r="F230">
        <v>163.07933919999999</v>
      </c>
      <c r="G230">
        <v>164.79147560000001</v>
      </c>
      <c r="H230">
        <v>167.41990440000001</v>
      </c>
      <c r="I230">
        <v>171.7909712</v>
      </c>
      <c r="J230">
        <v>176.6178621</v>
      </c>
      <c r="K230">
        <v>181.41470559999999</v>
      </c>
      <c r="L230">
        <v>185.70727629999999</v>
      </c>
      <c r="M230">
        <v>188.2653392</v>
      </c>
      <c r="N230">
        <v>189.9223642</v>
      </c>
    </row>
    <row r="231" spans="1:14" x14ac:dyDescent="0.25">
      <c r="A231">
        <v>1</v>
      </c>
      <c r="B231" s="13">
        <v>19.125</v>
      </c>
      <c r="C231">
        <v>1.220663228</v>
      </c>
      <c r="D231">
        <v>176.64332189999999</v>
      </c>
      <c r="E231">
        <v>4.0383334E-2</v>
      </c>
      <c r="F231">
        <v>163.11002830000001</v>
      </c>
      <c r="G231">
        <v>164.8209832</v>
      </c>
      <c r="H231">
        <v>167.44789779999999</v>
      </c>
      <c r="I231">
        <v>171.8172333</v>
      </c>
      <c r="J231">
        <v>176.64332189999999</v>
      </c>
      <c r="K231">
        <v>181.44048459999999</v>
      </c>
      <c r="L231">
        <v>185.73425560000001</v>
      </c>
      <c r="M231">
        <v>188.29343399999999</v>
      </c>
      <c r="N231">
        <v>189.9513383</v>
      </c>
    </row>
    <row r="232" spans="1:14" x14ac:dyDescent="0.25">
      <c r="A232">
        <v>1</v>
      </c>
      <c r="B232" s="13">
        <v>19.208333333333332</v>
      </c>
      <c r="C232">
        <v>1.2128693740000001</v>
      </c>
      <c r="D232">
        <v>176.66757290000001</v>
      </c>
      <c r="E232">
        <v>4.0376990000000001E-2</v>
      </c>
      <c r="F232">
        <v>163.1387368</v>
      </c>
      <c r="G232">
        <v>164.8486523</v>
      </c>
      <c r="H232">
        <v>167.47424520000001</v>
      </c>
      <c r="I232">
        <v>171.84210189999999</v>
      </c>
      <c r="J232">
        <v>176.66757290000001</v>
      </c>
      <c r="K232">
        <v>181.46514490000001</v>
      </c>
      <c r="L232">
        <v>185.7601205</v>
      </c>
      <c r="M232">
        <v>188.32038410000001</v>
      </c>
      <c r="N232">
        <v>189.97913510000001</v>
      </c>
    </row>
    <row r="233" spans="1:14" x14ac:dyDescent="0.25">
      <c r="A233">
        <v>1</v>
      </c>
      <c r="B233" s="13">
        <v>19.291666666666668</v>
      </c>
      <c r="C233">
        <v>1.20574431</v>
      </c>
      <c r="D233">
        <v>176.69068440000001</v>
      </c>
      <c r="E233">
        <v>4.0371961999999997E-2</v>
      </c>
      <c r="F233">
        <v>163.16558660000001</v>
      </c>
      <c r="G233">
        <v>164.8745955</v>
      </c>
      <c r="H233">
        <v>167.49904620000001</v>
      </c>
      <c r="I233">
        <v>171.86565959999999</v>
      </c>
      <c r="J233">
        <v>176.69068440000001</v>
      </c>
      <c r="K233">
        <v>181.4887473</v>
      </c>
      <c r="L233">
        <v>185.78492869999999</v>
      </c>
      <c r="M233">
        <v>188.34624690000001</v>
      </c>
      <c r="N233">
        <v>190.00581260000001</v>
      </c>
    </row>
    <row r="234" spans="1:14" x14ac:dyDescent="0.25">
      <c r="A234">
        <v>1</v>
      </c>
      <c r="B234" s="13">
        <v>19.375</v>
      </c>
      <c r="C234">
        <v>1.199251356</v>
      </c>
      <c r="D234">
        <v>176.71272099999999</v>
      </c>
      <c r="E234">
        <v>4.0368148999999999E-2</v>
      </c>
      <c r="F234">
        <v>163.19069250000001</v>
      </c>
      <c r="G234">
        <v>164.8989187</v>
      </c>
      <c r="H234">
        <v>167.52239470000001</v>
      </c>
      <c r="I234">
        <v>171.8879838</v>
      </c>
      <c r="J234">
        <v>176.71272099999999</v>
      </c>
      <c r="K234">
        <v>181.51134880000001</v>
      </c>
      <c r="L234">
        <v>185.8087343</v>
      </c>
      <c r="M234">
        <v>188.3710763</v>
      </c>
      <c r="N234">
        <v>190.0314253</v>
      </c>
    </row>
    <row r="235" spans="1:14" x14ac:dyDescent="0.25">
      <c r="A235">
        <v>1</v>
      </c>
      <c r="B235" s="13">
        <v>19.458333333333332</v>
      </c>
      <c r="C235">
        <v>1.19335477</v>
      </c>
      <c r="D235">
        <v>176.733743</v>
      </c>
      <c r="E235">
        <v>4.0365456000000001E-2</v>
      </c>
      <c r="F235">
        <v>163.21416249999999</v>
      </c>
      <c r="G235">
        <v>164.92172149999999</v>
      </c>
      <c r="H235">
        <v>167.5443789</v>
      </c>
      <c r="I235">
        <v>171.9091473</v>
      </c>
      <c r="J235">
        <v>176.733743</v>
      </c>
      <c r="K235">
        <v>181.5330026</v>
      </c>
      <c r="L235">
        <v>185.8315877</v>
      </c>
      <c r="M235">
        <v>188.39492300000001</v>
      </c>
      <c r="N235">
        <v>190.05602450000001</v>
      </c>
    </row>
    <row r="236" spans="1:14" x14ac:dyDescent="0.25">
      <c r="A236">
        <v>1</v>
      </c>
      <c r="B236" s="13">
        <v>19.541666666666668</v>
      </c>
      <c r="C236">
        <v>1.188019859</v>
      </c>
      <c r="D236">
        <v>176.75380699999999</v>
      </c>
      <c r="E236">
        <v>4.0363795000000001E-2</v>
      </c>
      <c r="F236">
        <v>163.2360985</v>
      </c>
      <c r="G236">
        <v>164.9430978</v>
      </c>
      <c r="H236">
        <v>167.5650814</v>
      </c>
      <c r="I236">
        <v>171.9292179</v>
      </c>
      <c r="J236">
        <v>176.75380699999999</v>
      </c>
      <c r="K236">
        <v>181.5537583</v>
      </c>
      <c r="L236">
        <v>185.8535364</v>
      </c>
      <c r="M236">
        <v>188.41783469999999</v>
      </c>
      <c r="N236">
        <v>190.0796588</v>
      </c>
    </row>
    <row r="237" spans="1:14" x14ac:dyDescent="0.25">
      <c r="A237">
        <v>1</v>
      </c>
      <c r="B237" s="13">
        <v>19.625</v>
      </c>
      <c r="C237">
        <v>1.1832130590000001</v>
      </c>
      <c r="D237">
        <v>176.77296569999999</v>
      </c>
      <c r="E237">
        <v>4.0363080000000003E-2</v>
      </c>
      <c r="F237">
        <v>163.25659640000001</v>
      </c>
      <c r="G237">
        <v>164.96313570000001</v>
      </c>
      <c r="H237">
        <v>167.5845802</v>
      </c>
      <c r="I237">
        <v>171.94825929999999</v>
      </c>
      <c r="J237">
        <v>176.77296569999999</v>
      </c>
      <c r="K237">
        <v>181.57366250000001</v>
      </c>
      <c r="L237">
        <v>185.87462500000001</v>
      </c>
      <c r="M237">
        <v>188.43985620000001</v>
      </c>
      <c r="N237">
        <v>190.10237380000001</v>
      </c>
    </row>
    <row r="238" spans="1:14" x14ac:dyDescent="0.25">
      <c r="A238">
        <v>1</v>
      </c>
      <c r="B238" s="13">
        <v>19.708333333333332</v>
      </c>
      <c r="C238">
        <v>1.178901998</v>
      </c>
      <c r="D238">
        <v>176.79126869999999</v>
      </c>
      <c r="E238">
        <v>4.0363232999999998E-2</v>
      </c>
      <c r="F238">
        <v>163.27574609999999</v>
      </c>
      <c r="G238">
        <v>164.9819181</v>
      </c>
      <c r="H238">
        <v>167.602948</v>
      </c>
      <c r="I238">
        <v>171.9663314</v>
      </c>
      <c r="J238">
        <v>176.79126869999999</v>
      </c>
      <c r="K238">
        <v>181.59275880000001</v>
      </c>
      <c r="L238">
        <v>185.89489510000001</v>
      </c>
      <c r="M238">
        <v>188.46102970000001</v>
      </c>
      <c r="N238">
        <v>190.1242124</v>
      </c>
    </row>
    <row r="239" spans="1:14" x14ac:dyDescent="0.25">
      <c r="A239">
        <v>1</v>
      </c>
      <c r="B239" s="13">
        <v>19.791666666666668</v>
      </c>
      <c r="C239">
        <v>1.175055543</v>
      </c>
      <c r="D239">
        <v>176.80876219999999</v>
      </c>
      <c r="E239">
        <v>4.0364179E-2</v>
      </c>
      <c r="F239">
        <v>163.2936325</v>
      </c>
      <c r="G239">
        <v>164.99952289999999</v>
      </c>
      <c r="H239">
        <v>167.62025360000001</v>
      </c>
      <c r="I239">
        <v>171.98349010000001</v>
      </c>
      <c r="J239">
        <v>176.80876219999999</v>
      </c>
      <c r="K239">
        <v>181.6110879</v>
      </c>
      <c r="L239">
        <v>185.91438600000001</v>
      </c>
      <c r="M239">
        <v>188.48139499999999</v>
      </c>
      <c r="N239">
        <v>190.14521540000001</v>
      </c>
    </row>
    <row r="240" spans="1:14" x14ac:dyDescent="0.25">
      <c r="A240">
        <v>1</v>
      </c>
      <c r="B240" s="13">
        <v>19.875</v>
      </c>
      <c r="C240">
        <v>1.1716438280000001</v>
      </c>
      <c r="D240">
        <v>176.8254895</v>
      </c>
      <c r="E240">
        <v>4.0365850000000002E-2</v>
      </c>
      <c r="F240">
        <v>163.31033529999999</v>
      </c>
      <c r="G240">
        <v>165.0160233</v>
      </c>
      <c r="H240">
        <v>167.63656109999999</v>
      </c>
      <c r="I240">
        <v>171.99978780000001</v>
      </c>
      <c r="J240">
        <v>176.8254895</v>
      </c>
      <c r="K240">
        <v>181.6286882</v>
      </c>
      <c r="L240">
        <v>185.93313470000001</v>
      </c>
      <c r="M240">
        <v>188.50098940000001</v>
      </c>
      <c r="N240">
        <v>190.1654212</v>
      </c>
    </row>
    <row r="241" spans="1:15" x14ac:dyDescent="0.25">
      <c r="A241">
        <v>1</v>
      </c>
      <c r="B241" s="13">
        <v>19.958333333333332</v>
      </c>
      <c r="C241">
        <v>1.16863827</v>
      </c>
      <c r="D241">
        <v>176.8414914</v>
      </c>
      <c r="E241">
        <v>4.0368179999999997E-2</v>
      </c>
      <c r="F241">
        <v>163.32592930000001</v>
      </c>
      <c r="G241">
        <v>165.031488</v>
      </c>
      <c r="H241">
        <v>167.65193110000001</v>
      </c>
      <c r="I241">
        <v>172.01527369999999</v>
      </c>
      <c r="J241">
        <v>176.8414914</v>
      </c>
      <c r="K241">
        <v>181.64559539999999</v>
      </c>
      <c r="L241">
        <v>185.95117569999999</v>
      </c>
      <c r="M241">
        <v>188.5198484</v>
      </c>
      <c r="N241">
        <v>190.18486580000001</v>
      </c>
    </row>
    <row r="242" spans="1:15" x14ac:dyDescent="0.25">
      <c r="A242">
        <v>1</v>
      </c>
      <c r="B242" s="13">
        <v>20</v>
      </c>
      <c r="C242">
        <v>1.1672792190000001</v>
      </c>
      <c r="D242">
        <v>176.84923219999999</v>
      </c>
      <c r="E242">
        <v>4.0369573999999998E-2</v>
      </c>
      <c r="F242">
        <v>163.33333260000001</v>
      </c>
      <c r="G242">
        <v>165.0388523</v>
      </c>
      <c r="H242">
        <v>167.6592824</v>
      </c>
      <c r="I242">
        <v>172.02272679999999</v>
      </c>
      <c r="J242">
        <v>176.84923219999999</v>
      </c>
      <c r="K242">
        <v>181.6537998</v>
      </c>
      <c r="L242">
        <v>185.95994110000001</v>
      </c>
      <c r="M242">
        <v>188.52901249999999</v>
      </c>
      <c r="N242">
        <v>190.19431349999999</v>
      </c>
    </row>
    <row r="243" spans="1:15" s="26" customFormat="1" x14ac:dyDescent="0.25">
      <c r="O243" s="13"/>
    </row>
    <row r="244" spans="1:15" s="26" customFormat="1" x14ac:dyDescent="0.25">
      <c r="A244" s="26" t="s">
        <v>2</v>
      </c>
      <c r="B244" s="26" t="s">
        <v>32</v>
      </c>
      <c r="C244" s="26" t="s">
        <v>3</v>
      </c>
      <c r="D244" s="26" t="s">
        <v>4</v>
      </c>
      <c r="E244" s="26" t="s">
        <v>5</v>
      </c>
      <c r="F244" s="26" t="s">
        <v>6</v>
      </c>
      <c r="G244" s="26" t="s">
        <v>7</v>
      </c>
      <c r="H244" s="26" t="s">
        <v>8</v>
      </c>
      <c r="I244" s="26" t="s">
        <v>9</v>
      </c>
      <c r="J244" s="26" t="s">
        <v>10</v>
      </c>
      <c r="K244" s="26" t="s">
        <v>11</v>
      </c>
      <c r="L244" s="26" t="s">
        <v>12</v>
      </c>
      <c r="M244" s="26" t="s">
        <v>13</v>
      </c>
      <c r="N244" s="26" t="s">
        <v>14</v>
      </c>
    </row>
    <row r="245" spans="1:15" x14ac:dyDescent="0.25">
      <c r="A245">
        <v>2</v>
      </c>
      <c r="B245" s="13">
        <v>0</v>
      </c>
      <c r="C245">
        <v>-1.2959608570000001</v>
      </c>
      <c r="D245">
        <v>49.286396117999999</v>
      </c>
      <c r="E245">
        <v>5.0085560100000003E-2</v>
      </c>
      <c r="F245">
        <v>45.094882608675746</v>
      </c>
      <c r="G245">
        <v>45.575607403226186</v>
      </c>
      <c r="H245">
        <v>46.339336510969957</v>
      </c>
      <c r="I245">
        <v>47.683454689735115</v>
      </c>
      <c r="J245">
        <v>49.286396117999999</v>
      </c>
      <c r="K245">
        <v>51.018695737467304</v>
      </c>
      <c r="L245">
        <v>52.702501151536332</v>
      </c>
      <c r="M245">
        <v>53.772908778138486</v>
      </c>
      <c r="N245">
        <v>54.495273640368801</v>
      </c>
    </row>
    <row r="246" spans="1:15" x14ac:dyDescent="0.25">
      <c r="A246">
        <v>2</v>
      </c>
      <c r="B246" s="13">
        <v>4.1666666666666664E-2</v>
      </c>
      <c r="C246">
        <v>-0.80924988200000003</v>
      </c>
      <c r="D246">
        <v>51.683580573</v>
      </c>
      <c r="E246">
        <v>4.6818545400000001E-2</v>
      </c>
      <c r="F246">
        <v>47.469157921079763</v>
      </c>
      <c r="G246">
        <v>47.96323977230351</v>
      </c>
      <c r="H246">
        <v>48.742481675696276</v>
      </c>
      <c r="I246">
        <v>50.096855134933449</v>
      </c>
      <c r="J246">
        <v>51.683580573</v>
      </c>
      <c r="K246">
        <v>53.363623387634725</v>
      </c>
      <c r="L246">
        <v>54.962222761384631</v>
      </c>
      <c r="M246">
        <v>55.960942258356916</v>
      </c>
      <c r="N246">
        <v>56.627280630005593</v>
      </c>
    </row>
    <row r="247" spans="1:15" x14ac:dyDescent="0.25">
      <c r="A247">
        <v>2</v>
      </c>
      <c r="B247" s="13">
        <v>0.125</v>
      </c>
      <c r="C247">
        <v>-5.0782985000000003E-2</v>
      </c>
      <c r="D247">
        <v>55.286128126000001</v>
      </c>
      <c r="E247">
        <v>4.3443900000000001E-2</v>
      </c>
      <c r="F247">
        <v>50.95700561782332</v>
      </c>
      <c r="G247">
        <v>51.479956901940184</v>
      </c>
      <c r="H247">
        <v>52.296268711573283</v>
      </c>
      <c r="I247">
        <v>53.690781379835585</v>
      </c>
      <c r="J247">
        <v>55.286128126000001</v>
      </c>
      <c r="K247">
        <v>56.931360766911745</v>
      </c>
      <c r="L247">
        <v>58.456123688201231</v>
      </c>
      <c r="M247">
        <v>59.389107340130749</v>
      </c>
      <c r="N247">
        <v>60.003377712664744</v>
      </c>
    </row>
    <row r="248" spans="1:15" x14ac:dyDescent="0.25">
      <c r="A248">
        <v>2</v>
      </c>
      <c r="B248" s="13">
        <v>0.20833333333333334</v>
      </c>
      <c r="C248">
        <v>0.47685140650000002</v>
      </c>
      <c r="D248">
        <v>58.093819060999998</v>
      </c>
      <c r="E248">
        <v>4.17161032E-2</v>
      </c>
      <c r="F248">
        <v>53.629252917235391</v>
      </c>
      <c r="G248">
        <v>54.179073639062608</v>
      </c>
      <c r="H248">
        <v>55.031443057553382</v>
      </c>
      <c r="I248">
        <v>56.471252168873022</v>
      </c>
      <c r="J248">
        <v>58.093819060999998</v>
      </c>
      <c r="K248">
        <v>59.740446937242901</v>
      </c>
      <c r="L248">
        <v>61.243057507968153</v>
      </c>
      <c r="M248">
        <v>62.151655786981593</v>
      </c>
      <c r="N248">
        <v>62.745469972374693</v>
      </c>
    </row>
    <row r="249" spans="1:15" x14ac:dyDescent="0.25">
      <c r="A249">
        <v>2</v>
      </c>
      <c r="B249" s="13">
        <v>0.29166666666666669</v>
      </c>
      <c r="C249">
        <v>0.84329961170000001</v>
      </c>
      <c r="D249">
        <v>60.459807634000001</v>
      </c>
      <c r="E249">
        <v>4.0705173300000001E-2</v>
      </c>
      <c r="F249">
        <v>55.85939936383032</v>
      </c>
      <c r="G249">
        <v>56.433349473788603</v>
      </c>
      <c r="H249">
        <v>57.318924381421596</v>
      </c>
      <c r="I249">
        <v>58.803462078232961</v>
      </c>
      <c r="J249">
        <v>60.459807634000001</v>
      </c>
      <c r="K249">
        <v>62.123295130009758</v>
      </c>
      <c r="L249">
        <v>63.626478503480357</v>
      </c>
      <c r="M249">
        <v>64.528753258692944</v>
      </c>
      <c r="N249">
        <v>65.115773002808027</v>
      </c>
    </row>
    <row r="250" spans="1:15" x14ac:dyDescent="0.25">
      <c r="A250">
        <v>2</v>
      </c>
      <c r="B250" s="13">
        <v>0.375</v>
      </c>
      <c r="C250">
        <v>1.0975622571000001</v>
      </c>
      <c r="D250">
        <v>62.536696554999999</v>
      </c>
      <c r="E250">
        <v>4.0079764599999998E-2</v>
      </c>
      <c r="F250">
        <v>57.80470108913169</v>
      </c>
      <c r="G250">
        <v>58.400324369791214</v>
      </c>
      <c r="H250">
        <v>59.316327681551137</v>
      </c>
      <c r="I250">
        <v>60.843862287441013</v>
      </c>
      <c r="J250">
        <v>62.536696554999999</v>
      </c>
      <c r="K250">
        <v>64.225071271992505</v>
      </c>
      <c r="L250">
        <v>65.740958948104435</v>
      </c>
      <c r="M250">
        <v>66.646525556748202</v>
      </c>
      <c r="N250">
        <v>67.233977412166539</v>
      </c>
    </row>
    <row r="251" spans="1:15" x14ac:dyDescent="0.25">
      <c r="A251">
        <v>2</v>
      </c>
      <c r="B251" s="13">
        <v>0.45833333333333331</v>
      </c>
      <c r="C251">
        <v>1.2725096408000001</v>
      </c>
      <c r="D251">
        <v>64.406327623999999</v>
      </c>
      <c r="E251">
        <v>3.9686844899999997E-2</v>
      </c>
      <c r="F251">
        <v>59.54799296623888</v>
      </c>
      <c r="G251">
        <v>60.163230754808446</v>
      </c>
      <c r="H251">
        <v>61.107258362972672</v>
      </c>
      <c r="I251">
        <v>62.675897094914937</v>
      </c>
      <c r="J251">
        <v>64.406327623999999</v>
      </c>
      <c r="K251">
        <v>66.124178519523809</v>
      </c>
      <c r="L251">
        <v>67.659952176214787</v>
      </c>
      <c r="M251">
        <v>68.574516066986661</v>
      </c>
      <c r="N251">
        <v>69.166676189482189</v>
      </c>
    </row>
    <row r="252" spans="1:15" x14ac:dyDescent="0.25">
      <c r="A252">
        <v>2</v>
      </c>
      <c r="B252" s="13">
        <v>0.54166666666666663</v>
      </c>
      <c r="C252">
        <v>1.3904288587</v>
      </c>
      <c r="D252">
        <v>66.118415533000004</v>
      </c>
      <c r="E252">
        <v>3.9444554700000002E-2</v>
      </c>
      <c r="F252">
        <v>61.138931223928779</v>
      </c>
      <c r="G252">
        <v>61.772080145277123</v>
      </c>
      <c r="H252">
        <v>62.742102831168125</v>
      </c>
      <c r="I252">
        <v>64.350053441494182</v>
      </c>
      <c r="J252">
        <v>66.118415533000004</v>
      </c>
      <c r="K252">
        <v>67.868499370471071</v>
      </c>
      <c r="L252">
        <v>69.428684245188634</v>
      </c>
      <c r="M252">
        <v>70.355869074993691</v>
      </c>
      <c r="N252">
        <v>70.955454592505447</v>
      </c>
    </row>
    <row r="253" spans="1:15" x14ac:dyDescent="0.25">
      <c r="A253">
        <v>2</v>
      </c>
      <c r="B253" s="13">
        <v>0.625</v>
      </c>
      <c r="C253">
        <v>1.466733925</v>
      </c>
      <c r="D253">
        <v>67.705744191999997</v>
      </c>
      <c r="E253">
        <v>3.93047376E-2</v>
      </c>
      <c r="F253">
        <v>62.609931786015238</v>
      </c>
      <c r="G253">
        <v>63.259579538213558</v>
      </c>
      <c r="H253">
        <v>64.253887803435703</v>
      </c>
      <c r="I253">
        <v>65.899520958722746</v>
      </c>
      <c r="J253">
        <v>67.705744191999997</v>
      </c>
      <c r="K253">
        <v>69.489749500251889</v>
      </c>
      <c r="L253">
        <v>71.077310633282977</v>
      </c>
      <c r="M253">
        <v>72.019524546504115</v>
      </c>
      <c r="N253">
        <v>72.628347498004672</v>
      </c>
    </row>
    <row r="254" spans="1:15" x14ac:dyDescent="0.25">
      <c r="A254">
        <v>2</v>
      </c>
      <c r="B254" s="13">
        <v>0.70833333333333337</v>
      </c>
      <c r="C254">
        <v>1.5123019758</v>
      </c>
      <c r="D254">
        <v>69.191236137999994</v>
      </c>
      <c r="E254">
        <v>3.92371101E-2</v>
      </c>
      <c r="F254">
        <v>63.983480867886684</v>
      </c>
      <c r="G254">
        <v>64.648448283891994</v>
      </c>
      <c r="H254">
        <v>65.665593898463058</v>
      </c>
      <c r="I254">
        <v>67.347445929324536</v>
      </c>
      <c r="J254">
        <v>69.191236137999994</v>
      </c>
      <c r="K254">
        <v>71.010189053394782</v>
      </c>
      <c r="L254">
        <v>72.627114950958088</v>
      </c>
      <c r="M254">
        <v>73.586008064004389</v>
      </c>
      <c r="N254">
        <v>74.205318368479169</v>
      </c>
    </row>
    <row r="255" spans="1:15" x14ac:dyDescent="0.25">
      <c r="A255">
        <v>2</v>
      </c>
      <c r="B255" s="13">
        <v>0.79166666666666663</v>
      </c>
      <c r="C255">
        <v>1.534950767</v>
      </c>
      <c r="D255">
        <v>70.591639236999995</v>
      </c>
      <c r="E255">
        <v>3.92216648E-2</v>
      </c>
      <c r="F255">
        <v>65.275903473377994</v>
      </c>
      <c r="G255">
        <v>65.955197569739894</v>
      </c>
      <c r="H255">
        <v>66.993943711226692</v>
      </c>
      <c r="I255">
        <v>68.710701883647985</v>
      </c>
      <c r="J255">
        <v>70.591639236999995</v>
      </c>
      <c r="K255">
        <v>72.446136694944258</v>
      </c>
      <c r="L255">
        <v>74.093775124029563</v>
      </c>
      <c r="M255">
        <v>75.070500875252549</v>
      </c>
      <c r="N255">
        <v>75.701181126368013</v>
      </c>
    </row>
    <row r="256" spans="1:15" x14ac:dyDescent="0.25">
      <c r="A256">
        <v>2</v>
      </c>
      <c r="B256" s="13">
        <v>0.875</v>
      </c>
      <c r="C256">
        <v>1.5403908750999999</v>
      </c>
      <c r="D256">
        <v>71.919616727000005</v>
      </c>
      <c r="E256">
        <v>3.9244671600000003E-2</v>
      </c>
      <c r="F256">
        <v>66.499479347543428</v>
      </c>
      <c r="G256">
        <v>67.192256464648068</v>
      </c>
      <c r="H256">
        <v>68.251537657595293</v>
      </c>
      <c r="I256">
        <v>70.002021692878529</v>
      </c>
      <c r="J256">
        <v>71.919616727000005</v>
      </c>
      <c r="K256">
        <v>73.809968477397234</v>
      </c>
      <c r="L256">
        <v>75.489231298874515</v>
      </c>
      <c r="M256">
        <v>76.48460494801607</v>
      </c>
      <c r="N256">
        <v>77.127287985903948</v>
      </c>
    </row>
    <row r="257" spans="1:14" x14ac:dyDescent="0.25">
      <c r="A257">
        <v>2</v>
      </c>
      <c r="B257" s="13">
        <v>0.95833333333333337</v>
      </c>
      <c r="C257">
        <v>1.5328528916999999</v>
      </c>
      <c r="D257">
        <v>73.185010399000006</v>
      </c>
      <c r="E257">
        <v>3.9296420300000003E-2</v>
      </c>
      <c r="F257">
        <v>67.663711461033287</v>
      </c>
      <c r="G257">
        <v>68.369248550420437</v>
      </c>
      <c r="H257">
        <v>69.44813905364532</v>
      </c>
      <c r="I257">
        <v>71.23128341647255</v>
      </c>
      <c r="J257">
        <v>73.185010399000006</v>
      </c>
      <c r="K257">
        <v>75.1113294629031</v>
      </c>
      <c r="L257">
        <v>76.822823451438495</v>
      </c>
      <c r="M257">
        <v>77.837422851772288</v>
      </c>
      <c r="N257">
        <v>78.492566224792668</v>
      </c>
    </row>
    <row r="258" spans="1:14" x14ac:dyDescent="0.25">
      <c r="A258">
        <v>2</v>
      </c>
      <c r="B258" s="13">
        <v>1.0416666666666667</v>
      </c>
      <c r="C258">
        <v>1.5155094695</v>
      </c>
      <c r="D258">
        <v>74.395643785999994</v>
      </c>
      <c r="E258">
        <v>3.93698746E-2</v>
      </c>
      <c r="F258">
        <v>68.776126937662156</v>
      </c>
      <c r="G258">
        <v>69.493799167058228</v>
      </c>
      <c r="H258">
        <v>70.591488102113047</v>
      </c>
      <c r="I258">
        <v>72.406326393337736</v>
      </c>
      <c r="J258">
        <v>74.395643785999994</v>
      </c>
      <c r="K258">
        <v>76.357906171938623</v>
      </c>
      <c r="L258">
        <v>78.102019734356674</v>
      </c>
      <c r="M258">
        <v>79.136251913718183</v>
      </c>
      <c r="N258">
        <v>79.80418692509808</v>
      </c>
    </row>
    <row r="259" spans="1:14" x14ac:dyDescent="0.25">
      <c r="A259">
        <v>2</v>
      </c>
      <c r="B259" s="13">
        <v>1.125</v>
      </c>
      <c r="C259">
        <v>1.4907650275</v>
      </c>
      <c r="D259">
        <v>75.557854397</v>
      </c>
      <c r="E259">
        <v>3.9459832100000002E-2</v>
      </c>
      <c r="F259">
        <v>69.842804738036776</v>
      </c>
      <c r="G259">
        <v>70.572067912174461</v>
      </c>
      <c r="H259">
        <v>71.687839598204931</v>
      </c>
      <c r="I259">
        <v>73.533491196879822</v>
      </c>
      <c r="J259">
        <v>75.557854397</v>
      </c>
      <c r="K259">
        <v>77.555939635004179</v>
      </c>
      <c r="L259">
        <v>79.332902044041504</v>
      </c>
      <c r="M259">
        <v>80.387048595795946</v>
      </c>
      <c r="N259">
        <v>81.068013664563466</v>
      </c>
    </row>
    <row r="260" spans="1:14" x14ac:dyDescent="0.25">
      <c r="A260">
        <v>2</v>
      </c>
      <c r="B260" s="13">
        <v>1.2083333333333333</v>
      </c>
      <c r="C260">
        <v>1.460458255</v>
      </c>
      <c r="D260">
        <v>76.676858713000001</v>
      </c>
      <c r="E260">
        <v>3.9562381799999997E-2</v>
      </c>
      <c r="F260">
        <v>70.868735548975422</v>
      </c>
      <c r="G260">
        <v>71.609112223793602</v>
      </c>
      <c r="H260">
        <v>72.742330546317987</v>
      </c>
      <c r="I260">
        <v>74.61798935156294</v>
      </c>
      <c r="J260">
        <v>76.676858713000001</v>
      </c>
      <c r="K260">
        <v>78.710578049922077</v>
      </c>
      <c r="L260">
        <v>80.520500975714057</v>
      </c>
      <c r="M260">
        <v>81.594749856291926</v>
      </c>
      <c r="N260">
        <v>82.288913848706486</v>
      </c>
    </row>
    <row r="261" spans="1:14" x14ac:dyDescent="0.25">
      <c r="A261">
        <v>2</v>
      </c>
      <c r="B261" s="13">
        <v>1.2916666666666667</v>
      </c>
      <c r="C261">
        <v>1.4260060091</v>
      </c>
      <c r="D261">
        <v>77.757009855999996</v>
      </c>
      <c r="E261">
        <v>3.96745415E-2</v>
      </c>
      <c r="F261">
        <v>71.858074814416057</v>
      </c>
      <c r="G261">
        <v>72.609143227385061</v>
      </c>
      <c r="H261">
        <v>73.759239094396662</v>
      </c>
      <c r="I261">
        <v>75.664164029446539</v>
      </c>
      <c r="J261">
        <v>77.757009855999996</v>
      </c>
      <c r="K261">
        <v>79.8261262130668</v>
      </c>
      <c r="L261">
        <v>81.669033445160309</v>
      </c>
      <c r="M261">
        <v>82.763501742148236</v>
      </c>
      <c r="N261">
        <v>83.470980662383752</v>
      </c>
    </row>
    <row r="262" spans="1:14" x14ac:dyDescent="0.25">
      <c r="A262">
        <v>2</v>
      </c>
      <c r="B262" s="13">
        <v>1.375</v>
      </c>
      <c r="C262">
        <v>1.3885070954000001</v>
      </c>
      <c r="D262">
        <v>78.801984055999995</v>
      </c>
      <c r="E262">
        <v>3.97940102E-2</v>
      </c>
      <c r="F262">
        <v>72.814325020420299</v>
      </c>
      <c r="G262">
        <v>73.575710206757122</v>
      </c>
      <c r="H262">
        <v>74.742171418146711</v>
      </c>
      <c r="I262">
        <v>76.675678441759487</v>
      </c>
      <c r="J262">
        <v>78.801984055999995</v>
      </c>
      <c r="K262">
        <v>80.90622640643474</v>
      </c>
      <c r="L262">
        <v>82.782075541616962</v>
      </c>
      <c r="M262">
        <v>83.896826111433583</v>
      </c>
      <c r="N262">
        <v>84.617695293096531</v>
      </c>
    </row>
    <row r="263" spans="1:14" x14ac:dyDescent="0.25">
      <c r="A263">
        <v>2</v>
      </c>
      <c r="B263" s="13">
        <v>1.4583333333333333</v>
      </c>
      <c r="C263">
        <v>1.3488181274</v>
      </c>
      <c r="D263">
        <v>79.814918523000003</v>
      </c>
      <c r="E263">
        <v>3.9918994300000003E-2</v>
      </c>
      <c r="F263">
        <v>73.740470064912088</v>
      </c>
      <c r="G263">
        <v>74.511836664277538</v>
      </c>
      <c r="H263">
        <v>75.694199652211495</v>
      </c>
      <c r="I263">
        <v>77.655654994920198</v>
      </c>
      <c r="J263">
        <v>79.814918523000003</v>
      </c>
      <c r="K263">
        <v>81.953992365373082</v>
      </c>
      <c r="L263">
        <v>83.862690867100795</v>
      </c>
      <c r="M263">
        <v>84.997744690060316</v>
      </c>
      <c r="N263">
        <v>85.732047851903303</v>
      </c>
    </row>
    <row r="264" spans="1:14" x14ac:dyDescent="0.25">
      <c r="A264">
        <v>2</v>
      </c>
      <c r="B264" s="13">
        <v>1.5416666666666667</v>
      </c>
      <c r="C264">
        <v>1.3076096543</v>
      </c>
      <c r="D264">
        <v>80.798515316000007</v>
      </c>
      <c r="E264">
        <v>4.0048083800000002E-2</v>
      </c>
      <c r="F264">
        <v>74.639076123350236</v>
      </c>
      <c r="G264">
        <v>75.420122517094214</v>
      </c>
      <c r="H264">
        <v>76.61796556800067</v>
      </c>
      <c r="I264">
        <v>78.606779994758725</v>
      </c>
      <c r="J264">
        <v>80.798515316000007</v>
      </c>
      <c r="K264">
        <v>82.972110396500142</v>
      </c>
      <c r="L264">
        <v>84.913527660739518</v>
      </c>
      <c r="M264">
        <v>86.068873158956748</v>
      </c>
      <c r="N264">
        <v>86.816629239480221</v>
      </c>
    </row>
    <row r="265" spans="1:14" x14ac:dyDescent="0.25">
      <c r="A265">
        <v>2</v>
      </c>
      <c r="B265" s="13">
        <v>1.625</v>
      </c>
      <c r="C265">
        <v>1.2654081485999999</v>
      </c>
      <c r="D265">
        <v>81.755120921</v>
      </c>
      <c r="E265">
        <v>4.01801621E-2</v>
      </c>
      <c r="F265">
        <v>75.512368749377728</v>
      </c>
      <c r="G265">
        <v>76.302822243039159</v>
      </c>
      <c r="H265">
        <v>77.515759886674871</v>
      </c>
      <c r="I265">
        <v>79.531383793721574</v>
      </c>
      <c r="J265">
        <v>81.755120921</v>
      </c>
      <c r="K265">
        <v>83.962916961886265</v>
      </c>
      <c r="L265">
        <v>85.936893478434342</v>
      </c>
      <c r="M265">
        <v>87.112493628013169</v>
      </c>
      <c r="N265">
        <v>87.87370200947133</v>
      </c>
    </row>
    <row r="266" spans="1:14" x14ac:dyDescent="0.25">
      <c r="A266">
        <v>2</v>
      </c>
      <c r="B266" s="13">
        <v>1.7083333333333333</v>
      </c>
      <c r="C266">
        <v>1.2226277319000001</v>
      </c>
      <c r="D266">
        <v>82.686788097999994</v>
      </c>
      <c r="E266">
        <v>4.0314339599999999E-2</v>
      </c>
      <c r="F266">
        <v>76.362292625153074</v>
      </c>
      <c r="G266">
        <v>77.161905465163017</v>
      </c>
      <c r="H266">
        <v>78.389583800652659</v>
      </c>
      <c r="I266">
        <v>80.43150301025635</v>
      </c>
      <c r="J266">
        <v>82.686788097999994</v>
      </c>
      <c r="K266">
        <v>84.92845907743542</v>
      </c>
      <c r="L266">
        <v>86.934813460879212</v>
      </c>
      <c r="M266">
        <v>88.130611284977363</v>
      </c>
      <c r="N266">
        <v>88.905255835732802</v>
      </c>
    </row>
    <row r="267" spans="1:14" x14ac:dyDescent="0.25">
      <c r="A267">
        <v>2</v>
      </c>
      <c r="B267" s="13">
        <v>1.7916666666666667</v>
      </c>
      <c r="C267">
        <v>1.1795943654000001</v>
      </c>
      <c r="D267">
        <v>83.595324610000006</v>
      </c>
      <c r="E267">
        <v>4.0449904000000002E-2</v>
      </c>
      <c r="F267">
        <v>77.190558539651803</v>
      </c>
      <c r="G267">
        <v>77.999104597586765</v>
      </c>
      <c r="H267">
        <v>79.241197372670882</v>
      </c>
      <c r="I267">
        <v>81.308929505943297</v>
      </c>
      <c r="J267">
        <v>83.595324610000006</v>
      </c>
      <c r="K267">
        <v>85.870541969533264</v>
      </c>
      <c r="L267">
        <v>87.909076399945903</v>
      </c>
      <c r="M267">
        <v>89.124999252460725</v>
      </c>
      <c r="N267">
        <v>89.913051487192448</v>
      </c>
    </row>
    <row r="268" spans="1:14" x14ac:dyDescent="0.25">
      <c r="A268">
        <v>2</v>
      </c>
      <c r="B268" s="13">
        <v>1.875</v>
      </c>
      <c r="C268">
        <v>1.1365644482999999</v>
      </c>
      <c r="D268">
        <v>84.482332060000005</v>
      </c>
      <c r="E268">
        <v>4.0586282899999999E-2</v>
      </c>
      <c r="F268">
        <v>77.998680719464701</v>
      </c>
      <c r="G268">
        <v>78.815952719361661</v>
      </c>
      <c r="H268">
        <v>80.072158027406473</v>
      </c>
      <c r="I268">
        <v>82.165249371363132</v>
      </c>
      <c r="J268">
        <v>84.482332060000005</v>
      </c>
      <c r="K268">
        <v>86.790767123858274</v>
      </c>
      <c r="L268">
        <v>88.861271598425006</v>
      </c>
      <c r="M268">
        <v>90.097234540126905</v>
      </c>
      <c r="N268">
        <v>90.898656117558261</v>
      </c>
    </row>
    <row r="269" spans="1:14" x14ac:dyDescent="0.25">
      <c r="A269">
        <v>2</v>
      </c>
      <c r="B269" s="13">
        <v>1.9583333333333333</v>
      </c>
      <c r="C269">
        <v>1.0937319465999999</v>
      </c>
      <c r="D269">
        <v>85.349236238000003</v>
      </c>
      <c r="E269">
        <v>4.07230154E-2</v>
      </c>
      <c r="F269">
        <v>78.788007833420934</v>
      </c>
      <c r="G269">
        <v>79.613814564437334</v>
      </c>
      <c r="H269">
        <v>80.883851467342282</v>
      </c>
      <c r="I269">
        <v>83.001873615073819</v>
      </c>
      <c r="J269">
        <v>85.349236238000003</v>
      </c>
      <c r="K269">
        <v>87.690562257869132</v>
      </c>
      <c r="L269">
        <v>89.792818519404349</v>
      </c>
      <c r="M269">
        <v>91.048727519795364</v>
      </c>
      <c r="N269">
        <v>91.863472638030657</v>
      </c>
    </row>
    <row r="270" spans="1:14" x14ac:dyDescent="0.25">
      <c r="A270">
        <v>2</v>
      </c>
      <c r="B270" s="13">
        <v>2</v>
      </c>
      <c r="C270">
        <v>1.07244896</v>
      </c>
      <c r="D270">
        <v>84.975555119999996</v>
      </c>
      <c r="E270">
        <v>4.0791394000000002E-2</v>
      </c>
      <c r="F270">
        <v>78.437541659999994</v>
      </c>
      <c r="G270">
        <v>79.259819890000003</v>
      </c>
      <c r="H270">
        <v>80.524764669999996</v>
      </c>
      <c r="I270">
        <v>82.635235629999997</v>
      </c>
      <c r="J270">
        <v>84.975555119999996</v>
      </c>
      <c r="K270">
        <v>87.311213559999999</v>
      </c>
      <c r="L270">
        <v>89.409511589999994</v>
      </c>
      <c r="M270">
        <v>90.663548710000001</v>
      </c>
      <c r="N270">
        <v>91.477286890000002</v>
      </c>
    </row>
    <row r="271" spans="1:14" x14ac:dyDescent="0.25">
      <c r="A271">
        <v>2</v>
      </c>
      <c r="B271" s="13">
        <v>2.0416666666666665</v>
      </c>
      <c r="C271">
        <v>1.0512729119999999</v>
      </c>
      <c r="D271">
        <v>85.397316900000007</v>
      </c>
      <c r="E271">
        <v>4.0859726999999998E-2</v>
      </c>
      <c r="F271">
        <v>78.821332630000001</v>
      </c>
      <c r="G271">
        <v>79.647768589999998</v>
      </c>
      <c r="H271">
        <v>80.919463019999995</v>
      </c>
      <c r="I271">
        <v>83.042132460000005</v>
      </c>
      <c r="J271">
        <v>85.397316900000007</v>
      </c>
      <c r="K271">
        <v>87.749175219999998</v>
      </c>
      <c r="L271">
        <v>89.863158339999998</v>
      </c>
      <c r="M271">
        <v>91.127069710000001</v>
      </c>
      <c r="N271">
        <v>91.947412249999999</v>
      </c>
    </row>
    <row r="272" spans="1:14" x14ac:dyDescent="0.25">
      <c r="A272">
        <v>2</v>
      </c>
      <c r="B272" s="13">
        <v>2.125</v>
      </c>
      <c r="C272">
        <v>1.0419511749999999</v>
      </c>
      <c r="D272">
        <v>86.290263179999997</v>
      </c>
      <c r="E272">
        <v>4.1142160999999997E-2</v>
      </c>
      <c r="F272">
        <v>79.601976469999997</v>
      </c>
      <c r="G272">
        <v>80.442257350000006</v>
      </c>
      <c r="H272">
        <v>81.735409570000002</v>
      </c>
      <c r="I272">
        <v>83.894303359999995</v>
      </c>
      <c r="J272">
        <v>86.290263179999997</v>
      </c>
      <c r="K272">
        <v>88.683435000000003</v>
      </c>
      <c r="L272">
        <v>90.835047849999995</v>
      </c>
      <c r="M272">
        <v>92.121676309999998</v>
      </c>
      <c r="N272">
        <v>92.956849750000003</v>
      </c>
    </row>
    <row r="273" spans="1:14" x14ac:dyDescent="0.25">
      <c r="A273">
        <v>2</v>
      </c>
      <c r="B273" s="13">
        <v>2.2083333333333335</v>
      </c>
      <c r="C273">
        <v>1.0125922359999999</v>
      </c>
      <c r="D273">
        <v>87.157141820000007</v>
      </c>
      <c r="E273">
        <v>4.1349399000000002E-2</v>
      </c>
      <c r="F273">
        <v>80.375547589999996</v>
      </c>
      <c r="G273">
        <v>81.226661809999996</v>
      </c>
      <c r="H273">
        <v>82.536994399999998</v>
      </c>
      <c r="I273">
        <v>84.725920340000002</v>
      </c>
      <c r="J273">
        <v>87.157141820000007</v>
      </c>
      <c r="K273">
        <v>89.587509499999996</v>
      </c>
      <c r="L273">
        <v>91.774205839999993</v>
      </c>
      <c r="M273">
        <v>93.082540820000006</v>
      </c>
      <c r="N273">
        <v>93.932091200000002</v>
      </c>
    </row>
    <row r="274" spans="1:14" x14ac:dyDescent="0.25">
      <c r="A274">
        <v>2</v>
      </c>
      <c r="B274" s="13">
        <v>2.2916666666666665</v>
      </c>
      <c r="C274">
        <v>0.97054190900000004</v>
      </c>
      <c r="D274">
        <v>87.996018399999997</v>
      </c>
      <c r="E274">
        <v>4.1500427999999999E-2</v>
      </c>
      <c r="F274">
        <v>81.135697300000004</v>
      </c>
      <c r="G274">
        <v>81.995395959999996</v>
      </c>
      <c r="H274">
        <v>83.319684530000004</v>
      </c>
      <c r="I274">
        <v>85.533892449999996</v>
      </c>
      <c r="J274">
        <v>87.996018399999997</v>
      </c>
      <c r="K274">
        <v>90.460175649999996</v>
      </c>
      <c r="L274">
        <v>92.679687759999993</v>
      </c>
      <c r="M274">
        <v>94.008728189999999</v>
      </c>
      <c r="N274">
        <v>94.872146610000001</v>
      </c>
    </row>
    <row r="275" spans="1:14" x14ac:dyDescent="0.25">
      <c r="A275">
        <v>2</v>
      </c>
      <c r="B275" s="13">
        <v>2.375</v>
      </c>
      <c r="C275">
        <v>0.92112998800000001</v>
      </c>
      <c r="D275">
        <v>88.805511499999994</v>
      </c>
      <c r="E275">
        <v>4.1610507999999997E-2</v>
      </c>
      <c r="F275">
        <v>81.877460510000006</v>
      </c>
      <c r="G275">
        <v>82.744108879999999</v>
      </c>
      <c r="H275">
        <v>84.079979089999995</v>
      </c>
      <c r="I275">
        <v>86.315888880000003</v>
      </c>
      <c r="J275">
        <v>88.805511499999994</v>
      </c>
      <c r="K275">
        <v>91.300651729999998</v>
      </c>
      <c r="L275">
        <v>93.550968220000001</v>
      </c>
      <c r="M275">
        <v>94.899743639999997</v>
      </c>
      <c r="N275">
        <v>95.776493389999999</v>
      </c>
    </row>
    <row r="276" spans="1:14" x14ac:dyDescent="0.25">
      <c r="A276">
        <v>2</v>
      </c>
      <c r="B276" s="13">
        <v>2.4583333333333335</v>
      </c>
      <c r="C276">
        <v>0.86822139200000004</v>
      </c>
      <c r="D276">
        <v>89.584766889999997</v>
      </c>
      <c r="E276">
        <v>4.1691761000000001E-2</v>
      </c>
      <c r="F276">
        <v>82.597118190000003</v>
      </c>
      <c r="G276">
        <v>83.469565849999995</v>
      </c>
      <c r="H276">
        <v>84.815316789999997</v>
      </c>
      <c r="I276">
        <v>87.070283869999997</v>
      </c>
      <c r="J276">
        <v>89.584766889999997</v>
      </c>
      <c r="K276">
        <v>92.108585980000001</v>
      </c>
      <c r="L276">
        <v>94.387928160000001</v>
      </c>
      <c r="M276">
        <v>95.755511709999993</v>
      </c>
      <c r="N276">
        <v>96.645047120000001</v>
      </c>
    </row>
    <row r="277" spans="1:14" x14ac:dyDescent="0.25">
      <c r="A277">
        <v>2</v>
      </c>
      <c r="B277" s="13">
        <v>2.5416666666666665</v>
      </c>
      <c r="C277">
        <v>0.81454413000000003</v>
      </c>
      <c r="D277">
        <v>90.333417220000001</v>
      </c>
      <c r="E277">
        <v>4.1753680000000001E-2</v>
      </c>
      <c r="F277">
        <v>83.292061840000002</v>
      </c>
      <c r="G277">
        <v>84.169529429999997</v>
      </c>
      <c r="H277">
        <v>85.523980129999998</v>
      </c>
      <c r="I277">
        <v>87.796091899999993</v>
      </c>
      <c r="J277">
        <v>90.333417220000001</v>
      </c>
      <c r="K277">
        <v>92.884030409999994</v>
      </c>
      <c r="L277">
        <v>95.190832619999995</v>
      </c>
      <c r="M277">
        <v>96.576352529999994</v>
      </c>
      <c r="N277">
        <v>97.478135280000004</v>
      </c>
    </row>
    <row r="278" spans="1:14" x14ac:dyDescent="0.25">
      <c r="A278">
        <v>2</v>
      </c>
      <c r="B278" s="13">
        <v>2.625</v>
      </c>
      <c r="C278">
        <v>0.76195797700000001</v>
      </c>
      <c r="D278">
        <v>91.051543600000002</v>
      </c>
      <c r="E278">
        <v>4.1803562000000002E-2</v>
      </c>
      <c r="F278">
        <v>83.960654149999996</v>
      </c>
      <c r="G278">
        <v>84.842639370000001</v>
      </c>
      <c r="H278">
        <v>86.205000709999993</v>
      </c>
      <c r="I278">
        <v>88.49290603</v>
      </c>
      <c r="J278">
        <v>91.051543600000002</v>
      </c>
      <c r="K278">
        <v>93.627413250000004</v>
      </c>
      <c r="L278">
        <v>95.960303589999995</v>
      </c>
      <c r="M278">
        <v>97.362951030000005</v>
      </c>
      <c r="N278">
        <v>98.276462640000005</v>
      </c>
    </row>
    <row r="279" spans="1:14" x14ac:dyDescent="0.25">
      <c r="A279">
        <v>2</v>
      </c>
      <c r="B279" s="13">
        <v>2.7083333333333335</v>
      </c>
      <c r="C279">
        <v>0.71166022799999995</v>
      </c>
      <c r="D279">
        <v>91.739635199999995</v>
      </c>
      <c r="E279">
        <v>4.1846882000000002E-2</v>
      </c>
      <c r="F279">
        <v>84.60209562</v>
      </c>
      <c r="G279">
        <v>85.488297079999995</v>
      </c>
      <c r="H279">
        <v>86.858067520000006</v>
      </c>
      <c r="I279">
        <v>89.160836239999995</v>
      </c>
      <c r="J279">
        <v>91.739635199999995</v>
      </c>
      <c r="K279">
        <v>94.339508409999993</v>
      </c>
      <c r="L279">
        <v>96.697289780000006</v>
      </c>
      <c r="M279">
        <v>98.116323420000001</v>
      </c>
      <c r="N279">
        <v>99.041074350000002</v>
      </c>
    </row>
    <row r="280" spans="1:14" x14ac:dyDescent="0.25">
      <c r="A280">
        <v>2</v>
      </c>
      <c r="B280" s="13">
        <v>2.7916666666666665</v>
      </c>
      <c r="C280">
        <v>0.66432337900000005</v>
      </c>
      <c r="D280">
        <v>92.398544290000004</v>
      </c>
      <c r="E280">
        <v>4.1887625999999997E-2</v>
      </c>
      <c r="F280">
        <v>85.216303530000005</v>
      </c>
      <c r="G280">
        <v>86.106558809999996</v>
      </c>
      <c r="H280">
        <v>87.483439219999994</v>
      </c>
      <c r="I280">
        <v>89.800446440000002</v>
      </c>
      <c r="J280">
        <v>92.398544290000004</v>
      </c>
      <c r="K280">
        <v>95.021400259999993</v>
      </c>
      <c r="L280">
        <v>97.403034210000001</v>
      </c>
      <c r="M280">
        <v>98.837784170000006</v>
      </c>
      <c r="N280">
        <v>99.773321659999993</v>
      </c>
    </row>
    <row r="281" spans="1:14" x14ac:dyDescent="0.25">
      <c r="A281">
        <v>2</v>
      </c>
      <c r="B281" s="13">
        <v>2.875</v>
      </c>
      <c r="C281">
        <v>0.62028510199999998</v>
      </c>
      <c r="D281">
        <v>93.029453919999995</v>
      </c>
      <c r="E281">
        <v>4.1928567999999999E-2</v>
      </c>
      <c r="F281">
        <v>85.803789960000003</v>
      </c>
      <c r="G281">
        <v>86.698031439999994</v>
      </c>
      <c r="H281">
        <v>88.081863249999998</v>
      </c>
      <c r="I281">
        <v>90.412702969999998</v>
      </c>
      <c r="J281">
        <v>93.029453919999995</v>
      </c>
      <c r="K281">
        <v>95.674457230000002</v>
      </c>
      <c r="L281">
        <v>98.079042659999999</v>
      </c>
      <c r="M281">
        <v>99.528906980000002</v>
      </c>
      <c r="N281">
        <v>100.47481639999999</v>
      </c>
    </row>
    <row r="282" spans="1:14" x14ac:dyDescent="0.25">
      <c r="A282">
        <v>2</v>
      </c>
      <c r="B282" s="13">
        <v>2.9583333333333335</v>
      </c>
      <c r="C282">
        <v>0.57955630999999996</v>
      </c>
      <c r="D282">
        <v>93.633822780000003</v>
      </c>
      <c r="E282">
        <v>4.1971514000000001E-2</v>
      </c>
      <c r="F282">
        <v>86.365572619999995</v>
      </c>
      <c r="G282">
        <v>87.26378819</v>
      </c>
      <c r="H282">
        <v>88.654498799999999</v>
      </c>
      <c r="I282">
        <v>90.998908389999997</v>
      </c>
      <c r="J282">
        <v>93.633822780000003</v>
      </c>
      <c r="K282">
        <v>96.300287510000004</v>
      </c>
      <c r="L282">
        <v>98.727049539999996</v>
      </c>
      <c r="M282">
        <v>100.191497</v>
      </c>
      <c r="N282">
        <v>101.1474075</v>
      </c>
    </row>
    <row r="283" spans="1:14" x14ac:dyDescent="0.25">
      <c r="A283">
        <v>2</v>
      </c>
      <c r="B283" s="13">
        <v>3.0416666666666665</v>
      </c>
      <c r="C283">
        <v>0.54198093999999997</v>
      </c>
      <c r="D283">
        <v>94.213357090000002</v>
      </c>
      <c r="E283">
        <v>4.2017509000000001E-2</v>
      </c>
      <c r="F283">
        <v>86.903073280000001</v>
      </c>
      <c r="G283">
        <v>87.805281570000005</v>
      </c>
      <c r="H283">
        <v>89.202848930000002</v>
      </c>
      <c r="I283">
        <v>91.560657809999995</v>
      </c>
      <c r="J283">
        <v>94.213357090000002</v>
      </c>
      <c r="K283">
        <v>96.900714800000003</v>
      </c>
      <c r="L283">
        <v>99.348987440000002</v>
      </c>
      <c r="M283">
        <v>100.8275527</v>
      </c>
      <c r="N283">
        <v>101.7931359</v>
      </c>
    </row>
    <row r="284" spans="1:14" x14ac:dyDescent="0.25">
      <c r="A284">
        <v>2</v>
      </c>
      <c r="B284" s="13">
        <v>3.125</v>
      </c>
      <c r="C284">
        <v>0.51142983200000003</v>
      </c>
      <c r="D284">
        <v>94.796432390000007</v>
      </c>
      <c r="E284">
        <v>4.2104521999999998E-2</v>
      </c>
      <c r="F284">
        <v>87.434820180000003</v>
      </c>
      <c r="G284">
        <v>88.342362129999998</v>
      </c>
      <c r="H284">
        <v>89.748753219999998</v>
      </c>
      <c r="I284">
        <v>92.122982629999996</v>
      </c>
      <c r="J284">
        <v>94.796432390000007</v>
      </c>
      <c r="K284">
        <v>97.50723533</v>
      </c>
      <c r="L284">
        <v>99.978961229999996</v>
      </c>
      <c r="M284">
        <v>101.4726459</v>
      </c>
      <c r="N284">
        <v>102.448488</v>
      </c>
    </row>
    <row r="285" spans="1:14" x14ac:dyDescent="0.25">
      <c r="A285">
        <v>2</v>
      </c>
      <c r="B285" s="13">
        <v>3.2083333333333335</v>
      </c>
      <c r="C285">
        <v>0.48279993700000001</v>
      </c>
      <c r="D285">
        <v>95.373919180000001</v>
      </c>
      <c r="E285">
        <v>4.2199506999999997E-2</v>
      </c>
      <c r="F285">
        <v>87.959451369999996</v>
      </c>
      <c r="G285">
        <v>88.872558639999994</v>
      </c>
      <c r="H285">
        <v>90.288106990000003</v>
      </c>
      <c r="I285">
        <v>92.679253220000007</v>
      </c>
      <c r="J285">
        <v>95.373919180000001</v>
      </c>
      <c r="K285">
        <v>98.108547689999995</v>
      </c>
      <c r="L285">
        <v>100.6040005</v>
      </c>
      <c r="M285">
        <v>102.112939</v>
      </c>
      <c r="N285">
        <v>103.0991159</v>
      </c>
    </row>
    <row r="286" spans="1:14" x14ac:dyDescent="0.25">
      <c r="A286">
        <v>2</v>
      </c>
      <c r="B286" s="13">
        <v>3.2916666666666665</v>
      </c>
      <c r="C286">
        <v>0.45552104100000002</v>
      </c>
      <c r="D286">
        <v>95.946926770000005</v>
      </c>
      <c r="E286">
        <v>4.2300333000000002E-2</v>
      </c>
      <c r="F286">
        <v>88.478499540000001</v>
      </c>
      <c r="G286">
        <v>89.397334259999994</v>
      </c>
      <c r="H286">
        <v>90.822275489999996</v>
      </c>
      <c r="I286">
        <v>93.230696219999999</v>
      </c>
      <c r="J286">
        <v>95.946926770000005</v>
      </c>
      <c r="K286">
        <v>98.705682839999994</v>
      </c>
      <c r="L286">
        <v>101.2250993</v>
      </c>
      <c r="M286">
        <v>102.7494191</v>
      </c>
      <c r="N286">
        <v>103.7460086</v>
      </c>
    </row>
    <row r="287" spans="1:14" x14ac:dyDescent="0.25">
      <c r="A287">
        <v>2</v>
      </c>
      <c r="B287" s="13">
        <v>3.375</v>
      </c>
      <c r="C287">
        <v>0.42915028799999999</v>
      </c>
      <c r="D287">
        <v>96.516449120000004</v>
      </c>
      <c r="E287">
        <v>4.2405224999999998E-2</v>
      </c>
      <c r="F287">
        <v>88.993302180000001</v>
      </c>
      <c r="G287">
        <v>89.917970780000005</v>
      </c>
      <c r="H287">
        <v>91.352461739999995</v>
      </c>
      <c r="I287">
        <v>93.778402110000002</v>
      </c>
      <c r="J287">
        <v>96.516449120000004</v>
      </c>
      <c r="K287">
        <v>99.299568600000001</v>
      </c>
      <c r="L287">
        <v>101.8431523</v>
      </c>
      <c r="M287">
        <v>103.3829734</v>
      </c>
      <c r="N287">
        <v>104.3900531</v>
      </c>
    </row>
    <row r="288" spans="1:14" x14ac:dyDescent="0.25">
      <c r="A288">
        <v>2</v>
      </c>
      <c r="B288" s="13">
        <v>3.4583333333333335</v>
      </c>
      <c r="C288">
        <v>0.40335172499999999</v>
      </c>
      <c r="D288">
        <v>97.083372109999999</v>
      </c>
      <c r="E288">
        <v>4.2512705999999997E-2</v>
      </c>
      <c r="F288">
        <v>89.50502066</v>
      </c>
      <c r="G288">
        <v>90.435585540000005</v>
      </c>
      <c r="H288">
        <v>91.879720509999999</v>
      </c>
      <c r="I288">
        <v>94.323335499999999</v>
      </c>
      <c r="J288">
        <v>97.083372109999999</v>
      </c>
      <c r="K288">
        <v>99.891035389999999</v>
      </c>
      <c r="L288">
        <v>102.4589604</v>
      </c>
      <c r="M288">
        <v>104.0143944</v>
      </c>
      <c r="N288">
        <v>105.03204049999999</v>
      </c>
    </row>
    <row r="289" spans="1:14" x14ac:dyDescent="0.25">
      <c r="A289">
        <v>2</v>
      </c>
      <c r="B289" s="13">
        <v>3.5416666666666665</v>
      </c>
      <c r="C289">
        <v>0.377878239</v>
      </c>
      <c r="D289">
        <v>97.648480699999993</v>
      </c>
      <c r="E289">
        <v>4.2621565E-2</v>
      </c>
      <c r="F289">
        <v>90.014657589999999</v>
      </c>
      <c r="G289">
        <v>90.95114701</v>
      </c>
      <c r="H289">
        <v>92.404971439999997</v>
      </c>
      <c r="I289">
        <v>94.866344769999998</v>
      </c>
      <c r="J289">
        <v>97.648480699999993</v>
      </c>
      <c r="K289">
        <v>100.4808219</v>
      </c>
      <c r="L289">
        <v>103.0732359</v>
      </c>
      <c r="M289">
        <v>104.6443859</v>
      </c>
      <c r="N289">
        <v>105.6726719</v>
      </c>
    </row>
    <row r="290" spans="1:14" x14ac:dyDescent="0.25">
      <c r="A290">
        <v>2</v>
      </c>
      <c r="B290" s="13">
        <v>3.625</v>
      </c>
      <c r="C290">
        <v>0.352555862</v>
      </c>
      <c r="D290">
        <v>98.212465789999996</v>
      </c>
      <c r="E290">
        <v>4.2730809000000002E-2</v>
      </c>
      <c r="F290">
        <v>90.523072780000007</v>
      </c>
      <c r="G290">
        <v>91.465489099999999</v>
      </c>
      <c r="H290">
        <v>92.929011119999998</v>
      </c>
      <c r="I290">
        <v>95.408171289999999</v>
      </c>
      <c r="J290">
        <v>98.212465789999996</v>
      </c>
      <c r="K290">
        <v>101.0695807</v>
      </c>
      <c r="L290">
        <v>103.6866076</v>
      </c>
      <c r="M290">
        <v>105.27356760000001</v>
      </c>
      <c r="N290">
        <v>106.31256329999999</v>
      </c>
    </row>
    <row r="291" spans="1:14" x14ac:dyDescent="0.25">
      <c r="A291">
        <v>2</v>
      </c>
      <c r="B291" s="13">
        <v>3.7083333333333335</v>
      </c>
      <c r="C291">
        <v>0.32727029699999999</v>
      </c>
      <c r="D291">
        <v>98.775930689999996</v>
      </c>
      <c r="E291">
        <v>4.2839637999999999E-2</v>
      </c>
      <c r="F291">
        <v>91.030997569999997</v>
      </c>
      <c r="G291">
        <v>91.979324149999997</v>
      </c>
      <c r="H291">
        <v>93.452524220000001</v>
      </c>
      <c r="I291">
        <v>95.949457929999994</v>
      </c>
      <c r="J291">
        <v>98.775930689999996</v>
      </c>
      <c r="K291">
        <v>101.6578832</v>
      </c>
      <c r="L291">
        <v>104.29962570000001</v>
      </c>
      <c r="M291">
        <v>105.90248029999999</v>
      </c>
      <c r="N291">
        <v>106.9522508</v>
      </c>
    </row>
    <row r="292" spans="1:14" x14ac:dyDescent="0.25">
      <c r="A292">
        <v>2</v>
      </c>
      <c r="B292" s="13">
        <v>3.7916666666666665</v>
      </c>
      <c r="C292">
        <v>0.30195546299999998</v>
      </c>
      <c r="D292">
        <v>99.339397349999999</v>
      </c>
      <c r="E292">
        <v>4.2947411999999997E-2</v>
      </c>
      <c r="F292">
        <v>91.5390479</v>
      </c>
      <c r="G292">
        <v>92.493254829999998</v>
      </c>
      <c r="H292">
        <v>93.976093739999996</v>
      </c>
      <c r="I292">
        <v>96.490757040000005</v>
      </c>
      <c r="J292">
        <v>99.339397349999999</v>
      </c>
      <c r="K292">
        <v>102.24622530000001</v>
      </c>
      <c r="L292">
        <v>104.9127666</v>
      </c>
      <c r="M292">
        <v>106.5315907</v>
      </c>
      <c r="N292">
        <v>107.59219589999999</v>
      </c>
    </row>
    <row r="293" spans="1:14" x14ac:dyDescent="0.25">
      <c r="A293">
        <v>2</v>
      </c>
      <c r="B293" s="13">
        <v>3.875</v>
      </c>
      <c r="C293">
        <v>0.27658385099999999</v>
      </c>
      <c r="D293">
        <v>99.903312200000002</v>
      </c>
      <c r="E293">
        <v>4.3053625999999998E-2</v>
      </c>
      <c r="F293">
        <v>92.047736049999997</v>
      </c>
      <c r="G293">
        <v>93.007784839999999</v>
      </c>
      <c r="H293">
        <v>94.500210280000005</v>
      </c>
      <c r="I293">
        <v>97.032537880000007</v>
      </c>
      <c r="J293">
        <v>99.903312200000002</v>
      </c>
      <c r="K293">
        <v>102.8350319</v>
      </c>
      <c r="L293">
        <v>105.5264371</v>
      </c>
      <c r="M293">
        <v>107.16129599999999</v>
      </c>
      <c r="N293">
        <v>108.2327896</v>
      </c>
    </row>
    <row r="294" spans="1:14" x14ac:dyDescent="0.25">
      <c r="A294">
        <v>2</v>
      </c>
      <c r="B294" s="13">
        <v>3.9583333333333335</v>
      </c>
      <c r="C294">
        <v>0.25115844599999998</v>
      </c>
      <c r="D294">
        <v>100.4680516</v>
      </c>
      <c r="E294">
        <v>4.3157888999999998E-2</v>
      </c>
      <c r="F294">
        <v>92.557481229999993</v>
      </c>
      <c r="G294">
        <v>93.523328629999995</v>
      </c>
      <c r="H294">
        <v>95.025280629999997</v>
      </c>
      <c r="I294">
        <v>97.575193409999997</v>
      </c>
      <c r="J294">
        <v>100.4680516</v>
      </c>
      <c r="K294">
        <v>103.42466159999999</v>
      </c>
      <c r="L294">
        <v>106.1409795</v>
      </c>
      <c r="M294">
        <v>107.7919282</v>
      </c>
      <c r="N294">
        <v>108.8743573</v>
      </c>
    </row>
    <row r="295" spans="1:14" x14ac:dyDescent="0.25">
      <c r="A295">
        <v>2</v>
      </c>
      <c r="B295" s="13">
        <v>4.041666666666667</v>
      </c>
      <c r="C295">
        <v>0.22570599599999999</v>
      </c>
      <c r="D295">
        <v>101.03392700000001</v>
      </c>
      <c r="E295">
        <v>4.3259907E-2</v>
      </c>
      <c r="F295">
        <v>93.068619130000002</v>
      </c>
      <c r="G295">
        <v>94.040220210000001</v>
      </c>
      <c r="H295">
        <v>95.551635450000006</v>
      </c>
      <c r="I295">
        <v>98.119046620000006</v>
      </c>
      <c r="J295">
        <v>101.03392700000001</v>
      </c>
      <c r="K295">
        <v>104.0154114</v>
      </c>
      <c r="L295">
        <v>106.7566748</v>
      </c>
      <c r="M295">
        <v>108.4237579</v>
      </c>
      <c r="N295">
        <v>109.5171624</v>
      </c>
    </row>
    <row r="296" spans="1:14" x14ac:dyDescent="0.25">
      <c r="A296">
        <v>2</v>
      </c>
      <c r="B296" s="13">
        <v>4.125</v>
      </c>
      <c r="C296">
        <v>0.20027144999999999</v>
      </c>
      <c r="D296">
        <v>101.6011898</v>
      </c>
      <c r="E296">
        <v>4.3359463000000001E-2</v>
      </c>
      <c r="F296">
        <v>93.581410460000001</v>
      </c>
      <c r="G296">
        <v>94.558721090000006</v>
      </c>
      <c r="H296">
        <v>96.079536340000004</v>
      </c>
      <c r="I296">
        <v>98.664356369999993</v>
      </c>
      <c r="J296">
        <v>101.6011898</v>
      </c>
      <c r="K296">
        <v>104.6075204</v>
      </c>
      <c r="L296">
        <v>107.37374749999999</v>
      </c>
      <c r="M296">
        <v>109.0569988</v>
      </c>
      <c r="N296">
        <v>110.1614111</v>
      </c>
    </row>
    <row r="297" spans="1:14" x14ac:dyDescent="0.25">
      <c r="A297">
        <v>2</v>
      </c>
      <c r="B297" s="13">
        <v>4.208333333333333</v>
      </c>
      <c r="C297">
        <v>0.17491335599999999</v>
      </c>
      <c r="D297">
        <v>102.17003579999999</v>
      </c>
      <c r="E297">
        <v>4.3456406000000003E-2</v>
      </c>
      <c r="F297">
        <v>94.096048670000002</v>
      </c>
      <c r="G297">
        <v>95.079027370000006</v>
      </c>
      <c r="H297">
        <v>96.609182259999997</v>
      </c>
      <c r="I297">
        <v>99.211322699999997</v>
      </c>
      <c r="J297">
        <v>102.17003579999999</v>
      </c>
      <c r="K297">
        <v>105.20117430000001</v>
      </c>
      <c r="L297">
        <v>107.9923687</v>
      </c>
      <c r="M297">
        <v>109.6918111</v>
      </c>
      <c r="N297">
        <v>110.8072554</v>
      </c>
    </row>
    <row r="298" spans="1:14" x14ac:dyDescent="0.25">
      <c r="A298">
        <v>2</v>
      </c>
      <c r="B298" s="13">
        <v>4.291666666666667</v>
      </c>
      <c r="C298">
        <v>0.14970008100000001</v>
      </c>
      <c r="D298">
        <v>102.7406094</v>
      </c>
      <c r="E298">
        <v>4.3550638000000003E-2</v>
      </c>
      <c r="F298">
        <v>94.612666840000003</v>
      </c>
      <c r="G298">
        <v>95.601276279999993</v>
      </c>
      <c r="H298">
        <v>97.140715349999994</v>
      </c>
      <c r="I298">
        <v>99.760091849999995</v>
      </c>
      <c r="J298">
        <v>102.7406094</v>
      </c>
      <c r="K298">
        <v>105.7965086</v>
      </c>
      <c r="L298">
        <v>108.6126601</v>
      </c>
      <c r="M298">
        <v>110.3283052</v>
      </c>
      <c r="N298">
        <v>111.45479709999999</v>
      </c>
    </row>
    <row r="299" spans="1:14" x14ac:dyDescent="0.25">
      <c r="A299">
        <v>2</v>
      </c>
      <c r="B299" s="13">
        <v>4.375</v>
      </c>
      <c r="C299">
        <v>0.12470671</v>
      </c>
      <c r="D299">
        <v>103.3130077</v>
      </c>
      <c r="E299">
        <v>4.3642106999999999E-2</v>
      </c>
      <c r="F299">
        <v>95.131343950000002</v>
      </c>
      <c r="G299">
        <v>96.125552020000001</v>
      </c>
      <c r="H299">
        <v>97.67422621</v>
      </c>
      <c r="I299">
        <v>100.3107608</v>
      </c>
      <c r="J299">
        <v>103.3130077</v>
      </c>
      <c r="K299">
        <v>106.39361289999999</v>
      </c>
      <c r="L299">
        <v>109.2346972</v>
      </c>
      <c r="M299">
        <v>110.9665451</v>
      </c>
      <c r="N299">
        <v>112.1040915</v>
      </c>
    </row>
    <row r="300" spans="1:14" x14ac:dyDescent="0.25">
      <c r="A300">
        <v>2</v>
      </c>
      <c r="B300" s="13">
        <v>4.458333333333333</v>
      </c>
      <c r="C300">
        <v>0.100012514</v>
      </c>
      <c r="D300">
        <v>103.8872839</v>
      </c>
      <c r="E300">
        <v>4.3730790999999998E-2</v>
      </c>
      <c r="F300">
        <v>95.65211042</v>
      </c>
      <c r="G300">
        <v>96.651890969999997</v>
      </c>
      <c r="H300">
        <v>98.209758809999997</v>
      </c>
      <c r="I300">
        <v>100.8633813</v>
      </c>
      <c r="J300">
        <v>103.8872839</v>
      </c>
      <c r="K300">
        <v>106.9925336</v>
      </c>
      <c r="L300">
        <v>109.8585126</v>
      </c>
      <c r="M300">
        <v>111.60655149999999</v>
      </c>
      <c r="N300">
        <v>112.75515009999999</v>
      </c>
    </row>
    <row r="301" spans="1:14" x14ac:dyDescent="0.25">
      <c r="A301">
        <v>2</v>
      </c>
      <c r="B301" s="13">
        <v>4.541666666666667</v>
      </c>
      <c r="C301">
        <v>7.5698880999999996E-2</v>
      </c>
      <c r="D301">
        <v>104.4634511</v>
      </c>
      <c r="E301">
        <v>4.3816701E-2</v>
      </c>
      <c r="F301">
        <v>96.174953239999994</v>
      </c>
      <c r="G301">
        <v>97.180286559999999</v>
      </c>
      <c r="H301">
        <v>98.747314840000001</v>
      </c>
      <c r="I301">
        <v>101.41796410000001</v>
      </c>
      <c r="J301">
        <v>104.4634511</v>
      </c>
      <c r="K301">
        <v>107.5932772</v>
      </c>
      <c r="L301">
        <v>110.4840992</v>
      </c>
      <c r="M301">
        <v>112.2483051</v>
      </c>
      <c r="N301">
        <v>113.4079442</v>
      </c>
    </row>
    <row r="302" spans="1:14" x14ac:dyDescent="0.25">
      <c r="A302">
        <v>2</v>
      </c>
      <c r="B302" s="13">
        <v>4.625</v>
      </c>
      <c r="C302">
        <v>5.1847635000000003E-2</v>
      </c>
      <c r="D302">
        <v>105.04148530000001</v>
      </c>
      <c r="E302">
        <v>4.3899867000000002E-2</v>
      </c>
      <c r="F302">
        <v>96.699820470000006</v>
      </c>
      <c r="G302">
        <v>97.710693599999999</v>
      </c>
      <c r="H302">
        <v>99.286857749999996</v>
      </c>
      <c r="I302">
        <v>101.9744822</v>
      </c>
      <c r="J302">
        <v>105.04148530000001</v>
      </c>
      <c r="K302">
        <v>108.1958137</v>
      </c>
      <c r="L302">
        <v>111.11141309999999</v>
      </c>
      <c r="M302">
        <v>112.8917498</v>
      </c>
      <c r="N302">
        <v>114.0624076</v>
      </c>
    </row>
    <row r="303" spans="1:14" x14ac:dyDescent="0.25">
      <c r="A303">
        <v>2</v>
      </c>
      <c r="B303" s="13">
        <v>4.708333333333333</v>
      </c>
      <c r="C303">
        <v>2.853967E-2</v>
      </c>
      <c r="D303">
        <v>105.62132870000001</v>
      </c>
      <c r="E303">
        <v>4.3980337000000001E-2</v>
      </c>
      <c r="F303">
        <v>97.226625400000003</v>
      </c>
      <c r="G303">
        <v>98.243032189999994</v>
      </c>
      <c r="H303">
        <v>99.828316520000001</v>
      </c>
      <c r="I303">
        <v>102.53287469999999</v>
      </c>
      <c r="J303">
        <v>105.62132870000001</v>
      </c>
      <c r="K303">
        <v>108.80007929999999</v>
      </c>
      <c r="L303">
        <v>111.7403765</v>
      </c>
      <c r="M303">
        <v>113.536795</v>
      </c>
      <c r="N303">
        <v>114.7184401</v>
      </c>
    </row>
    <row r="304" spans="1:14" x14ac:dyDescent="0.25">
      <c r="A304">
        <v>2</v>
      </c>
      <c r="B304" s="13">
        <v>4.791666666666667</v>
      </c>
      <c r="C304">
        <v>5.853853E-3</v>
      </c>
      <c r="D304">
        <v>106.2028921</v>
      </c>
      <c r="E304">
        <v>4.4058171E-2</v>
      </c>
      <c r="F304">
        <v>97.755250360000005</v>
      </c>
      <c r="G304">
        <v>98.77719141</v>
      </c>
      <c r="H304">
        <v>100.371589</v>
      </c>
      <c r="I304">
        <v>103.0930492</v>
      </c>
      <c r="J304">
        <v>106.2028921</v>
      </c>
      <c r="K304">
        <v>109.405979</v>
      </c>
      <c r="L304">
        <v>112.37088009999999</v>
      </c>
      <c r="M304">
        <v>114.1833188</v>
      </c>
      <c r="N304">
        <v>115.3759096</v>
      </c>
    </row>
    <row r="305" spans="1:14" x14ac:dyDescent="0.25">
      <c r="A305">
        <v>2</v>
      </c>
      <c r="B305" s="13">
        <v>4.875</v>
      </c>
      <c r="C305">
        <v>-1.6133871000000001E-2</v>
      </c>
      <c r="D305">
        <v>106.78605829999999</v>
      </c>
      <c r="E305">
        <v>4.4133440000000003E-2</v>
      </c>
      <c r="F305">
        <v>98.285550049999998</v>
      </c>
      <c r="G305">
        <v>99.313032570000004</v>
      </c>
      <c r="H305">
        <v>100.91654509999999</v>
      </c>
      <c r="I305">
        <v>103.6548853</v>
      </c>
      <c r="J305">
        <v>106.78605829999999</v>
      </c>
      <c r="K305">
        <v>110.01338939999999</v>
      </c>
      <c r="L305">
        <v>113.0027865</v>
      </c>
      <c r="M305">
        <v>114.8311708</v>
      </c>
      <c r="N305">
        <v>116.0346553</v>
      </c>
    </row>
    <row r="306" spans="1:14" x14ac:dyDescent="0.25">
      <c r="A306">
        <v>2</v>
      </c>
      <c r="B306" s="13">
        <v>4.958333333333333</v>
      </c>
      <c r="C306">
        <v>-3.7351180999999997E-2</v>
      </c>
      <c r="D306">
        <v>107.37068410000001</v>
      </c>
      <c r="E306">
        <v>4.4206217999999999E-2</v>
      </c>
      <c r="F306">
        <v>98.817354750000007</v>
      </c>
      <c r="G306">
        <v>99.850392290000002</v>
      </c>
      <c r="H306">
        <v>101.4630296</v>
      </c>
      <c r="I306">
        <v>104.2182371</v>
      </c>
      <c r="J306">
        <v>107.37068410000001</v>
      </c>
      <c r="K306">
        <v>110.6221611</v>
      </c>
      <c r="L306">
        <v>113.6359317</v>
      </c>
      <c r="M306">
        <v>115.4801741</v>
      </c>
      <c r="N306">
        <v>116.6944901</v>
      </c>
    </row>
    <row r="307" spans="1:14" x14ac:dyDescent="0.25">
      <c r="A307">
        <v>2</v>
      </c>
      <c r="B307" s="13">
        <v>5.041666666666667</v>
      </c>
      <c r="C307">
        <v>-5.7729946999999997E-2</v>
      </c>
      <c r="D307">
        <v>107.9566031</v>
      </c>
      <c r="E307">
        <v>4.4276587999999999E-2</v>
      </c>
      <c r="F307">
        <v>99.350473190000002</v>
      </c>
      <c r="G307">
        <v>100.3890853</v>
      </c>
      <c r="H307">
        <v>102.0108651</v>
      </c>
      <c r="I307">
        <v>104.7829358</v>
      </c>
      <c r="J307">
        <v>107.9566031</v>
      </c>
      <c r="K307">
        <v>111.2321213</v>
      </c>
      <c r="L307">
        <v>114.2701285</v>
      </c>
      <c r="M307">
        <v>116.1301284</v>
      </c>
      <c r="N307">
        <v>117.35520320000001</v>
      </c>
    </row>
    <row r="308" spans="1:14" x14ac:dyDescent="0.25">
      <c r="A308">
        <v>2</v>
      </c>
      <c r="B308" s="13">
        <v>5.125</v>
      </c>
      <c r="C308">
        <v>-7.7206672000000004E-2</v>
      </c>
      <c r="D308">
        <v>108.5436278</v>
      </c>
      <c r="E308">
        <v>4.4344632000000002E-2</v>
      </c>
      <c r="F308">
        <v>99.884695140000005</v>
      </c>
      <c r="G308">
        <v>100.9289069</v>
      </c>
      <c r="H308">
        <v>102.5598541</v>
      </c>
      <c r="I308">
        <v>105.348792</v>
      </c>
      <c r="J308">
        <v>108.5436278</v>
      </c>
      <c r="K308">
        <v>111.84307579999999</v>
      </c>
      <c r="L308">
        <v>114.9051683</v>
      </c>
      <c r="M308">
        <v>116.780812</v>
      </c>
      <c r="N308">
        <v>118.0165629</v>
      </c>
    </row>
    <row r="309" spans="1:14" x14ac:dyDescent="0.25">
      <c r="A309">
        <v>2</v>
      </c>
      <c r="B309" s="13">
        <v>5.208333333333333</v>
      </c>
      <c r="C309">
        <v>-9.5722829999999995E-2</v>
      </c>
      <c r="D309">
        <v>109.13155209999999</v>
      </c>
      <c r="E309">
        <v>4.4410435999999998E-2</v>
      </c>
      <c r="F309">
        <v>100.4197939</v>
      </c>
      <c r="G309">
        <v>101.4696357</v>
      </c>
      <c r="H309">
        <v>103.1097819</v>
      </c>
      <c r="I309">
        <v>105.91559820000001</v>
      </c>
      <c r="J309">
        <v>109.13155209999999</v>
      </c>
      <c r="K309">
        <v>112.4548114</v>
      </c>
      <c r="L309">
        <v>115.5408235</v>
      </c>
      <c r="M309">
        <v>117.43198460000001</v>
      </c>
      <c r="N309">
        <v>118.6783183</v>
      </c>
    </row>
    <row r="310" spans="1:14" x14ac:dyDescent="0.25">
      <c r="A310">
        <v>2</v>
      </c>
      <c r="B310" s="13">
        <v>5.291666666666667</v>
      </c>
      <c r="C310">
        <v>-0.11322512799999999</v>
      </c>
      <c r="D310">
        <v>109.7201531</v>
      </c>
      <c r="E310">
        <v>4.4474083999999997E-2</v>
      </c>
      <c r="F310">
        <v>100.95552859999999</v>
      </c>
      <c r="G310">
        <v>102.0110354</v>
      </c>
      <c r="H310">
        <v>103.6604184</v>
      </c>
      <c r="I310">
        <v>106.4831306</v>
      </c>
      <c r="J310">
        <v>109.7201531</v>
      </c>
      <c r="K310">
        <v>113.06709840000001</v>
      </c>
      <c r="L310">
        <v>116.1768496</v>
      </c>
      <c r="M310">
        <v>118.0833889</v>
      </c>
      <c r="N310">
        <v>119.3402023</v>
      </c>
    </row>
    <row r="311" spans="1:14" x14ac:dyDescent="0.25">
      <c r="A311">
        <v>2</v>
      </c>
      <c r="B311" s="13">
        <v>5.375</v>
      </c>
      <c r="C311">
        <v>-0.129665689</v>
      </c>
      <c r="D311">
        <v>110.3091934</v>
      </c>
      <c r="E311">
        <v>4.4535661999999997E-2</v>
      </c>
      <c r="F311">
        <v>101.4916463</v>
      </c>
      <c r="G311">
        <v>102.55285739999999</v>
      </c>
      <c r="H311">
        <v>104.2115203</v>
      </c>
      <c r="I311">
        <v>107.05115170000001</v>
      </c>
      <c r="J311">
        <v>110.3091934</v>
      </c>
      <c r="K311">
        <v>113.6796918</v>
      </c>
      <c r="L311">
        <v>116.8129879</v>
      </c>
      <c r="M311">
        <v>118.7347537</v>
      </c>
      <c r="N311">
        <v>120.0019338</v>
      </c>
    </row>
    <row r="312" spans="1:14" x14ac:dyDescent="0.25">
      <c r="A312">
        <v>2</v>
      </c>
      <c r="B312" s="13">
        <v>5.458333333333333</v>
      </c>
      <c r="C312">
        <v>-0.14500217900000001</v>
      </c>
      <c r="D312">
        <v>110.89842280000001</v>
      </c>
      <c r="E312">
        <v>4.4595254000000001E-2</v>
      </c>
      <c r="F312">
        <v>102.0278838</v>
      </c>
      <c r="G312">
        <v>103.0948423</v>
      </c>
      <c r="H312">
        <v>104.762833</v>
      </c>
      <c r="I312">
        <v>107.61941160000001</v>
      </c>
      <c r="J312">
        <v>110.89842280000001</v>
      </c>
      <c r="K312">
        <v>114.2923342</v>
      </c>
      <c r="L312">
        <v>117.4489667</v>
      </c>
      <c r="M312">
        <v>119.3857953</v>
      </c>
      <c r="N312">
        <v>120.6632194</v>
      </c>
    </row>
    <row r="313" spans="1:14" x14ac:dyDescent="0.25">
      <c r="A313">
        <v>2</v>
      </c>
      <c r="B313" s="13">
        <v>5.541666666666667</v>
      </c>
      <c r="C313">
        <v>-0.15919788500000001</v>
      </c>
      <c r="D313">
        <v>111.4875806</v>
      </c>
      <c r="E313">
        <v>4.4652942000000001E-2</v>
      </c>
      <c r="F313">
        <v>102.5639698</v>
      </c>
      <c r="G313">
        <v>103.6367221</v>
      </c>
      <c r="H313">
        <v>105.3140925</v>
      </c>
      <c r="I313">
        <v>108.18765019999999</v>
      </c>
      <c r="J313">
        <v>111.4875806</v>
      </c>
      <c r="K313">
        <v>114.90475720000001</v>
      </c>
      <c r="L313">
        <v>118.0845041</v>
      </c>
      <c r="M313">
        <v>120.03622</v>
      </c>
      <c r="N313">
        <v>121.32375639999999</v>
      </c>
    </row>
    <row r="314" spans="1:14" x14ac:dyDescent="0.25">
      <c r="A314">
        <v>2</v>
      </c>
      <c r="B314" s="13">
        <v>5.625</v>
      </c>
      <c r="C314">
        <v>-0.17222174800000001</v>
      </c>
      <c r="D314">
        <v>112.0763967</v>
      </c>
      <c r="E314">
        <v>4.4708809000000002E-2</v>
      </c>
      <c r="F314">
        <v>103.09962640000001</v>
      </c>
      <c r="G314">
        <v>104.17822169999999</v>
      </c>
      <c r="H314">
        <v>105.8650274</v>
      </c>
      <c r="I314">
        <v>108.7555991</v>
      </c>
      <c r="J314">
        <v>112.0763967</v>
      </c>
      <c r="K314">
        <v>115.51668340000001</v>
      </c>
      <c r="L314">
        <v>118.7193096</v>
      </c>
      <c r="M314">
        <v>120.685726</v>
      </c>
      <c r="N314">
        <v>121.9832342</v>
      </c>
    </row>
    <row r="315" spans="1:14" x14ac:dyDescent="0.25">
      <c r="A315">
        <v>2</v>
      </c>
      <c r="B315" s="13">
        <v>5.708333333333333</v>
      </c>
      <c r="C315">
        <v>-0.184048358</v>
      </c>
      <c r="D315">
        <v>112.6645943</v>
      </c>
      <c r="E315">
        <v>4.4762936000000003E-2</v>
      </c>
      <c r="F315">
        <v>103.6345709</v>
      </c>
      <c r="G315">
        <v>104.71906060000001</v>
      </c>
      <c r="H315">
        <v>106.4153599</v>
      </c>
      <c r="I315">
        <v>109.3229831</v>
      </c>
      <c r="J315">
        <v>112.6645943</v>
      </c>
      <c r="K315">
        <v>116.1278283</v>
      </c>
      <c r="L315">
        <v>119.35308620000001</v>
      </c>
      <c r="M315">
        <v>121.33400570000001</v>
      </c>
      <c r="N315">
        <v>122.6413368</v>
      </c>
    </row>
    <row r="316" spans="1:14" x14ac:dyDescent="0.25">
      <c r="A316">
        <v>2</v>
      </c>
      <c r="B316" s="13">
        <v>5.791666666666667</v>
      </c>
      <c r="C316">
        <v>-0.194660215</v>
      </c>
      <c r="D316">
        <v>113.25189020000001</v>
      </c>
      <c r="E316">
        <v>4.4815401999999997E-2</v>
      </c>
      <c r="F316">
        <v>104.16851749999999</v>
      </c>
      <c r="G316">
        <v>105.258955</v>
      </c>
      <c r="H316">
        <v>106.9648081</v>
      </c>
      <c r="I316">
        <v>109.8895213</v>
      </c>
      <c r="J316">
        <v>113.25189020000001</v>
      </c>
      <c r="K316">
        <v>116.73790169999999</v>
      </c>
      <c r="L316">
        <v>119.9855318</v>
      </c>
      <c r="M316">
        <v>121.9807474</v>
      </c>
      <c r="N316">
        <v>123.29774500000001</v>
      </c>
    </row>
    <row r="317" spans="1:14" x14ac:dyDescent="0.25">
      <c r="A317">
        <v>2</v>
      </c>
      <c r="B317" s="13">
        <v>5.875</v>
      </c>
      <c r="C317">
        <v>-0.204030559</v>
      </c>
      <c r="D317">
        <v>113.8380006</v>
      </c>
      <c r="E317">
        <v>4.4866287999999997E-2</v>
      </c>
      <c r="F317">
        <v>104.7011761</v>
      </c>
      <c r="G317">
        <v>105.797617</v>
      </c>
      <c r="H317">
        <v>107.5130874</v>
      </c>
      <c r="I317">
        <v>110.4549317</v>
      </c>
      <c r="J317">
        <v>113.8380006</v>
      </c>
      <c r="K317">
        <v>117.3466121</v>
      </c>
      <c r="L317">
        <v>120.6163423</v>
      </c>
      <c r="M317">
        <v>122.62563609999999</v>
      </c>
      <c r="N317">
        <v>123.95213529999999</v>
      </c>
    </row>
    <row r="318" spans="1:14" x14ac:dyDescent="0.25">
      <c r="A318">
        <v>2</v>
      </c>
      <c r="B318" s="13">
        <v>5.958333333333333</v>
      </c>
      <c r="C318">
        <v>-0.21217440800000001</v>
      </c>
      <c r="D318">
        <v>114.4226317</v>
      </c>
      <c r="E318">
        <v>4.4915671999999997E-2</v>
      </c>
      <c r="F318">
        <v>105.2322625</v>
      </c>
      <c r="G318">
        <v>106.3347618</v>
      </c>
      <c r="H318">
        <v>108.0599112</v>
      </c>
      <c r="I318">
        <v>111.0189247</v>
      </c>
      <c r="J318">
        <v>114.4226317</v>
      </c>
      <c r="K318">
        <v>117.95365990000001</v>
      </c>
      <c r="L318">
        <v>121.2452109</v>
      </c>
      <c r="M318">
        <v>123.2683596</v>
      </c>
      <c r="N318">
        <v>124.60419159999999</v>
      </c>
    </row>
    <row r="319" spans="1:14" x14ac:dyDescent="0.25">
      <c r="A319">
        <v>2</v>
      </c>
      <c r="B319" s="13">
        <v>6.041666666666667</v>
      </c>
      <c r="C319">
        <v>-0.219069129</v>
      </c>
      <c r="D319">
        <v>115.0054978</v>
      </c>
      <c r="E319">
        <v>4.4963636000000001E-2</v>
      </c>
      <c r="F319">
        <v>105.76148569999999</v>
      </c>
      <c r="G319">
        <v>106.8701003</v>
      </c>
      <c r="H319">
        <v>108.60499350000001</v>
      </c>
      <c r="I319">
        <v>111.5812164</v>
      </c>
      <c r="J319">
        <v>115.0054978</v>
      </c>
      <c r="K319">
        <v>118.5587525</v>
      </c>
      <c r="L319">
        <v>121.8718331</v>
      </c>
      <c r="M319">
        <v>123.9086035</v>
      </c>
      <c r="N319">
        <v>125.25359159999999</v>
      </c>
    </row>
    <row r="320" spans="1:14" x14ac:dyDescent="0.25">
      <c r="A320">
        <v>2</v>
      </c>
      <c r="B320" s="13">
        <v>6.125</v>
      </c>
      <c r="C320">
        <v>-0.224722166</v>
      </c>
      <c r="D320">
        <v>115.58630890000001</v>
      </c>
      <c r="E320">
        <v>4.5010258999999997E-2</v>
      </c>
      <c r="F320">
        <v>106.2885612</v>
      </c>
      <c r="G320">
        <v>107.4033481</v>
      </c>
      <c r="H320">
        <v>109.148049</v>
      </c>
      <c r="I320">
        <v>112.1415202</v>
      </c>
      <c r="J320">
        <v>115.58630890000001</v>
      </c>
      <c r="K320">
        <v>119.1615941</v>
      </c>
      <c r="L320">
        <v>122.49590569999999</v>
      </c>
      <c r="M320">
        <v>124.5460585</v>
      </c>
      <c r="N320">
        <v>125.9000218</v>
      </c>
    </row>
    <row r="321" spans="1:14" x14ac:dyDescent="0.25">
      <c r="A321">
        <v>2</v>
      </c>
      <c r="B321" s="13">
        <v>6.208333333333333</v>
      </c>
      <c r="C321">
        <v>-0.22914041199999999</v>
      </c>
      <c r="D321">
        <v>116.1647782</v>
      </c>
      <c r="E321">
        <v>4.5055624000000002E-2</v>
      </c>
      <c r="F321">
        <v>106.8132066</v>
      </c>
      <c r="G321">
        <v>107.93422289999999</v>
      </c>
      <c r="H321">
        <v>109.6887954</v>
      </c>
      <c r="I321">
        <v>112.6995522</v>
      </c>
      <c r="J321">
        <v>116.1647782</v>
      </c>
      <c r="K321">
        <v>119.7618926</v>
      </c>
      <c r="L321">
        <v>123.1171295</v>
      </c>
      <c r="M321">
        <v>125.18042029999999</v>
      </c>
      <c r="N321">
        <v>126.54317349999999</v>
      </c>
    </row>
    <row r="322" spans="1:14" x14ac:dyDescent="0.25">
      <c r="A322">
        <v>2</v>
      </c>
      <c r="B322" s="13">
        <v>6.291666666666667</v>
      </c>
      <c r="C322">
        <v>-0.23233568600000001</v>
      </c>
      <c r="D322">
        <v>116.7406221</v>
      </c>
      <c r="E322">
        <v>4.5099817E-2</v>
      </c>
      <c r="F322">
        <v>107.3351443</v>
      </c>
      <c r="G322">
        <v>108.4624465</v>
      </c>
      <c r="H322">
        <v>110.2269537</v>
      </c>
      <c r="I322">
        <v>113.25503190000001</v>
      </c>
      <c r="J322">
        <v>116.7406221</v>
      </c>
      <c r="K322">
        <v>120.35936030000001</v>
      </c>
      <c r="L322">
        <v>123.7352109</v>
      </c>
      <c r="M322">
        <v>125.8113907</v>
      </c>
      <c r="N322">
        <v>127.18274529999999</v>
      </c>
    </row>
    <row r="323" spans="1:14" x14ac:dyDescent="0.25">
      <c r="A323">
        <v>2</v>
      </c>
      <c r="B323" s="13">
        <v>6.375</v>
      </c>
      <c r="C323">
        <v>-0.23432456300000001</v>
      </c>
      <c r="D323">
        <v>117.31356220000001</v>
      </c>
      <c r="E323">
        <v>4.5142924000000001E-2</v>
      </c>
      <c r="F323">
        <v>107.8541019</v>
      </c>
      <c r="G323">
        <v>108.987746</v>
      </c>
      <c r="H323">
        <v>110.7622502</v>
      </c>
      <c r="I323">
        <v>113.8076835</v>
      </c>
      <c r="J323">
        <v>117.31356220000001</v>
      </c>
      <c r="K323">
        <v>120.95371470000001</v>
      </c>
      <c r="L323">
        <v>124.3498634</v>
      </c>
      <c r="M323">
        <v>126.4386798</v>
      </c>
      <c r="N323">
        <v>127.81844510000001</v>
      </c>
    </row>
    <row r="324" spans="1:14" x14ac:dyDescent="0.25">
      <c r="A324">
        <v>2</v>
      </c>
      <c r="B324" s="13">
        <v>6.458333333333333</v>
      </c>
      <c r="C324">
        <v>-0.23512819500000001</v>
      </c>
      <c r="D324">
        <v>117.8833259</v>
      </c>
      <c r="E324">
        <v>4.5185035999999998E-2</v>
      </c>
      <c r="F324">
        <v>108.36981350000001</v>
      </c>
      <c r="G324">
        <v>109.5098548</v>
      </c>
      <c r="H324">
        <v>111.29441679999999</v>
      </c>
      <c r="I324">
        <v>114.35723710000001</v>
      </c>
      <c r="J324">
        <v>117.8833259</v>
      </c>
      <c r="K324">
        <v>121.5446807</v>
      </c>
      <c r="L324">
        <v>124.9608087</v>
      </c>
      <c r="M324">
        <v>127.0620077</v>
      </c>
      <c r="N324">
        <v>128.44999139999999</v>
      </c>
    </row>
    <row r="325" spans="1:14" x14ac:dyDescent="0.25">
      <c r="A325">
        <v>2</v>
      </c>
      <c r="B325" s="13">
        <v>6.541666666666667</v>
      </c>
      <c r="C325">
        <v>-0.234772114</v>
      </c>
      <c r="D325">
        <v>118.4496481</v>
      </c>
      <c r="E325">
        <v>4.5226249000000003E-2</v>
      </c>
      <c r="F325">
        <v>108.8820206</v>
      </c>
      <c r="G325">
        <v>110.0285133</v>
      </c>
      <c r="H325">
        <v>111.8231928</v>
      </c>
      <c r="I325">
        <v>114.90342939999999</v>
      </c>
      <c r="J325">
        <v>118.4496481</v>
      </c>
      <c r="K325">
        <v>122.1319914</v>
      </c>
      <c r="L325">
        <v>125.5677788</v>
      </c>
      <c r="M325">
        <v>127.6811055</v>
      </c>
      <c r="N325">
        <v>129.0771148</v>
      </c>
    </row>
    <row r="326" spans="1:14" x14ac:dyDescent="0.25">
      <c r="A326">
        <v>2</v>
      </c>
      <c r="B326" s="13">
        <v>6.625</v>
      </c>
      <c r="C326">
        <v>-0.233286033</v>
      </c>
      <c r="D326">
        <v>119.0122722</v>
      </c>
      <c r="E326">
        <v>4.5266661999999999E-2</v>
      </c>
      <c r="F326">
        <v>109.3904733</v>
      </c>
      <c r="G326">
        <v>110.5434704</v>
      </c>
      <c r="H326">
        <v>112.3483251</v>
      </c>
      <c r="I326">
        <v>115.44600560000001</v>
      </c>
      <c r="J326">
        <v>119.0122722</v>
      </c>
      <c r="K326">
        <v>122.71538959999999</v>
      </c>
      <c r="L326">
        <v>126.17051669999999</v>
      </c>
      <c r="M326">
        <v>128.2957169</v>
      </c>
      <c r="N326">
        <v>129.69955999999999</v>
      </c>
    </row>
    <row r="327" spans="1:14" x14ac:dyDescent="0.25">
      <c r="A327">
        <v>2</v>
      </c>
      <c r="B327" s="13">
        <v>6.708333333333333</v>
      </c>
      <c r="C327">
        <v>-0.23070363299999999</v>
      </c>
      <c r="D327">
        <v>119.5709513</v>
      </c>
      <c r="E327">
        <v>4.5306382999999999E-2</v>
      </c>
      <c r="F327">
        <v>109.8949308</v>
      </c>
      <c r="G327">
        <v>111.0544841</v>
      </c>
      <c r="H327">
        <v>112.8695701</v>
      </c>
      <c r="I327">
        <v>115.98471960000001</v>
      </c>
      <c r="J327">
        <v>119.5709513</v>
      </c>
      <c r="K327">
        <v>123.29462909999999</v>
      </c>
      <c r="L327">
        <v>126.7687784</v>
      </c>
      <c r="M327">
        <v>128.90559999999999</v>
      </c>
      <c r="N327">
        <v>130.3170863</v>
      </c>
    </row>
    <row r="328" spans="1:14" x14ac:dyDescent="0.25">
      <c r="A328">
        <v>2</v>
      </c>
      <c r="B328" s="13">
        <v>6.791666666666667</v>
      </c>
      <c r="C328">
        <v>-0.227062344</v>
      </c>
      <c r="D328">
        <v>120.1254495</v>
      </c>
      <c r="E328">
        <v>4.5345523999999998E-2</v>
      </c>
      <c r="F328">
        <v>110.3951624</v>
      </c>
      <c r="G328">
        <v>111.5613221</v>
      </c>
      <c r="H328">
        <v>113.3866939</v>
      </c>
      <c r="I328">
        <v>116.51933579999999</v>
      </c>
      <c r="J328">
        <v>120.1254495</v>
      </c>
      <c r="K328">
        <v>123.8694758</v>
      </c>
      <c r="L328">
        <v>127.3623338</v>
      </c>
      <c r="M328">
        <v>129.51052809999999</v>
      </c>
      <c r="N328">
        <v>130.9294701</v>
      </c>
    </row>
    <row r="329" spans="1:14" x14ac:dyDescent="0.25">
      <c r="A329">
        <v>2</v>
      </c>
      <c r="B329" s="13">
        <v>6.875</v>
      </c>
      <c r="C329">
        <v>-0.22240311099999999</v>
      </c>
      <c r="D329">
        <v>120.67554269999999</v>
      </c>
      <c r="E329">
        <v>4.5384202999999998E-2</v>
      </c>
      <c r="F329">
        <v>110.89094799999999</v>
      </c>
      <c r="G329">
        <v>112.0637632</v>
      </c>
      <c r="H329">
        <v>113.8994733</v>
      </c>
      <c r="I329">
        <v>117.0496296</v>
      </c>
      <c r="J329">
        <v>120.67554269999999</v>
      </c>
      <c r="K329">
        <v>124.4397092</v>
      </c>
      <c r="L329">
        <v>127.9509681</v>
      </c>
      <c r="M329">
        <v>130.11029139999999</v>
      </c>
      <c r="N329">
        <v>131.53650529999999</v>
      </c>
    </row>
    <row r="330" spans="1:14" x14ac:dyDescent="0.25">
      <c r="A330">
        <v>2</v>
      </c>
      <c r="B330" s="13">
        <v>6.958333333333333</v>
      </c>
      <c r="C330">
        <v>-0.21677016099999999</v>
      </c>
      <c r="D330">
        <v>121.22102</v>
      </c>
      <c r="E330">
        <v>4.5422550999999999E-2</v>
      </c>
      <c r="F330">
        <v>111.3820796</v>
      </c>
      <c r="G330">
        <v>112.5615976</v>
      </c>
      <c r="H330">
        <v>114.407697</v>
      </c>
      <c r="I330">
        <v>117.57538839999999</v>
      </c>
      <c r="J330">
        <v>121.22102</v>
      </c>
      <c r="K330">
        <v>125.00512310000001</v>
      </c>
      <c r="L330">
        <v>128.53448320000001</v>
      </c>
      <c r="M330">
        <v>130.7046982</v>
      </c>
      <c r="N330">
        <v>132.13800520000001</v>
      </c>
    </row>
    <row r="331" spans="1:14" x14ac:dyDescent="0.25">
      <c r="A331">
        <v>2</v>
      </c>
      <c r="B331" s="13">
        <v>7.041666666666667</v>
      </c>
      <c r="C331">
        <v>-0.210210748</v>
      </c>
      <c r="D331">
        <v>121.76168439999999</v>
      </c>
      <c r="E331">
        <v>4.5460701999999999E-2</v>
      </c>
      <c r="F331">
        <v>111.86836099999999</v>
      </c>
      <c r="G331">
        <v>113.05462799999999</v>
      </c>
      <c r="H331">
        <v>114.9111662</v>
      </c>
      <c r="I331">
        <v>118.0964128</v>
      </c>
      <c r="J331">
        <v>121.76168439999999</v>
      </c>
      <c r="K331">
        <v>125.5655273</v>
      </c>
      <c r="L331">
        <v>129.11269859999999</v>
      </c>
      <c r="M331">
        <v>131.2935761</v>
      </c>
      <c r="N331">
        <v>132.73380330000001</v>
      </c>
    </row>
    <row r="332" spans="1:14" x14ac:dyDescent="0.25">
      <c r="A332">
        <v>2</v>
      </c>
      <c r="B332" s="13">
        <v>7.125</v>
      </c>
      <c r="C332">
        <v>-0.20277489100000001</v>
      </c>
      <c r="D332">
        <v>122.2973542</v>
      </c>
      <c r="E332">
        <v>4.5498802999999997E-2</v>
      </c>
      <c r="F332">
        <v>112.3496093</v>
      </c>
      <c r="G332">
        <v>113.54267</v>
      </c>
      <c r="H332">
        <v>115.4096953</v>
      </c>
      <c r="I332">
        <v>118.61251729999999</v>
      </c>
      <c r="J332">
        <v>122.2973542</v>
      </c>
      <c r="K332">
        <v>126.1207484</v>
      </c>
      <c r="L332">
        <v>129.6854529</v>
      </c>
      <c r="M332">
        <v>131.87677299999999</v>
      </c>
      <c r="N332">
        <v>133.32375500000001</v>
      </c>
    </row>
    <row r="333" spans="1:14" x14ac:dyDescent="0.25">
      <c r="A333">
        <v>2</v>
      </c>
      <c r="B333" s="13">
        <v>7.208333333333333</v>
      </c>
      <c r="C333">
        <v>-0.19451510399999999</v>
      </c>
      <c r="D333">
        <v>122.82786400000001</v>
      </c>
      <c r="E333">
        <v>4.5537012000000002E-2</v>
      </c>
      <c r="F333">
        <v>112.825655</v>
      </c>
      <c r="G333">
        <v>114.0255532</v>
      </c>
      <c r="H333">
        <v>115.90311269999999</v>
      </c>
      <c r="I333">
        <v>119.1235313</v>
      </c>
      <c r="J333">
        <v>122.82786400000001</v>
      </c>
      <c r="K333">
        <v>126.6706308</v>
      </c>
      <c r="L333">
        <v>130.25260470000001</v>
      </c>
      <c r="M333">
        <v>132.45415869999999</v>
      </c>
      <c r="N333">
        <v>133.90773830000001</v>
      </c>
    </row>
    <row r="334" spans="1:14" x14ac:dyDescent="0.25">
      <c r="A334">
        <v>2</v>
      </c>
      <c r="B334" s="13">
        <v>7.291666666666667</v>
      </c>
      <c r="C334">
        <v>-0.18548609899999999</v>
      </c>
      <c r="D334">
        <v>123.3530652</v>
      </c>
      <c r="E334">
        <v>4.5575495000000001E-2</v>
      </c>
      <c r="F334">
        <v>113.2963432</v>
      </c>
      <c r="G334">
        <v>114.5031216</v>
      </c>
      <c r="H334">
        <v>116.391262</v>
      </c>
      <c r="I334">
        <v>119.6293</v>
      </c>
      <c r="J334">
        <v>123.3530652</v>
      </c>
      <c r="K334">
        <v>127.2150383</v>
      </c>
      <c r="L334">
        <v>130.81403420000001</v>
      </c>
      <c r="M334">
        <v>133.02562599999999</v>
      </c>
      <c r="N334">
        <v>134.4856552</v>
      </c>
    </row>
    <row r="335" spans="1:14" x14ac:dyDescent="0.25">
      <c r="A335">
        <v>2</v>
      </c>
      <c r="B335" s="13">
        <v>7.375</v>
      </c>
      <c r="C335">
        <v>-0.17574447600000001</v>
      </c>
      <c r="D335">
        <v>123.87282759999999</v>
      </c>
      <c r="E335">
        <v>4.5614432000000003E-2</v>
      </c>
      <c r="F335">
        <v>113.76153360000001</v>
      </c>
      <c r="G335">
        <v>114.97523409999999</v>
      </c>
      <c r="H335">
        <v>116.874002</v>
      </c>
      <c r="I335">
        <v>120.1296849</v>
      </c>
      <c r="J335">
        <v>123.87282759999999</v>
      </c>
      <c r="K335">
        <v>127.7538545</v>
      </c>
      <c r="L335">
        <v>131.36964359999999</v>
      </c>
      <c r="M335">
        <v>133.59109119999999</v>
      </c>
      <c r="N335">
        <v>135.05743279999999</v>
      </c>
    </row>
    <row r="336" spans="1:14" x14ac:dyDescent="0.25">
      <c r="A336">
        <v>2</v>
      </c>
      <c r="B336" s="13">
        <v>7.458333333333333</v>
      </c>
      <c r="C336">
        <v>-0.16534839600000001</v>
      </c>
      <c r="D336">
        <v>124.38704</v>
      </c>
      <c r="E336">
        <v>4.5654015999999999E-2</v>
      </c>
      <c r="F336">
        <v>114.22110139999999</v>
      </c>
      <c r="G336">
        <v>115.4417656</v>
      </c>
      <c r="H336">
        <v>117.351208</v>
      </c>
      <c r="I336">
        <v>120.62456539999999</v>
      </c>
      <c r="J336">
        <v>124.38704</v>
      </c>
      <c r="K336">
        <v>128.28698449999999</v>
      </c>
      <c r="L336">
        <v>131.9193587</v>
      </c>
      <c r="M336">
        <v>134.150496</v>
      </c>
      <c r="N336">
        <v>135.62302450000001</v>
      </c>
    </row>
    <row r="337" spans="1:14" x14ac:dyDescent="0.25">
      <c r="A337">
        <v>2</v>
      </c>
      <c r="B337" s="13">
        <v>7.541666666666667</v>
      </c>
      <c r="C337">
        <v>-0.15435721999999999</v>
      </c>
      <c r="D337">
        <v>124.89561140000001</v>
      </c>
      <c r="E337">
        <v>4.5694449999999998E-2</v>
      </c>
      <c r="F337">
        <v>114.674938</v>
      </c>
      <c r="G337">
        <v>115.90260739999999</v>
      </c>
      <c r="H337">
        <v>117.82277240000001</v>
      </c>
      <c r="I337">
        <v>121.113839</v>
      </c>
      <c r="J337">
        <v>124.89561140000001</v>
      </c>
      <c r="K337">
        <v>128.8143555</v>
      </c>
      <c r="L337">
        <v>132.46313019999999</v>
      </c>
      <c r="M337">
        <v>134.7038082</v>
      </c>
      <c r="N337">
        <v>136.18241069999999</v>
      </c>
    </row>
    <row r="338" spans="1:14" x14ac:dyDescent="0.25">
      <c r="A338">
        <v>2</v>
      </c>
      <c r="B338" s="13">
        <v>7.625</v>
      </c>
      <c r="C338">
        <v>-0.142831123</v>
      </c>
      <c r="D338">
        <v>125.398472</v>
      </c>
      <c r="E338">
        <v>4.5735953000000003E-2</v>
      </c>
      <c r="F338">
        <v>115.1229513</v>
      </c>
      <c r="G338">
        <v>116.3576679</v>
      </c>
      <c r="H338">
        <v>118.28860539999999</v>
      </c>
      <c r="I338">
        <v>121.5974226</v>
      </c>
      <c r="J338">
        <v>125.398472</v>
      </c>
      <c r="K338">
        <v>129.33591809999999</v>
      </c>
      <c r="L338">
        <v>133.000934</v>
      </c>
      <c r="M338">
        <v>135.25102269999999</v>
      </c>
      <c r="N338">
        <v>136.73560000000001</v>
      </c>
    </row>
    <row r="339" spans="1:14" x14ac:dyDescent="0.25">
      <c r="A339">
        <v>2</v>
      </c>
      <c r="B339" s="13">
        <v>7.708333333333333</v>
      </c>
      <c r="C339">
        <v>-0.13083066900000001</v>
      </c>
      <c r="D339">
        <v>125.895574</v>
      </c>
      <c r="E339">
        <v>4.5778759000000002E-2</v>
      </c>
      <c r="F339">
        <v>115.56506659999999</v>
      </c>
      <c r="G339">
        <v>116.8068731</v>
      </c>
      <c r="H339">
        <v>118.74863569999999</v>
      </c>
      <c r="I339">
        <v>122.0752529</v>
      </c>
      <c r="J339">
        <v>125.895574</v>
      </c>
      <c r="K339">
        <v>129.85164739999999</v>
      </c>
      <c r="L339">
        <v>133.53277309999999</v>
      </c>
      <c r="M339">
        <v>135.7921628</v>
      </c>
      <c r="N339">
        <v>137.2826306</v>
      </c>
    </row>
    <row r="340" spans="1:14" x14ac:dyDescent="0.25">
      <c r="A340">
        <v>2</v>
      </c>
      <c r="B340" s="13">
        <v>7.791666666666667</v>
      </c>
      <c r="C340">
        <v>-0.118416354</v>
      </c>
      <c r="D340">
        <v>126.38689290000001</v>
      </c>
      <c r="E340">
        <v>4.5823113999999998E-2</v>
      </c>
      <c r="F340">
        <v>116.001227</v>
      </c>
      <c r="G340">
        <v>117.2501678</v>
      </c>
      <c r="H340">
        <v>119.2028114</v>
      </c>
      <c r="I340">
        <v>122.5472882</v>
      </c>
      <c r="J340">
        <v>126.38689290000001</v>
      </c>
      <c r="K340">
        <v>130.3615441</v>
      </c>
      <c r="L340">
        <v>134.0586782</v>
      </c>
      <c r="M340">
        <v>136.32728090000001</v>
      </c>
      <c r="N340">
        <v>137.8235707</v>
      </c>
    </row>
    <row r="341" spans="1:14" x14ac:dyDescent="0.25">
      <c r="A341">
        <v>2</v>
      </c>
      <c r="B341" s="13">
        <v>7.875</v>
      </c>
      <c r="C341">
        <v>-0.105648092</v>
      </c>
      <c r="D341">
        <v>126.8724284</v>
      </c>
      <c r="E341">
        <v>4.5869279999999998E-2</v>
      </c>
      <c r="F341">
        <v>116.4313942</v>
      </c>
      <c r="G341">
        <v>117.6875155</v>
      </c>
      <c r="H341">
        <v>119.651101</v>
      </c>
      <c r="I341">
        <v>123.01350840000001</v>
      </c>
      <c r="J341">
        <v>126.8724284</v>
      </c>
      <c r="K341">
        <v>130.8656354</v>
      </c>
      <c r="L341">
        <v>134.57870890000001</v>
      </c>
      <c r="M341">
        <v>136.85645980000001</v>
      </c>
      <c r="N341">
        <v>138.35851969999999</v>
      </c>
    </row>
    <row r="342" spans="1:14" x14ac:dyDescent="0.25">
      <c r="A342">
        <v>2</v>
      </c>
      <c r="B342" s="13">
        <v>7.958333333333333</v>
      </c>
      <c r="C342">
        <v>-9.2584657000000001E-2</v>
      </c>
      <c r="D342">
        <v>127.3522056</v>
      </c>
      <c r="E342">
        <v>4.5917535000000002E-2</v>
      </c>
      <c r="F342">
        <v>116.85554879999999</v>
      </c>
      <c r="G342">
        <v>118.11889979999999</v>
      </c>
      <c r="H342">
        <v>120.0934937</v>
      </c>
      <c r="I342">
        <v>123.4739166</v>
      </c>
      <c r="J342">
        <v>127.3522056</v>
      </c>
      <c r="K342">
        <v>131.36397629999999</v>
      </c>
      <c r="L342">
        <v>135.0929548</v>
      </c>
      <c r="M342">
        <v>137.3798137</v>
      </c>
      <c r="N342">
        <v>138.88760920000001</v>
      </c>
    </row>
    <row r="343" spans="1:14" x14ac:dyDescent="0.25">
      <c r="A343">
        <v>2</v>
      </c>
      <c r="B343" s="13">
        <v>8.0416666666666661</v>
      </c>
      <c r="C343">
        <v>-7.9283065E-2</v>
      </c>
      <c r="D343">
        <v>127.8262759</v>
      </c>
      <c r="E343">
        <v>4.5968169000000003E-2</v>
      </c>
      <c r="F343">
        <v>117.27369160000001</v>
      </c>
      <c r="G343">
        <v>118.54432509999999</v>
      </c>
      <c r="H343">
        <v>120.5300007</v>
      </c>
      <c r="I343">
        <v>123.92854</v>
      </c>
      <c r="J343">
        <v>127.8262759</v>
      </c>
      <c r="K343">
        <v>131.85665059999999</v>
      </c>
      <c r="L343">
        <v>135.60153639999999</v>
      </c>
      <c r="M343">
        <v>137.8974887</v>
      </c>
      <c r="N343">
        <v>139.41100399999999</v>
      </c>
    </row>
    <row r="344" spans="1:14" x14ac:dyDescent="0.25">
      <c r="A344">
        <v>2</v>
      </c>
      <c r="B344" s="13">
        <v>8.125</v>
      </c>
      <c r="C344">
        <v>-6.5797887999999999E-2</v>
      </c>
      <c r="D344">
        <v>128.2947187</v>
      </c>
      <c r="E344">
        <v>4.6021489999999998E-2</v>
      </c>
      <c r="F344">
        <v>117.68584370000001</v>
      </c>
      <c r="G344">
        <v>118.9638171</v>
      </c>
      <c r="H344">
        <v>120.9606563</v>
      </c>
      <c r="I344">
        <v>124.37743089999999</v>
      </c>
      <c r="J344">
        <v>128.2947187</v>
      </c>
      <c r="K344">
        <v>132.34377240000001</v>
      </c>
      <c r="L344">
        <v>136.10460660000001</v>
      </c>
      <c r="M344">
        <v>138.40966449999999</v>
      </c>
      <c r="N344">
        <v>139.9289024</v>
      </c>
    </row>
    <row r="345" spans="1:14" x14ac:dyDescent="0.25">
      <c r="A345">
        <v>2</v>
      </c>
      <c r="B345" s="13">
        <v>8.2083333333333339</v>
      </c>
      <c r="C345">
        <v>-5.2180499999999998E-2</v>
      </c>
      <c r="D345">
        <v>128.757642</v>
      </c>
      <c r="E345">
        <v>4.6077818E-2</v>
      </c>
      <c r="F345">
        <v>118.09204800000001</v>
      </c>
      <c r="G345">
        <v>119.3774239</v>
      </c>
      <c r="H345">
        <v>121.3855185</v>
      </c>
      <c r="I345">
        <v>124.8206679</v>
      </c>
      <c r="J345">
        <v>128.757642</v>
      </c>
      <c r="K345">
        <v>132.8254867</v>
      </c>
      <c r="L345">
        <v>136.602351</v>
      </c>
      <c r="M345">
        <v>138.91655460000001</v>
      </c>
      <c r="N345">
        <v>140.44153779999999</v>
      </c>
    </row>
    <row r="346" spans="1:14" x14ac:dyDescent="0.25">
      <c r="A346">
        <v>2</v>
      </c>
      <c r="B346" s="13">
        <v>8.2916666666666661</v>
      </c>
      <c r="C346">
        <v>-3.8478249999999999E-2</v>
      </c>
      <c r="D346">
        <v>129.2151839</v>
      </c>
      <c r="E346">
        <v>4.6137486999999998E-2</v>
      </c>
      <c r="F346">
        <v>118.49236929999999</v>
      </c>
      <c r="G346">
        <v>119.7852171</v>
      </c>
      <c r="H346">
        <v>121.8046703</v>
      </c>
      <c r="I346">
        <v>125.25835720000001</v>
      </c>
      <c r="J346">
        <v>129.2151839</v>
      </c>
      <c r="K346">
        <v>133.30197129999999</v>
      </c>
      <c r="L346">
        <v>137.0949894</v>
      </c>
      <c r="M346">
        <v>139.4184075</v>
      </c>
      <c r="N346">
        <v>140.94917849999999</v>
      </c>
    </row>
    <row r="347" spans="1:14" x14ac:dyDescent="0.25">
      <c r="A347">
        <v>2</v>
      </c>
      <c r="B347" s="13">
        <v>8.375</v>
      </c>
      <c r="C347">
        <v>-2.4733544999999999E-2</v>
      </c>
      <c r="D347">
        <v>129.66751429999999</v>
      </c>
      <c r="E347">
        <v>4.6200841999999999E-2</v>
      </c>
      <c r="F347">
        <v>118.8868959</v>
      </c>
      <c r="G347">
        <v>120.1872927</v>
      </c>
      <c r="H347">
        <v>122.2182208</v>
      </c>
      <c r="I347">
        <v>125.6906338</v>
      </c>
      <c r="J347">
        <v>129.66751429999999</v>
      </c>
      <c r="K347">
        <v>133.7734371</v>
      </c>
      <c r="L347">
        <v>137.5827768</v>
      </c>
      <c r="M347">
        <v>139.91550749999999</v>
      </c>
      <c r="N347">
        <v>141.4521292</v>
      </c>
    </row>
    <row r="348" spans="1:14" x14ac:dyDescent="0.25">
      <c r="A348">
        <v>2</v>
      </c>
      <c r="B348" s="13">
        <v>8.4583333333333339</v>
      </c>
      <c r="C348">
        <v>-1.0982868E-2</v>
      </c>
      <c r="D348">
        <v>130.1148354</v>
      </c>
      <c r="E348">
        <v>4.6268240000000002E-2</v>
      </c>
      <c r="F348">
        <v>119.2757403</v>
      </c>
      <c r="G348">
        <v>120.5837721</v>
      </c>
      <c r="H348">
        <v>122.62630660000001</v>
      </c>
      <c r="I348">
        <v>126.11766280000001</v>
      </c>
      <c r="J348">
        <v>130.1148354</v>
      </c>
      <c r="K348">
        <v>134.24013020000001</v>
      </c>
      <c r="L348">
        <v>138.06600409999999</v>
      </c>
      <c r="M348">
        <v>140.40817490000001</v>
      </c>
      <c r="N348">
        <v>141.9507308</v>
      </c>
    </row>
    <row r="349" spans="1:14" x14ac:dyDescent="0.25">
      <c r="A349">
        <v>2</v>
      </c>
      <c r="B349" s="13">
        <v>8.5416666666666661</v>
      </c>
      <c r="C349">
        <v>2.7443060000000002E-3</v>
      </c>
      <c r="D349">
        <v>130.55738389999999</v>
      </c>
      <c r="E349">
        <v>4.6340046000000003E-2</v>
      </c>
      <c r="F349">
        <v>119.65904020000001</v>
      </c>
      <c r="G349">
        <v>120.97480349999999</v>
      </c>
      <c r="H349">
        <v>123.029093</v>
      </c>
      <c r="I349">
        <v>126.5396411</v>
      </c>
      <c r="J349">
        <v>130.55738389999999</v>
      </c>
      <c r="K349">
        <v>134.70233239999999</v>
      </c>
      <c r="L349">
        <v>138.54499860000001</v>
      </c>
      <c r="M349">
        <v>140.8967672</v>
      </c>
      <c r="N349">
        <v>142.4453609</v>
      </c>
    </row>
    <row r="350" spans="1:14" x14ac:dyDescent="0.25">
      <c r="A350">
        <v>2</v>
      </c>
      <c r="B350" s="13">
        <v>8.625</v>
      </c>
      <c r="C350">
        <v>1.6426654999999998E-2</v>
      </c>
      <c r="D350">
        <v>130.99543199999999</v>
      </c>
      <c r="E350">
        <v>4.6416629000000001E-2</v>
      </c>
      <c r="F350">
        <v>120.0369603</v>
      </c>
      <c r="G350">
        <v>121.3605632</v>
      </c>
      <c r="H350">
        <v>123.4267753</v>
      </c>
      <c r="I350">
        <v>126.9567984</v>
      </c>
      <c r="J350">
        <v>130.99543199999999</v>
      </c>
      <c r="K350">
        <v>135.16036260000001</v>
      </c>
      <c r="L350">
        <v>139.0201256</v>
      </c>
      <c r="M350">
        <v>141.3816789</v>
      </c>
      <c r="N350">
        <v>142.93643399999999</v>
      </c>
    </row>
    <row r="351" spans="1:14" x14ac:dyDescent="0.25">
      <c r="A351">
        <v>2</v>
      </c>
      <c r="B351" s="13">
        <v>8.7083333333333339</v>
      </c>
      <c r="C351">
        <v>3.0052230999999999E-2</v>
      </c>
      <c r="D351">
        <v>131.4292887</v>
      </c>
      <c r="E351">
        <v>4.6498361000000002E-2</v>
      </c>
      <c r="F351">
        <v>120.4096928</v>
      </c>
      <c r="G351">
        <v>121.7412571</v>
      </c>
      <c r="H351">
        <v>123.8195805</v>
      </c>
      <c r="I351">
        <v>127.36939940000001</v>
      </c>
      <c r="J351">
        <v>131.4292887</v>
      </c>
      <c r="K351">
        <v>135.61457770000001</v>
      </c>
      <c r="L351">
        <v>139.49178789999999</v>
      </c>
      <c r="M351">
        <v>141.86334170000001</v>
      </c>
      <c r="N351">
        <v>143.4244013</v>
      </c>
    </row>
    <row r="352" spans="1:14" x14ac:dyDescent="0.25">
      <c r="A352">
        <v>2</v>
      </c>
      <c r="B352" s="13">
        <v>8.7916666666666661</v>
      </c>
      <c r="C352">
        <v>4.3619747E-2</v>
      </c>
      <c r="D352">
        <v>131.85930149999999</v>
      </c>
      <c r="E352">
        <v>4.6585610999999999E-2</v>
      </c>
      <c r="F352">
        <v>120.7774598</v>
      </c>
      <c r="G352">
        <v>122.1171219</v>
      </c>
      <c r="H352">
        <v>124.2077692</v>
      </c>
      <c r="I352">
        <v>127.77774479999999</v>
      </c>
      <c r="J352">
        <v>131.85930149999999</v>
      </c>
      <c r="K352">
        <v>136.06537370000001</v>
      </c>
      <c r="L352">
        <v>139.9604267</v>
      </c>
      <c r="M352">
        <v>142.3422248</v>
      </c>
      <c r="N352">
        <v>143.90975019999999</v>
      </c>
    </row>
    <row r="353" spans="1:14" x14ac:dyDescent="0.25">
      <c r="A353">
        <v>2</v>
      </c>
      <c r="B353" s="13">
        <v>8.875</v>
      </c>
      <c r="C353">
        <v>5.7139879999999997E-2</v>
      </c>
      <c r="D353">
        <v>132.2858574</v>
      </c>
      <c r="E353">
        <v>4.6678741000000003E-2</v>
      </c>
      <c r="F353">
        <v>121.140514</v>
      </c>
      <c r="G353">
        <v>122.4884272</v>
      </c>
      <c r="H353">
        <v>124.5916364</v>
      </c>
      <c r="I353">
        <v>128.18217329999999</v>
      </c>
      <c r="J353">
        <v>132.2858574</v>
      </c>
      <c r="K353">
        <v>136.5131864</v>
      </c>
      <c r="L353">
        <v>140.4265216</v>
      </c>
      <c r="M353">
        <v>142.81883400000001</v>
      </c>
      <c r="N353">
        <v>144.3930034</v>
      </c>
    </row>
    <row r="354" spans="1:14" x14ac:dyDescent="0.25">
      <c r="A354">
        <v>2</v>
      </c>
      <c r="B354" s="13">
        <v>8.9583333333333339</v>
      </c>
      <c r="C354">
        <v>7.0636605000000005E-2</v>
      </c>
      <c r="D354">
        <v>132.7093845</v>
      </c>
      <c r="E354">
        <v>4.6778098999999997E-2</v>
      </c>
      <c r="F354">
        <v>121.49914080000001</v>
      </c>
      <c r="G354">
        <v>122.8554769</v>
      </c>
      <c r="H354">
        <v>124.9715143</v>
      </c>
      <c r="I354">
        <v>128.58306289999999</v>
      </c>
      <c r="J354">
        <v>132.7093845</v>
      </c>
      <c r="K354">
        <v>136.9584917</v>
      </c>
      <c r="L354">
        <v>140.89059030000001</v>
      </c>
      <c r="M354">
        <v>143.29371080000001</v>
      </c>
      <c r="N354">
        <v>144.87471790000001</v>
      </c>
    </row>
    <row r="355" spans="1:14" x14ac:dyDescent="0.25">
      <c r="A355">
        <v>2</v>
      </c>
      <c r="B355" s="13">
        <v>9.0416666666666661</v>
      </c>
      <c r="C355">
        <v>8.4148479999999998E-2</v>
      </c>
      <c r="D355">
        <v>133.1303527</v>
      </c>
      <c r="E355">
        <v>4.6884009999999997E-2</v>
      </c>
      <c r="F355">
        <v>121.8536605</v>
      </c>
      <c r="G355">
        <v>123.2186111</v>
      </c>
      <c r="H355">
        <v>125.34777339999999</v>
      </c>
      <c r="I355">
        <v>128.9808329</v>
      </c>
      <c r="J355">
        <v>133.1303527</v>
      </c>
      <c r="K355">
        <v>137.40180659999999</v>
      </c>
      <c r="L355">
        <v>141.35318789999999</v>
      </c>
      <c r="M355">
        <v>143.76743160000001</v>
      </c>
      <c r="N355">
        <v>145.3554829</v>
      </c>
    </row>
    <row r="356" spans="1:14" x14ac:dyDescent="0.25">
      <c r="A356">
        <v>2</v>
      </c>
      <c r="B356" s="13">
        <v>9.125</v>
      </c>
      <c r="C356">
        <v>9.7729872999999995E-2</v>
      </c>
      <c r="D356">
        <v>133.5492749</v>
      </c>
      <c r="E356">
        <v>4.6996769000000001E-2</v>
      </c>
      <c r="F356">
        <v>122.20442920000001</v>
      </c>
      <c r="G356">
        <v>123.5782083</v>
      </c>
      <c r="H356">
        <v>125.72082450000001</v>
      </c>
      <c r="I356">
        <v>129.3759451</v>
      </c>
      <c r="J356">
        <v>133.5492749</v>
      </c>
      <c r="K356">
        <v>137.84368839999999</v>
      </c>
      <c r="L356">
        <v>141.81490590000001</v>
      </c>
      <c r="M356">
        <v>144.2406053</v>
      </c>
      <c r="N356">
        <v>145.83591730000001</v>
      </c>
    </row>
    <row r="357" spans="1:14" x14ac:dyDescent="0.25">
      <c r="A357">
        <v>2</v>
      </c>
      <c r="B357" s="13">
        <v>9.2083333333333339</v>
      </c>
      <c r="C357">
        <v>0.111452039</v>
      </c>
      <c r="D357">
        <v>133.9667073</v>
      </c>
      <c r="E357">
        <v>4.7116632999999998E-2</v>
      </c>
      <c r="F357">
        <v>122.55184199999999</v>
      </c>
      <c r="G357">
        <v>123.9346869</v>
      </c>
      <c r="H357">
        <v>126.0911208</v>
      </c>
      <c r="I357">
        <v>129.7689053</v>
      </c>
      <c r="J357">
        <v>133.9667073</v>
      </c>
      <c r="K357">
        <v>138.28473460000001</v>
      </c>
      <c r="L357">
        <v>142.27637060000001</v>
      </c>
      <c r="M357">
        <v>144.7138712</v>
      </c>
      <c r="N357">
        <v>146.31666709999999</v>
      </c>
    </row>
    <row r="358" spans="1:14" x14ac:dyDescent="0.25">
      <c r="A358">
        <v>2</v>
      </c>
      <c r="B358" s="13">
        <v>9.2916666666666661</v>
      </c>
      <c r="C358">
        <v>0.12540400500000001</v>
      </c>
      <c r="D358">
        <v>134.38324990000001</v>
      </c>
      <c r="E358">
        <v>4.7243801000000002E-2</v>
      </c>
      <c r="F358">
        <v>122.8963342</v>
      </c>
      <c r="G358">
        <v>124.28850749999999</v>
      </c>
      <c r="H358">
        <v>126.4591593</v>
      </c>
      <c r="I358">
        <v>130.16026429999999</v>
      </c>
      <c r="J358">
        <v>134.38324990000001</v>
      </c>
      <c r="K358">
        <v>138.72558219999999</v>
      </c>
      <c r="L358">
        <v>142.73824049999999</v>
      </c>
      <c r="M358">
        <v>145.18789520000001</v>
      </c>
      <c r="N358">
        <v>146.79840100000001</v>
      </c>
    </row>
    <row r="359" spans="1:14" x14ac:dyDescent="0.25">
      <c r="A359">
        <v>2</v>
      </c>
      <c r="B359" s="13">
        <v>9.375</v>
      </c>
      <c r="C359">
        <v>0.13969316000000001</v>
      </c>
      <c r="D359">
        <v>134.7995463</v>
      </c>
      <c r="E359">
        <v>4.7378413000000001E-2</v>
      </c>
      <c r="F359">
        <v>123.2383839</v>
      </c>
      <c r="G359">
        <v>124.64017490000001</v>
      </c>
      <c r="H359">
        <v>126.82548250000001</v>
      </c>
      <c r="I359">
        <v>130.55061929999999</v>
      </c>
      <c r="J359">
        <v>134.7995463</v>
      </c>
      <c r="K359">
        <v>139.1669053</v>
      </c>
      <c r="L359">
        <v>143.2012034</v>
      </c>
      <c r="M359">
        <v>145.6633664</v>
      </c>
      <c r="N359">
        <v>147.28180570000001</v>
      </c>
    </row>
    <row r="360" spans="1:14" x14ac:dyDescent="0.25">
      <c r="A360">
        <v>2</v>
      </c>
      <c r="B360" s="13">
        <v>9.4583333333333339</v>
      </c>
      <c r="C360">
        <v>0.154445482</v>
      </c>
      <c r="D360">
        <v>135.2162826</v>
      </c>
      <c r="E360">
        <v>4.7520521000000003E-2</v>
      </c>
      <c r="F360">
        <v>123.5785142</v>
      </c>
      <c r="G360">
        <v>124.9902397</v>
      </c>
      <c r="H360">
        <v>127.19068009999999</v>
      </c>
      <c r="I360">
        <v>130.94061350000001</v>
      </c>
      <c r="J360">
        <v>135.2162826</v>
      </c>
      <c r="K360">
        <v>139.6094137</v>
      </c>
      <c r="L360">
        <v>143.6659721</v>
      </c>
      <c r="M360">
        <v>146.1409913</v>
      </c>
      <c r="N360">
        <v>147.76758029999999</v>
      </c>
    </row>
    <row r="361" spans="1:14" x14ac:dyDescent="0.25">
      <c r="A361">
        <v>2</v>
      </c>
      <c r="B361" s="13">
        <v>9.5416666666666661</v>
      </c>
      <c r="C361">
        <v>0.16980527500000001</v>
      </c>
      <c r="D361">
        <v>135.634186</v>
      </c>
      <c r="E361">
        <v>4.7670085000000001E-2</v>
      </c>
      <c r="F361">
        <v>123.91729479999999</v>
      </c>
      <c r="G361">
        <v>125.3393004</v>
      </c>
      <c r="H361">
        <v>127.5553896</v>
      </c>
      <c r="I361">
        <v>131.33093700000001</v>
      </c>
      <c r="J361">
        <v>135.634186</v>
      </c>
      <c r="K361">
        <v>140.05384849999999</v>
      </c>
      <c r="L361">
        <v>144.13327989999999</v>
      </c>
      <c r="M361">
        <v>146.62148819999999</v>
      </c>
      <c r="N361">
        <v>148.25642920000001</v>
      </c>
    </row>
    <row r="362" spans="1:14" x14ac:dyDescent="0.25">
      <c r="A362">
        <v>2</v>
      </c>
      <c r="B362" s="13">
        <v>9.625</v>
      </c>
      <c r="C362">
        <v>0.185934346</v>
      </c>
      <c r="D362">
        <v>136.05402230000001</v>
      </c>
      <c r="E362">
        <v>4.7826946000000002E-2</v>
      </c>
      <c r="F362">
        <v>124.2553446</v>
      </c>
      <c r="G362">
        <v>125.6880049</v>
      </c>
      <c r="H362">
        <v>127.9202978</v>
      </c>
      <c r="I362">
        <v>131.72232539999999</v>
      </c>
      <c r="J362">
        <v>136.05402230000001</v>
      </c>
      <c r="K362">
        <v>140.50097880000001</v>
      </c>
      <c r="L362">
        <v>144.6038739</v>
      </c>
      <c r="M362">
        <v>147.10557969999999</v>
      </c>
      <c r="N362">
        <v>148.74905430000001</v>
      </c>
    </row>
    <row r="363" spans="1:14" x14ac:dyDescent="0.25">
      <c r="A363">
        <v>2</v>
      </c>
      <c r="B363" s="13">
        <v>9.7083333333333339</v>
      </c>
      <c r="C363">
        <v>0.20301048799999999</v>
      </c>
      <c r="D363">
        <v>136.47659250000001</v>
      </c>
      <c r="E363">
        <v>4.7990810000000002E-2</v>
      </c>
      <c r="F363">
        <v>124.5933332</v>
      </c>
      <c r="G363">
        <v>126.03705119999999</v>
      </c>
      <c r="H363">
        <v>128.28614039999999</v>
      </c>
      <c r="I363">
        <v>132.11555870000001</v>
      </c>
      <c r="J363">
        <v>136.47659250000001</v>
      </c>
      <c r="K363">
        <v>140.95159530000001</v>
      </c>
      <c r="L363">
        <v>145.07850790000001</v>
      </c>
      <c r="M363">
        <v>147.59398429999999</v>
      </c>
      <c r="N363">
        <v>149.24614560000001</v>
      </c>
    </row>
    <row r="364" spans="1:14" x14ac:dyDescent="0.25">
      <c r="A364">
        <v>2</v>
      </c>
      <c r="B364" s="13">
        <v>9.7916666666666661</v>
      </c>
      <c r="C364">
        <v>0.22122520000000001</v>
      </c>
      <c r="D364">
        <v>136.90272809999999</v>
      </c>
      <c r="E364">
        <v>4.8161228E-2</v>
      </c>
      <c r="F364">
        <v>124.93198219999999</v>
      </c>
      <c r="G364">
        <v>126.38718849999999</v>
      </c>
      <c r="H364">
        <v>128.65370139999999</v>
      </c>
      <c r="I364">
        <v>132.5114586</v>
      </c>
      <c r="J364">
        <v>136.90272809999999</v>
      </c>
      <c r="K364">
        <v>141.40650400000001</v>
      </c>
      <c r="L364">
        <v>145.55793349999999</v>
      </c>
      <c r="M364">
        <v>148.08740649999999</v>
      </c>
      <c r="N364">
        <v>149.7483713</v>
      </c>
    </row>
    <row r="365" spans="1:14" x14ac:dyDescent="0.25">
      <c r="A365">
        <v>2</v>
      </c>
      <c r="B365" s="13">
        <v>9.875</v>
      </c>
      <c r="C365">
        <v>0.24078054199999999</v>
      </c>
      <c r="D365">
        <v>137.33328460000001</v>
      </c>
      <c r="E365">
        <v>4.8337570000000003E-2</v>
      </c>
      <c r="F365">
        <v>125.2720662</v>
      </c>
      <c r="G365">
        <v>126.7392174</v>
      </c>
      <c r="H365">
        <v>129.0238124</v>
      </c>
      <c r="I365">
        <v>132.91088490000001</v>
      </c>
      <c r="J365">
        <v>137.33328460000001</v>
      </c>
      <c r="K365">
        <v>141.8665172</v>
      </c>
      <c r="L365">
        <v>146.04289019999999</v>
      </c>
      <c r="M365">
        <v>148.58652599999999</v>
      </c>
      <c r="N365">
        <v>150.25636560000001</v>
      </c>
    </row>
    <row r="366" spans="1:14" x14ac:dyDescent="0.25">
      <c r="A366">
        <v>2</v>
      </c>
      <c r="B366" s="13">
        <v>9.9583333333333339</v>
      </c>
      <c r="C366">
        <v>0.26188508599999999</v>
      </c>
      <c r="D366">
        <v>137.76913390000001</v>
      </c>
      <c r="E366">
        <v>4.8519011000000001E-2</v>
      </c>
      <c r="F366">
        <v>125.6144133</v>
      </c>
      <c r="G366">
        <v>127.09398830000001</v>
      </c>
      <c r="H366">
        <v>129.39734960000001</v>
      </c>
      <c r="I366">
        <v>133.31473020000001</v>
      </c>
      <c r="J366">
        <v>137.76913390000001</v>
      </c>
      <c r="K366">
        <v>142.33244429999999</v>
      </c>
      <c r="L366">
        <v>146.53409360000001</v>
      </c>
      <c r="M366">
        <v>149.0919854</v>
      </c>
      <c r="N366">
        <v>150.7707169</v>
      </c>
    </row>
    <row r="367" spans="1:14" x14ac:dyDescent="0.25">
      <c r="A367">
        <v>2</v>
      </c>
      <c r="B367" s="13">
        <v>10.041666666666666</v>
      </c>
      <c r="C367">
        <v>0.28474891899999999</v>
      </c>
      <c r="D367">
        <v>138.21115520000001</v>
      </c>
      <c r="E367">
        <v>4.8704503000000003E-2</v>
      </c>
      <c r="F367">
        <v>125.95990430000001</v>
      </c>
      <c r="G367">
        <v>127.4524005</v>
      </c>
      <c r="H367">
        <v>129.7752299</v>
      </c>
      <c r="I367">
        <v>133.72391350000001</v>
      </c>
      <c r="J367">
        <v>138.21115520000001</v>
      </c>
      <c r="K367">
        <v>142.80507940000001</v>
      </c>
      <c r="L367">
        <v>147.03222249999999</v>
      </c>
      <c r="M367">
        <v>149.60437669999999</v>
      </c>
      <c r="N367">
        <v>151.29195340000001</v>
      </c>
    </row>
    <row r="368" spans="1:14" x14ac:dyDescent="0.25">
      <c r="A368">
        <v>2</v>
      </c>
      <c r="B368" s="13">
        <v>10.125</v>
      </c>
      <c r="C368">
        <v>0.30957773300000002</v>
      </c>
      <c r="D368">
        <v>138.66022280000001</v>
      </c>
      <c r="E368">
        <v>4.8892759000000001E-2</v>
      </c>
      <c r="F368">
        <v>126.30947089999999</v>
      </c>
      <c r="G368">
        <v>127.8153983</v>
      </c>
      <c r="H368">
        <v>130.15840610000001</v>
      </c>
      <c r="I368">
        <v>134.13937139999999</v>
      </c>
      <c r="J368">
        <v>138.66022280000001</v>
      </c>
      <c r="K368">
        <v>143.28518790000001</v>
      </c>
      <c r="L368">
        <v>147.5379045</v>
      </c>
      <c r="M368">
        <v>150.1242269</v>
      </c>
      <c r="N368">
        <v>151.82052970000001</v>
      </c>
    </row>
    <row r="369" spans="1:14" x14ac:dyDescent="0.25">
      <c r="A369">
        <v>2</v>
      </c>
      <c r="B369" s="13">
        <v>10.208333333333334</v>
      </c>
      <c r="C369">
        <v>0.33656604800000001</v>
      </c>
      <c r="D369">
        <v>139.1171933</v>
      </c>
      <c r="E369">
        <v>4.9082239E-2</v>
      </c>
      <c r="F369">
        <v>126.6640931</v>
      </c>
      <c r="G369">
        <v>128.18396680000001</v>
      </c>
      <c r="H369">
        <v>130.54785949999999</v>
      </c>
      <c r="I369">
        <v>134.5620476</v>
      </c>
      <c r="J369">
        <v>139.1171933</v>
      </c>
      <c r="K369">
        <v>143.77349190000001</v>
      </c>
      <c r="L369">
        <v>148.05170039999999</v>
      </c>
      <c r="M369">
        <v>150.65198280000001</v>
      </c>
      <c r="N369">
        <v>152.3568114</v>
      </c>
    </row>
    <row r="370" spans="1:14" x14ac:dyDescent="0.25">
      <c r="A370">
        <v>2</v>
      </c>
      <c r="B370" s="13">
        <v>10.291666666666666</v>
      </c>
      <c r="C370">
        <v>0.36588971100000001</v>
      </c>
      <c r="D370">
        <v>139.5828898</v>
      </c>
      <c r="E370">
        <v>4.9271137E-2</v>
      </c>
      <c r="F370">
        <v>127.02479409999999</v>
      </c>
      <c r="G370">
        <v>128.5591249</v>
      </c>
      <c r="H370">
        <v>130.94459069999999</v>
      </c>
      <c r="I370">
        <v>134.99288039999999</v>
      </c>
      <c r="J370">
        <v>139.5828898</v>
      </c>
      <c r="K370">
        <v>144.2706527</v>
      </c>
      <c r="L370">
        <v>148.57408810000001</v>
      </c>
      <c r="M370">
        <v>151.18799509999999</v>
      </c>
      <c r="N370">
        <v>152.90106030000001</v>
      </c>
    </row>
    <row r="371" spans="1:14" x14ac:dyDescent="0.25">
      <c r="A371">
        <v>2</v>
      </c>
      <c r="B371" s="13">
        <v>10.375</v>
      </c>
      <c r="C371">
        <v>0.397699038</v>
      </c>
      <c r="D371">
        <v>140.05808479999999</v>
      </c>
      <c r="E371">
        <v>4.9457371E-2</v>
      </c>
      <c r="F371">
        <v>127.39263320000001</v>
      </c>
      <c r="G371">
        <v>128.9419168</v>
      </c>
      <c r="H371">
        <v>131.34960839999999</v>
      </c>
      <c r="I371">
        <v>135.4327874</v>
      </c>
      <c r="J371">
        <v>140.05808479999999</v>
      </c>
      <c r="K371">
        <v>144.77725340000001</v>
      </c>
      <c r="L371">
        <v>149.1054445</v>
      </c>
      <c r="M371">
        <v>151.73250289999999</v>
      </c>
      <c r="N371">
        <v>153.45342009999999</v>
      </c>
    </row>
    <row r="372" spans="1:14" x14ac:dyDescent="0.25">
      <c r="A372">
        <v>2</v>
      </c>
      <c r="B372" s="13">
        <v>10.458333333333334</v>
      </c>
      <c r="C372">
        <v>0.43210440900000002</v>
      </c>
      <c r="D372">
        <v>140.54347870000001</v>
      </c>
      <c r="E372">
        <v>4.9638596E-2</v>
      </c>
      <c r="F372">
        <v>127.76869859999999</v>
      </c>
      <c r="G372">
        <v>129.33340140000001</v>
      </c>
      <c r="H372">
        <v>131.76391509999999</v>
      </c>
      <c r="I372">
        <v>135.8826474</v>
      </c>
      <c r="J372">
        <v>140.54347870000001</v>
      </c>
      <c r="K372">
        <v>145.29377790000001</v>
      </c>
      <c r="L372">
        <v>149.6460289</v>
      </c>
      <c r="M372">
        <v>152.2856189</v>
      </c>
      <c r="N372">
        <v>154.0139039</v>
      </c>
    </row>
    <row r="373" spans="1:14" x14ac:dyDescent="0.25">
      <c r="A373">
        <v>2</v>
      </c>
      <c r="B373" s="13">
        <v>10.541666666666666</v>
      </c>
      <c r="C373">
        <v>0.46917993000000002</v>
      </c>
      <c r="D373">
        <v>141.03968320000001</v>
      </c>
      <c r="E373">
        <v>4.9812202999999999E-2</v>
      </c>
      <c r="F373">
        <v>128.1540923</v>
      </c>
      <c r="G373">
        <v>129.73463720000001</v>
      </c>
      <c r="H373">
        <v>132.18849109999999</v>
      </c>
      <c r="I373">
        <v>136.3432832</v>
      </c>
      <c r="J373">
        <v>141.03968320000001</v>
      </c>
      <c r="K373">
        <v>145.8205935</v>
      </c>
      <c r="L373">
        <v>150.19596569999999</v>
      </c>
      <c r="M373">
        <v>152.84731310000001</v>
      </c>
      <c r="N373">
        <v>154.5823786</v>
      </c>
    </row>
    <row r="374" spans="1:14" x14ac:dyDescent="0.25">
      <c r="A374">
        <v>2</v>
      </c>
      <c r="B374" s="13">
        <v>10.625</v>
      </c>
      <c r="C374">
        <v>0.508943272</v>
      </c>
      <c r="D374">
        <v>141.54719449999999</v>
      </c>
      <c r="E374">
        <v>4.9975354999999999E-2</v>
      </c>
      <c r="F374">
        <v>128.5499184</v>
      </c>
      <c r="G374">
        <v>130.1466666</v>
      </c>
      <c r="H374">
        <v>132.62427510000001</v>
      </c>
      <c r="I374">
        <v>136.81543690000001</v>
      </c>
      <c r="J374">
        <v>141.54719449999999</v>
      </c>
      <c r="K374">
        <v>146.3579283</v>
      </c>
      <c r="L374">
        <v>150.7552278</v>
      </c>
      <c r="M374">
        <v>153.41740189999999</v>
      </c>
      <c r="N374">
        <v>155.15855780000001</v>
      </c>
    </row>
    <row r="375" spans="1:14" x14ac:dyDescent="0.25">
      <c r="A375">
        <v>2</v>
      </c>
      <c r="B375" s="13">
        <v>10.708333333333334</v>
      </c>
      <c r="C375">
        <v>0.55135427699999995</v>
      </c>
      <c r="D375">
        <v>142.06637309999999</v>
      </c>
      <c r="E375">
        <v>5.0125011999999997E-2</v>
      </c>
      <c r="F375">
        <v>128.95726339999999</v>
      </c>
      <c r="G375">
        <v>130.57049570000001</v>
      </c>
      <c r="H375">
        <v>133.07214200000001</v>
      </c>
      <c r="I375">
        <v>137.29974799999999</v>
      </c>
      <c r="J375">
        <v>142.06637309999999</v>
      </c>
      <c r="K375">
        <v>146.90585290000001</v>
      </c>
      <c r="L375">
        <v>151.32362259999999</v>
      </c>
      <c r="M375">
        <v>153.9955367</v>
      </c>
      <c r="N375">
        <v>155.74199300000001</v>
      </c>
    </row>
    <row r="376" spans="1:14" x14ac:dyDescent="0.25">
      <c r="A376">
        <v>2</v>
      </c>
      <c r="B376" s="13">
        <v>10.791666666666666</v>
      </c>
      <c r="C376">
        <v>0.59630736299999998</v>
      </c>
      <c r="D376">
        <v>142.59742</v>
      </c>
      <c r="E376">
        <v>5.0257992000000001E-2</v>
      </c>
      <c r="F376">
        <v>129.3771753</v>
      </c>
      <c r="G376">
        <v>131.00707170000001</v>
      </c>
      <c r="H376">
        <v>133.53287889999999</v>
      </c>
      <c r="I376">
        <v>137.79672840000001</v>
      </c>
      <c r="J376">
        <v>142.59742</v>
      </c>
      <c r="K376">
        <v>147.46426170000001</v>
      </c>
      <c r="L376">
        <v>151.90077959999999</v>
      </c>
      <c r="M376">
        <v>154.58119600000001</v>
      </c>
      <c r="N376">
        <v>156.33206860000001</v>
      </c>
    </row>
    <row r="377" spans="1:14" x14ac:dyDescent="0.25">
      <c r="A377">
        <v>2</v>
      </c>
      <c r="B377" s="13">
        <v>10.875</v>
      </c>
      <c r="C377">
        <v>0.64362654200000002</v>
      </c>
      <c r="D377">
        <v>143.14035530000001</v>
      </c>
      <c r="E377">
        <v>5.0371024E-2</v>
      </c>
      <c r="F377">
        <v>129.81063850000001</v>
      </c>
      <c r="G377">
        <v>131.4572565</v>
      </c>
      <c r="H377">
        <v>134.0071586</v>
      </c>
      <c r="I377">
        <v>138.3067365</v>
      </c>
      <c r="J377">
        <v>143.14035530000001</v>
      </c>
      <c r="K377">
        <v>148.03285729999999</v>
      </c>
      <c r="L377">
        <v>152.48614140000001</v>
      </c>
      <c r="M377">
        <v>155.17368149999999</v>
      </c>
      <c r="N377">
        <v>156.92800120000001</v>
      </c>
    </row>
    <row r="378" spans="1:14" x14ac:dyDescent="0.25">
      <c r="A378">
        <v>2</v>
      </c>
      <c r="B378" s="13">
        <v>10.958333333333334</v>
      </c>
      <c r="C378">
        <v>0.69306217299999995</v>
      </c>
      <c r="D378">
        <v>143.69499809999999</v>
      </c>
      <c r="E378">
        <v>5.0460835000000002E-2</v>
      </c>
      <c r="F378">
        <v>130.2585454</v>
      </c>
      <c r="G378">
        <v>131.92179859999999</v>
      </c>
      <c r="H378">
        <v>134.4955119</v>
      </c>
      <c r="I378">
        <v>138.8299523</v>
      </c>
      <c r="J378">
        <v>143.69499809999999</v>
      </c>
      <c r="K378">
        <v>148.61113779999999</v>
      </c>
      <c r="L378">
        <v>153.07895880000001</v>
      </c>
      <c r="M378">
        <v>155.7721177</v>
      </c>
      <c r="N378">
        <v>157.5288429</v>
      </c>
    </row>
    <row r="379" spans="1:14" x14ac:dyDescent="0.25">
      <c r="A379">
        <v>2</v>
      </c>
      <c r="B379" s="13">
        <v>11.041666666666666</v>
      </c>
      <c r="C379">
        <v>0.74428975200000003</v>
      </c>
      <c r="D379">
        <v>144.2609497</v>
      </c>
      <c r="E379">
        <v>5.0524236E-2</v>
      </c>
      <c r="F379">
        <v>130.72166519999999</v>
      </c>
      <c r="G379">
        <v>132.4013028</v>
      </c>
      <c r="H379">
        <v>134.99829819999999</v>
      </c>
      <c r="I379">
        <v>139.3663536</v>
      </c>
      <c r="J379">
        <v>144.2609497</v>
      </c>
      <c r="K379">
        <v>149.19838809999999</v>
      </c>
      <c r="L379">
        <v>153.6782905</v>
      </c>
      <c r="M379">
        <v>156.37545660000001</v>
      </c>
      <c r="N379">
        <v>158.13348859999999</v>
      </c>
    </row>
    <row r="380" spans="1:14" x14ac:dyDescent="0.25">
      <c r="A380">
        <v>2</v>
      </c>
      <c r="B380" s="13">
        <v>11.125</v>
      </c>
      <c r="C380">
        <v>0.79691098000000005</v>
      </c>
      <c r="D380">
        <v>144.83758090000001</v>
      </c>
      <c r="E380">
        <v>5.0558223999999999E-2</v>
      </c>
      <c r="F380">
        <v>131.2006102</v>
      </c>
      <c r="G380">
        <v>132.8961979</v>
      </c>
      <c r="H380">
        <v>135.51567779999999</v>
      </c>
      <c r="I380">
        <v>139.91569380000001</v>
      </c>
      <c r="J380">
        <v>144.83758090000001</v>
      </c>
      <c r="K380">
        <v>149.79367669999999</v>
      </c>
      <c r="L380">
        <v>154.2830074</v>
      </c>
      <c r="M380">
        <v>156.98248659999999</v>
      </c>
      <c r="N380">
        <v>158.74068800000001</v>
      </c>
    </row>
    <row r="381" spans="1:14" x14ac:dyDescent="0.25">
      <c r="A381">
        <v>2</v>
      </c>
      <c r="B381" s="13">
        <v>11.208333333333334</v>
      </c>
      <c r="C381">
        <v>0.85045727999999998</v>
      </c>
      <c r="D381">
        <v>145.4240246</v>
      </c>
      <c r="E381">
        <v>5.0560082999999999E-2</v>
      </c>
      <c r="F381">
        <v>131.69580139999999</v>
      </c>
      <c r="G381">
        <v>133.40670489999999</v>
      </c>
      <c r="H381">
        <v>136.04758459999999</v>
      </c>
      <c r="I381">
        <v>140.47748480000001</v>
      </c>
      <c r="J381">
        <v>145.4240246</v>
      </c>
      <c r="K381">
        <v>150.39585829999999</v>
      </c>
      <c r="L381">
        <v>154.89180329999999</v>
      </c>
      <c r="M381">
        <v>157.591847</v>
      </c>
      <c r="N381">
        <v>159.34906179999999</v>
      </c>
    </row>
    <row r="382" spans="1:14" x14ac:dyDescent="0.25">
      <c r="A382">
        <v>2</v>
      </c>
      <c r="B382" s="13">
        <v>11.291666666666666</v>
      </c>
      <c r="C382">
        <v>0.90439587099999996</v>
      </c>
      <c r="D382">
        <v>146.0191748</v>
      </c>
      <c r="E382">
        <v>5.0527493999999999E-2</v>
      </c>
      <c r="F382">
        <v>132.2074327</v>
      </c>
      <c r="G382">
        <v>133.93280659999999</v>
      </c>
      <c r="H382">
        <v>136.5937022</v>
      </c>
      <c r="I382">
        <v>141.0509836</v>
      </c>
      <c r="J382">
        <v>146.0191748</v>
      </c>
      <c r="K382">
        <v>151.00358230000001</v>
      </c>
      <c r="L382">
        <v>155.50321049999999</v>
      </c>
      <c r="M382">
        <v>158.20204659999999</v>
      </c>
      <c r="N382">
        <v>159.95712230000001</v>
      </c>
    </row>
    <row r="383" spans="1:14" x14ac:dyDescent="0.25">
      <c r="A383">
        <v>2</v>
      </c>
      <c r="B383" s="13">
        <v>11.375</v>
      </c>
      <c r="C383">
        <v>0.958138449</v>
      </c>
      <c r="D383">
        <v>146.621692</v>
      </c>
      <c r="E383">
        <v>5.0458634000000002E-2</v>
      </c>
      <c r="F383">
        <v>132.7354383</v>
      </c>
      <c r="G383">
        <v>134.4742195</v>
      </c>
      <c r="H383">
        <v>137.15344450000001</v>
      </c>
      <c r="I383">
        <v>141.63518629999999</v>
      </c>
      <c r="J383">
        <v>146.621692</v>
      </c>
      <c r="K383">
        <v>151.61530830000001</v>
      </c>
      <c r="L383">
        <v>156.11562069999999</v>
      </c>
      <c r="M383">
        <v>158.81148659999999</v>
      </c>
      <c r="N383">
        <v>160.56329690000001</v>
      </c>
    </row>
    <row r="384" spans="1:14" x14ac:dyDescent="0.25">
      <c r="A384">
        <v>2</v>
      </c>
      <c r="B384" s="13">
        <v>11.458333333333334</v>
      </c>
      <c r="C384">
        <v>1.011054559</v>
      </c>
      <c r="D384">
        <v>147.23001769999999</v>
      </c>
      <c r="E384">
        <v>5.0352268999999998E-2</v>
      </c>
      <c r="F384">
        <v>133.27946130000001</v>
      </c>
      <c r="G384">
        <v>135.03036990000001</v>
      </c>
      <c r="H384">
        <v>137.72594190000001</v>
      </c>
      <c r="I384">
        <v>142.22882899999999</v>
      </c>
      <c r="J384">
        <v>147.23001769999999</v>
      </c>
      <c r="K384">
        <v>152.22932879999999</v>
      </c>
      <c r="L384">
        <v>156.72731139999999</v>
      </c>
      <c r="M384">
        <v>159.4184879</v>
      </c>
      <c r="N384">
        <v>161.1659545</v>
      </c>
    </row>
    <row r="385" spans="1:14" x14ac:dyDescent="0.25">
      <c r="A385">
        <v>2</v>
      </c>
      <c r="B385" s="13">
        <v>11.541666666666666</v>
      </c>
      <c r="C385">
        <v>1.0624745680000001</v>
      </c>
      <c r="D385">
        <v>147.8423918</v>
      </c>
      <c r="E385">
        <v>5.0207824999999998E-2</v>
      </c>
      <c r="F385">
        <v>133.83883309999999</v>
      </c>
      <c r="G385">
        <v>135.6003795</v>
      </c>
      <c r="H385">
        <v>138.31003509999999</v>
      </c>
      <c r="I385">
        <v>142.83039429999999</v>
      </c>
      <c r="J385">
        <v>147.8423918</v>
      </c>
      <c r="K385">
        <v>152.84379440000001</v>
      </c>
      <c r="L385">
        <v>157.336476</v>
      </c>
      <c r="M385">
        <v>160.02132159999999</v>
      </c>
      <c r="N385">
        <v>161.7634371</v>
      </c>
    </row>
    <row r="386" spans="1:14" x14ac:dyDescent="0.25">
      <c r="A386">
        <v>2</v>
      </c>
      <c r="B386" s="13">
        <v>11.625</v>
      </c>
      <c r="C386">
        <v>1.1117270290000001</v>
      </c>
      <c r="D386">
        <v>148.4568879</v>
      </c>
      <c r="E386">
        <v>5.0025434000000001E-2</v>
      </c>
      <c r="F386">
        <v>134.4125492</v>
      </c>
      <c r="G386">
        <v>136.18305240000001</v>
      </c>
      <c r="H386">
        <v>138.9042785</v>
      </c>
      <c r="I386">
        <v>143.43813420000001</v>
      </c>
      <c r="J386">
        <v>148.4568879</v>
      </c>
      <c r="K386">
        <v>153.45675259999999</v>
      </c>
      <c r="L386">
        <v>157.94125740000001</v>
      </c>
      <c r="M386">
        <v>160.6182378</v>
      </c>
      <c r="N386">
        <v>162.3540831</v>
      </c>
    </row>
    <row r="387" spans="1:14" x14ac:dyDescent="0.25">
      <c r="A387">
        <v>2</v>
      </c>
      <c r="B387" s="13">
        <v>11.708333333333334</v>
      </c>
      <c r="C387">
        <v>1.1581351049999999</v>
      </c>
      <c r="D387">
        <v>149.0714413</v>
      </c>
      <c r="E387">
        <v>4.9805967E-2</v>
      </c>
      <c r="F387">
        <v>134.99926869999999</v>
      </c>
      <c r="G387">
        <v>136.77688040000001</v>
      </c>
      <c r="H387">
        <v>139.5069517</v>
      </c>
      <c r="I387">
        <v>144.05009089999999</v>
      </c>
      <c r="J387">
        <v>149.0714413</v>
      </c>
      <c r="K387">
        <v>154.06618030000001</v>
      </c>
      <c r="L387">
        <v>158.53978319999999</v>
      </c>
      <c r="M387">
        <v>161.2075007</v>
      </c>
      <c r="N387">
        <v>162.9362629</v>
      </c>
    </row>
    <row r="388" spans="1:14" x14ac:dyDescent="0.25">
      <c r="A388">
        <v>2</v>
      </c>
      <c r="B388" s="13">
        <v>11.791666666666666</v>
      </c>
      <c r="C388">
        <v>1.2010508209999999</v>
      </c>
      <c r="D388">
        <v>149.68389429999999</v>
      </c>
      <c r="E388">
        <v>4.9551023E-2</v>
      </c>
      <c r="F388">
        <v>135.59731389999999</v>
      </c>
      <c r="G388">
        <v>137.38005190000001</v>
      </c>
      <c r="H388">
        <v>140.11608240000001</v>
      </c>
      <c r="I388">
        <v>144.66413449999999</v>
      </c>
      <c r="J388">
        <v>149.68389429999999</v>
      </c>
      <c r="K388">
        <v>154.67002740000001</v>
      </c>
      <c r="L388">
        <v>159.13020180000001</v>
      </c>
      <c r="M388">
        <v>161.78741819999999</v>
      </c>
      <c r="N388">
        <v>163.5084028</v>
      </c>
    </row>
    <row r="389" spans="1:14" x14ac:dyDescent="0.25">
      <c r="A389">
        <v>2</v>
      </c>
      <c r="B389" s="13">
        <v>11.875</v>
      </c>
      <c r="C389">
        <v>1.239852328</v>
      </c>
      <c r="D389">
        <v>150.29203279999999</v>
      </c>
      <c r="E389">
        <v>4.9262895000000001E-2</v>
      </c>
      <c r="F389">
        <v>136.20469309999999</v>
      </c>
      <c r="G389">
        <v>137.9904798</v>
      </c>
      <c r="H389">
        <v>140.7294775</v>
      </c>
      <c r="I389">
        <v>145.27799859999999</v>
      </c>
      <c r="J389">
        <v>150.29203279999999</v>
      </c>
      <c r="K389">
        <v>155.26625340000001</v>
      </c>
      <c r="L389">
        <v>159.71071699999999</v>
      </c>
      <c r="M389">
        <v>162.35637539999999</v>
      </c>
      <c r="N389">
        <v>164.06901809999999</v>
      </c>
    </row>
    <row r="390" spans="1:14" x14ac:dyDescent="0.25">
      <c r="A390">
        <v>2</v>
      </c>
      <c r="B390" s="13">
        <v>11.958333333333334</v>
      </c>
      <c r="C390">
        <v>1.2740060580000001</v>
      </c>
      <c r="D390">
        <v>150.89364689999999</v>
      </c>
      <c r="E390">
        <v>4.8944504E-2</v>
      </c>
      <c r="F390">
        <v>136.81911740000001</v>
      </c>
      <c r="G390">
        <v>138.60582890000001</v>
      </c>
      <c r="H390">
        <v>141.34476620000001</v>
      </c>
      <c r="I390">
        <v>145.88933750000001</v>
      </c>
      <c r="J390">
        <v>150.89364689999999</v>
      </c>
      <c r="K390">
        <v>155.8528786</v>
      </c>
      <c r="L390">
        <v>160.27962260000001</v>
      </c>
      <c r="M390">
        <v>162.9128551</v>
      </c>
      <c r="N390">
        <v>164.61672340000001</v>
      </c>
    </row>
    <row r="391" spans="1:14" x14ac:dyDescent="0.25">
      <c r="A391">
        <v>2</v>
      </c>
      <c r="B391" s="13">
        <v>12.041666666666666</v>
      </c>
      <c r="C391">
        <v>1.3030446950000001</v>
      </c>
      <c r="D391">
        <v>151.48656360000001</v>
      </c>
      <c r="E391">
        <v>4.8599313999999998E-2</v>
      </c>
      <c r="F391">
        <v>137.43805549999999</v>
      </c>
      <c r="G391">
        <v>139.2235689</v>
      </c>
      <c r="H391">
        <v>141.95944710000001</v>
      </c>
      <c r="I391">
        <v>146.49576619999999</v>
      </c>
      <c r="J391">
        <v>151.48656360000001</v>
      </c>
      <c r="K391">
        <v>156.42801259999999</v>
      </c>
      <c r="L391">
        <v>160.83533109999999</v>
      </c>
      <c r="M391">
        <v>163.4554684</v>
      </c>
      <c r="N391">
        <v>165.15026470000001</v>
      </c>
    </row>
    <row r="392" spans="1:14" x14ac:dyDescent="0.25">
      <c r="A392">
        <v>2</v>
      </c>
      <c r="B392" s="13">
        <v>12.125</v>
      </c>
      <c r="C392">
        <v>1.3266059539999999</v>
      </c>
      <c r="D392">
        <v>152.06869850000001</v>
      </c>
      <c r="E392">
        <v>4.8231224000000003E-2</v>
      </c>
      <c r="F392">
        <v>138.05878039999999</v>
      </c>
      <c r="G392">
        <v>139.84102469999999</v>
      </c>
      <c r="H392">
        <v>142.57094420000001</v>
      </c>
      <c r="I392">
        <v>147.09491689999999</v>
      </c>
      <c r="J392">
        <v>152.06869850000001</v>
      </c>
      <c r="K392">
        <v>156.9898953</v>
      </c>
      <c r="L392">
        <v>161.37639949999999</v>
      </c>
      <c r="M392">
        <v>163.98297049999999</v>
      </c>
      <c r="N392">
        <v>165.66852850000001</v>
      </c>
    </row>
    <row r="393" spans="1:14" x14ac:dyDescent="0.25">
      <c r="A393">
        <v>2</v>
      </c>
      <c r="B393" s="13">
        <v>12.208333333333334</v>
      </c>
      <c r="C393">
        <v>1.344443447</v>
      </c>
      <c r="D393">
        <v>152.63809549999999</v>
      </c>
      <c r="E393">
        <v>4.7844442000000001E-2</v>
      </c>
      <c r="F393">
        <v>138.67843339999999</v>
      </c>
      <c r="G393">
        <v>140.4554388</v>
      </c>
      <c r="H393">
        <v>143.17666389999999</v>
      </c>
      <c r="I393">
        <v>147.6844892</v>
      </c>
      <c r="J393">
        <v>152.63809549999999</v>
      </c>
      <c r="K393">
        <v>157.53692620000001</v>
      </c>
      <c r="L393">
        <v>161.90155010000001</v>
      </c>
      <c r="M393">
        <v>164.49427639999999</v>
      </c>
      <c r="N393">
        <v>166.17055389999999</v>
      </c>
    </row>
    <row r="394" spans="1:14" x14ac:dyDescent="0.25">
      <c r="A394">
        <v>2</v>
      </c>
      <c r="B394" s="13">
        <v>12.291666666666666</v>
      </c>
      <c r="C394">
        <v>1.3564377729999999</v>
      </c>
      <c r="D394">
        <v>153.19296309999999</v>
      </c>
      <c r="E394">
        <v>4.7443362000000003E-2</v>
      </c>
      <c r="F394">
        <v>139.2940935</v>
      </c>
      <c r="G394">
        <v>141.06403599999999</v>
      </c>
      <c r="H394">
        <v>143.77405469999999</v>
      </c>
      <c r="I394">
        <v>148.26229789999999</v>
      </c>
      <c r="J394">
        <v>153.19296309999999</v>
      </c>
      <c r="K394">
        <v>158.06768869999999</v>
      </c>
      <c r="L394">
        <v>162.40968570000001</v>
      </c>
      <c r="M394">
        <v>164.98847050000001</v>
      </c>
      <c r="N394">
        <v>166.6555396</v>
      </c>
    </row>
    <row r="395" spans="1:14" x14ac:dyDescent="0.25">
      <c r="A395">
        <v>2</v>
      </c>
      <c r="B395" s="13">
        <v>12.375</v>
      </c>
      <c r="C395">
        <v>1.3626026950000001</v>
      </c>
      <c r="D395">
        <v>153.7317031</v>
      </c>
      <c r="E395">
        <v>4.703243E-2</v>
      </c>
      <c r="F395">
        <v>139.902849</v>
      </c>
      <c r="G395">
        <v>141.6640898</v>
      </c>
      <c r="H395">
        <v>144.36066310000001</v>
      </c>
      <c r="I395">
        <v>148.8263158</v>
      </c>
      <c r="J395">
        <v>153.7317031</v>
      </c>
      <c r="K395">
        <v>158.58096829999999</v>
      </c>
      <c r="L395">
        <v>162.89989850000001</v>
      </c>
      <c r="M395">
        <v>165.46481180000001</v>
      </c>
      <c r="N395">
        <v>167.12284589999999</v>
      </c>
    </row>
    <row r="396" spans="1:14" x14ac:dyDescent="0.25">
      <c r="A396">
        <v>2</v>
      </c>
      <c r="B396" s="13">
        <v>12.458333333333334</v>
      </c>
      <c r="C396">
        <v>1.3630857249999999</v>
      </c>
      <c r="D396">
        <v>154.2529332</v>
      </c>
      <c r="E396">
        <v>4.6616025999999998E-2</v>
      </c>
      <c r="F396">
        <v>140.50186969999999</v>
      </c>
      <c r="G396">
        <v>142.25298549999999</v>
      </c>
      <c r="H396">
        <v>144.9341866</v>
      </c>
      <c r="I396">
        <v>149.3747099</v>
      </c>
      <c r="J396">
        <v>154.2529332</v>
      </c>
      <c r="K396">
        <v>159.07576359999999</v>
      </c>
      <c r="L396">
        <v>163.3714746</v>
      </c>
      <c r="M396">
        <v>165.92273449999999</v>
      </c>
      <c r="N396">
        <v>167.5719943</v>
      </c>
    </row>
    <row r="397" spans="1:14" x14ac:dyDescent="0.25">
      <c r="A397">
        <v>2</v>
      </c>
      <c r="B397" s="13">
        <v>12.541666666666666</v>
      </c>
      <c r="C397">
        <v>1.358162799</v>
      </c>
      <c r="D397">
        <v>154.75550100000001</v>
      </c>
      <c r="E397">
        <v>4.6198356000000003E-2</v>
      </c>
      <c r="F397">
        <v>141.0884738</v>
      </c>
      <c r="G397">
        <v>142.8282787</v>
      </c>
      <c r="H397">
        <v>145.49251870000001</v>
      </c>
      <c r="I397">
        <v>149.9058698</v>
      </c>
      <c r="J397">
        <v>154.75550100000001</v>
      </c>
      <c r="K397">
        <v>159.5512908</v>
      </c>
      <c r="L397">
        <v>163.82389230000001</v>
      </c>
      <c r="M397">
        <v>166.36184449999999</v>
      </c>
      <c r="N397">
        <v>168.0026622</v>
      </c>
    </row>
    <row r="398" spans="1:14" x14ac:dyDescent="0.25">
      <c r="A398">
        <v>2</v>
      </c>
      <c r="B398" s="13">
        <v>12.625</v>
      </c>
      <c r="C398">
        <v>1.348227142</v>
      </c>
      <c r="D398">
        <v>155.23849039999999</v>
      </c>
      <c r="E398">
        <v>4.578335E-2</v>
      </c>
      <c r="F398">
        <v>141.66018829999999</v>
      </c>
      <c r="G398">
        <v>143.38774520000001</v>
      </c>
      <c r="H398">
        <v>146.03378660000001</v>
      </c>
      <c r="I398">
        <v>150.4184277</v>
      </c>
      <c r="J398">
        <v>155.23849039999999</v>
      </c>
      <c r="K398">
        <v>160.00698199999999</v>
      </c>
      <c r="L398">
        <v>164.2568163</v>
      </c>
      <c r="M398">
        <v>166.78191229999999</v>
      </c>
      <c r="N398">
        <v>168.41467589999999</v>
      </c>
    </row>
    <row r="399" spans="1:14" x14ac:dyDescent="0.25">
      <c r="A399">
        <v>2</v>
      </c>
      <c r="B399" s="13">
        <v>12.708333333333334</v>
      </c>
      <c r="C399">
        <v>1.3337729229999999</v>
      </c>
      <c r="D399">
        <v>155.7012216</v>
      </c>
      <c r="E399">
        <v>4.5374597000000003E-2</v>
      </c>
      <c r="F399">
        <v>142.21479840000001</v>
      </c>
      <c r="G399">
        <v>143.9294218</v>
      </c>
      <c r="H399">
        <v>146.5563788</v>
      </c>
      <c r="I399">
        <v>150.91127030000001</v>
      </c>
      <c r="J399">
        <v>155.7012216</v>
      </c>
      <c r="K399">
        <v>160.4424774</v>
      </c>
      <c r="L399">
        <v>164.6700879</v>
      </c>
      <c r="M399">
        <v>167.18286269999999</v>
      </c>
      <c r="N399">
        <v>168.80800120000001</v>
      </c>
    </row>
    <row r="400" spans="1:14" x14ac:dyDescent="0.25">
      <c r="A400">
        <v>2</v>
      </c>
      <c r="B400" s="13">
        <v>12.791666666666666</v>
      </c>
      <c r="C400">
        <v>1.3153747039999999</v>
      </c>
      <c r="D400">
        <v>156.14324379999999</v>
      </c>
      <c r="E400">
        <v>4.4975280999999999E-2</v>
      </c>
      <c r="F400">
        <v>142.7503859</v>
      </c>
      <c r="G400">
        <v>144.45163539999999</v>
      </c>
      <c r="H400">
        <v>147.0589626</v>
      </c>
      <c r="I400">
        <v>151.38354129999999</v>
      </c>
      <c r="J400">
        <v>156.14324379999999</v>
      </c>
      <c r="K400">
        <v>160.85761389999999</v>
      </c>
      <c r="L400">
        <v>165.06371179999999</v>
      </c>
      <c r="M400">
        <v>167.56476309999999</v>
      </c>
      <c r="N400">
        <v>169.18273170000001</v>
      </c>
    </row>
    <row r="401" spans="1:14" x14ac:dyDescent="0.25">
      <c r="A401">
        <v>2</v>
      </c>
      <c r="B401" s="13">
        <v>12.875</v>
      </c>
      <c r="C401">
        <v>1.2936640239999999</v>
      </c>
      <c r="D401">
        <v>156.564323</v>
      </c>
      <c r="E401">
        <v>4.4588148000000001E-2</v>
      </c>
      <c r="F401">
        <v>143.26535440000001</v>
      </c>
      <c r="G401">
        <v>144.95302050000001</v>
      </c>
      <c r="H401">
        <v>147.5404925</v>
      </c>
      <c r="I401">
        <v>151.83463810000001</v>
      </c>
      <c r="J401">
        <v>156.564323</v>
      </c>
      <c r="K401">
        <v>161.252409</v>
      </c>
      <c r="L401">
        <v>165.4378408</v>
      </c>
      <c r="M401">
        <v>167.92780930000001</v>
      </c>
      <c r="N401">
        <v>169.53907659999999</v>
      </c>
    </row>
    <row r="402" spans="1:14" x14ac:dyDescent="0.25">
      <c r="A402">
        <v>2</v>
      </c>
      <c r="B402" s="13">
        <v>12.958333333333334</v>
      </c>
      <c r="C402">
        <v>1.2693046779999999</v>
      </c>
      <c r="D402">
        <v>156.96442579999999</v>
      </c>
      <c r="E402">
        <v>4.4215487999999997E-2</v>
      </c>
      <c r="F402">
        <v>143.7584411</v>
      </c>
      <c r="G402">
        <v>145.4325259</v>
      </c>
      <c r="H402">
        <v>148.00020850000001</v>
      </c>
      <c r="I402">
        <v>152.2642007</v>
      </c>
      <c r="J402">
        <v>156.96442579999999</v>
      </c>
      <c r="K402">
        <v>161.6270427</v>
      </c>
      <c r="L402">
        <v>165.7927589</v>
      </c>
      <c r="M402">
        <v>168.27231040000001</v>
      </c>
      <c r="N402">
        <v>169.87734710000001</v>
      </c>
    </row>
    <row r="403" spans="1:14" x14ac:dyDescent="0.25">
      <c r="A403">
        <v>2</v>
      </c>
      <c r="B403" s="13">
        <v>13.041666666666666</v>
      </c>
      <c r="C403">
        <v>1.2429682360000001</v>
      </c>
      <c r="D403">
        <v>157.34369950000001</v>
      </c>
      <c r="E403">
        <v>4.3859135E-2</v>
      </c>
      <c r="F403">
        <v>144.22871789999999</v>
      </c>
      <c r="G403">
        <v>145.88941059999999</v>
      </c>
      <c r="H403">
        <v>148.43762699999999</v>
      </c>
      <c r="I403">
        <v>152.67209560000001</v>
      </c>
      <c r="J403">
        <v>157.34369950000001</v>
      </c>
      <c r="K403">
        <v>161.9818377</v>
      </c>
      <c r="L403">
        <v>166.1288638</v>
      </c>
      <c r="M403">
        <v>168.59867360000001</v>
      </c>
      <c r="N403">
        <v>170.1979436</v>
      </c>
    </row>
    <row r="404" spans="1:14" x14ac:dyDescent="0.25">
      <c r="A404">
        <v>2</v>
      </c>
      <c r="B404" s="13">
        <v>13.125</v>
      </c>
      <c r="C404">
        <v>1.2153112699999999</v>
      </c>
      <c r="D404">
        <v>157.70245070000001</v>
      </c>
      <c r="E404">
        <v>4.352048E-2</v>
      </c>
      <c r="F404">
        <v>144.6755805</v>
      </c>
      <c r="G404">
        <v>146.3232308</v>
      </c>
      <c r="H404">
        <v>148.8525242</v>
      </c>
      <c r="I404">
        <v>153.05839660000001</v>
      </c>
      <c r="J404">
        <v>157.70245070000001</v>
      </c>
      <c r="K404">
        <v>162.317239</v>
      </c>
      <c r="L404">
        <v>166.44664879999999</v>
      </c>
      <c r="M404">
        <v>168.90738920000001</v>
      </c>
      <c r="N404">
        <v>170.5013414</v>
      </c>
    </row>
    <row r="405" spans="1:14" x14ac:dyDescent="0.25">
      <c r="A405">
        <v>2</v>
      </c>
      <c r="B405" s="13">
        <v>13.208333333333334</v>
      </c>
      <c r="C405">
        <v>1.1869554769999999</v>
      </c>
      <c r="D405">
        <v>158.04112330000001</v>
      </c>
      <c r="E405">
        <v>4.3200496999999997E-2</v>
      </c>
      <c r="F405">
        <v>145.09872920000001</v>
      </c>
      <c r="G405">
        <v>146.7338197</v>
      </c>
      <c r="H405">
        <v>149.24491470000001</v>
      </c>
      <c r="I405">
        <v>153.42336109999999</v>
      </c>
      <c r="J405">
        <v>158.04112330000001</v>
      </c>
      <c r="K405">
        <v>162.633793</v>
      </c>
      <c r="L405">
        <v>166.74668589999999</v>
      </c>
      <c r="M405">
        <v>169.1990151</v>
      </c>
      <c r="N405">
        <v>170.78807839999999</v>
      </c>
    </row>
    <row r="406" spans="1:14" x14ac:dyDescent="0.25">
      <c r="A406">
        <v>2</v>
      </c>
      <c r="B406" s="13">
        <v>13.291666666666666</v>
      </c>
      <c r="C406">
        <v>1.1584715219999999</v>
      </c>
      <c r="D406">
        <v>158.36027559999999</v>
      </c>
      <c r="E406">
        <v>4.2899776000000001E-2</v>
      </c>
      <c r="F406">
        <v>145.49814259999999</v>
      </c>
      <c r="G406">
        <v>147.12126129999999</v>
      </c>
      <c r="H406">
        <v>149.61502590000001</v>
      </c>
      <c r="I406">
        <v>153.76740659999999</v>
      </c>
      <c r="J406">
        <v>158.36027559999999</v>
      </c>
      <c r="K406">
        <v>162.93212819999999</v>
      </c>
      <c r="L406">
        <v>167.02960870000001</v>
      </c>
      <c r="M406">
        <v>169.474163</v>
      </c>
      <c r="N406">
        <v>171.0587419</v>
      </c>
    </row>
    <row r="407" spans="1:14" x14ac:dyDescent="0.25">
      <c r="A407">
        <v>2</v>
      </c>
      <c r="B407" s="13">
        <v>13.375</v>
      </c>
      <c r="C407">
        <v>1.1303670880000001</v>
      </c>
      <c r="D407">
        <v>158.66055879999999</v>
      </c>
      <c r="E407">
        <v>4.2618564999999997E-2</v>
      </c>
      <c r="F407">
        <v>145.8740473</v>
      </c>
      <c r="G407">
        <v>147.48586109999999</v>
      </c>
      <c r="H407">
        <v>149.9632704</v>
      </c>
      <c r="I407">
        <v>154.09108560000001</v>
      </c>
      <c r="J407">
        <v>158.66055879999999</v>
      </c>
      <c r="K407">
        <v>163.21293679999999</v>
      </c>
      <c r="L407">
        <v>167.29609780000001</v>
      </c>
      <c r="M407">
        <v>169.73348490000001</v>
      </c>
      <c r="N407">
        <v>171.31395749999999</v>
      </c>
    </row>
    <row r="408" spans="1:14" x14ac:dyDescent="0.25">
      <c r="A408">
        <v>2</v>
      </c>
      <c r="B408" s="13">
        <v>13.458333333333334</v>
      </c>
      <c r="C408">
        <v>1.1030792089999999</v>
      </c>
      <c r="D408">
        <v>158.94269639999999</v>
      </c>
      <c r="E408">
        <v>4.2356812000000001E-2</v>
      </c>
      <c r="F408">
        <v>146.22688360000001</v>
      </c>
      <c r="G408">
        <v>147.8281145</v>
      </c>
      <c r="H408">
        <v>150.29021739999999</v>
      </c>
      <c r="I408">
        <v>154.39506080000001</v>
      </c>
      <c r="J408">
        <v>158.94269639999999</v>
      </c>
      <c r="K408">
        <v>163.476957</v>
      </c>
      <c r="L408">
        <v>167.5468664</v>
      </c>
      <c r="M408">
        <v>169.97766179999999</v>
      </c>
      <c r="N408">
        <v>171.5543778</v>
      </c>
    </row>
    <row r="409" spans="1:14" x14ac:dyDescent="0.25">
      <c r="A409">
        <v>2</v>
      </c>
      <c r="B409" s="13">
        <v>13.541666666666666</v>
      </c>
      <c r="C409">
        <v>1.076970655</v>
      </c>
      <c r="D409">
        <v>159.20746539999999</v>
      </c>
      <c r="E409">
        <v>4.2114210999999999E-2</v>
      </c>
      <c r="F409">
        <v>146.55727139999999</v>
      </c>
      <c r="G409">
        <v>148.148675</v>
      </c>
      <c r="H409">
        <v>150.5965645</v>
      </c>
      <c r="I409">
        <v>154.6800825</v>
      </c>
      <c r="J409">
        <v>159.20746539999999</v>
      </c>
      <c r="K409">
        <v>163.7249588</v>
      </c>
      <c r="L409">
        <v>167.78264809999999</v>
      </c>
      <c r="M409">
        <v>170.207392</v>
      </c>
      <c r="N409">
        <v>171.78067300000001</v>
      </c>
    </row>
    <row r="410" spans="1:14" x14ac:dyDescent="0.25">
      <c r="A410">
        <v>2</v>
      </c>
      <c r="B410" s="13">
        <v>13.625</v>
      </c>
      <c r="C410">
        <v>1.052329922</v>
      </c>
      <c r="D410">
        <v>159.455679</v>
      </c>
      <c r="E410">
        <v>4.1890246999999999E-2</v>
      </c>
      <c r="F410">
        <v>146.8659759</v>
      </c>
      <c r="G410">
        <v>148.44832249999999</v>
      </c>
      <c r="H410">
        <v>150.88310970000001</v>
      </c>
      <c r="I410">
        <v>154.94696590000001</v>
      </c>
      <c r="J410">
        <v>159.455679</v>
      </c>
      <c r="K410">
        <v>163.95772969999999</v>
      </c>
      <c r="L410">
        <v>168.0041861</v>
      </c>
      <c r="M410">
        <v>170.42338219999999</v>
      </c>
      <c r="N410">
        <v>171.99352189999999</v>
      </c>
    </row>
    <row r="411" spans="1:14" x14ac:dyDescent="0.25">
      <c r="A411">
        <v>2</v>
      </c>
      <c r="B411" s="13">
        <v>13.708333333333334</v>
      </c>
      <c r="C411">
        <v>1.029374161</v>
      </c>
      <c r="D411">
        <v>159.68817200000001</v>
      </c>
      <c r="E411">
        <v>4.1684239999999997E-2</v>
      </c>
      <c r="F411">
        <v>147.15387519999999</v>
      </c>
      <c r="G411">
        <v>148.72793419999999</v>
      </c>
      <c r="H411">
        <v>151.15072670000001</v>
      </c>
      <c r="I411">
        <v>155.19657179999999</v>
      </c>
      <c r="J411">
        <v>159.68817200000001</v>
      </c>
      <c r="K411">
        <v>164.17606369999999</v>
      </c>
      <c r="L411">
        <v>168.21222409999999</v>
      </c>
      <c r="M411">
        <v>170.62633919999999</v>
      </c>
      <c r="N411">
        <v>172.19360470000001</v>
      </c>
    </row>
    <row r="412" spans="1:14" x14ac:dyDescent="0.25">
      <c r="A412">
        <v>2</v>
      </c>
      <c r="B412" s="13">
        <v>13.791666666666666</v>
      </c>
      <c r="C412">
        <v>1.0082543960000001</v>
      </c>
      <c r="D412">
        <v>159.9057871</v>
      </c>
      <c r="E412">
        <v>4.1495378999999999E-2</v>
      </c>
      <c r="F412">
        <v>147.42193040000001</v>
      </c>
      <c r="G412">
        <v>148.98845739999999</v>
      </c>
      <c r="H412">
        <v>151.4003414</v>
      </c>
      <c r="I412">
        <v>155.42978880000001</v>
      </c>
      <c r="J412">
        <v>159.9057871</v>
      </c>
      <c r="K412">
        <v>164.38075140000001</v>
      </c>
      <c r="L412">
        <v>168.40749829999999</v>
      </c>
      <c r="M412">
        <v>170.81696289999999</v>
      </c>
      <c r="N412">
        <v>172.38159590000001</v>
      </c>
    </row>
    <row r="413" spans="1:14" x14ac:dyDescent="0.25">
      <c r="A413">
        <v>2</v>
      </c>
      <c r="B413" s="13">
        <v>13.875</v>
      </c>
      <c r="C413">
        <v>0.98906228200000001</v>
      </c>
      <c r="D413">
        <v>160.10936469999999</v>
      </c>
      <c r="E413">
        <v>4.1322764999999997E-2</v>
      </c>
      <c r="F413">
        <v>147.67115849999999</v>
      </c>
      <c r="G413">
        <v>149.23088519999999</v>
      </c>
      <c r="H413">
        <v>151.63291150000001</v>
      </c>
      <c r="I413">
        <v>155.6475179</v>
      </c>
      <c r="J413">
        <v>160.10936469999999</v>
      </c>
      <c r="K413">
        <v>164.57257200000001</v>
      </c>
      <c r="L413">
        <v>168.59073129999999</v>
      </c>
      <c r="M413">
        <v>170.99594070000001</v>
      </c>
      <c r="N413">
        <v>172.55815910000001</v>
      </c>
    </row>
    <row r="414" spans="1:14" x14ac:dyDescent="0.25">
      <c r="A414">
        <v>2</v>
      </c>
      <c r="B414" s="13">
        <v>13.958333333333334</v>
      </c>
      <c r="C414">
        <v>0.971837799</v>
      </c>
      <c r="D414">
        <v>160.299733</v>
      </c>
      <c r="E414">
        <v>4.1165436999999999E-2</v>
      </c>
      <c r="F414">
        <v>147.90260900000001</v>
      </c>
      <c r="G414">
        <v>149.45623549999999</v>
      </c>
      <c r="H414">
        <v>151.8494087</v>
      </c>
      <c r="I414">
        <v>155.85065979999999</v>
      </c>
      <c r="J414">
        <v>160.299733</v>
      </c>
      <c r="K414">
        <v>164.75228680000001</v>
      </c>
      <c r="L414">
        <v>168.76262679999999</v>
      </c>
      <c r="M414">
        <v>171.1639423</v>
      </c>
      <c r="N414">
        <v>172.72394259999999</v>
      </c>
    </row>
    <row r="415" spans="1:14" x14ac:dyDescent="0.25">
      <c r="A415">
        <v>2</v>
      </c>
      <c r="B415" s="13">
        <v>14.041666666666666</v>
      </c>
      <c r="C415">
        <v>0.95657214999999995</v>
      </c>
      <c r="D415">
        <v>160.47769959999999</v>
      </c>
      <c r="E415">
        <v>4.1022401E-2</v>
      </c>
      <c r="F415">
        <v>148.1173446</v>
      </c>
      <c r="G415">
        <v>149.6655332</v>
      </c>
      <c r="H415">
        <v>152.05080330000001</v>
      </c>
      <c r="I415">
        <v>156.04010239999999</v>
      </c>
      <c r="J415">
        <v>160.47769959999999</v>
      </c>
      <c r="K415">
        <v>164.92063300000001</v>
      </c>
      <c r="L415">
        <v>168.92386540000001</v>
      </c>
      <c r="M415">
        <v>171.32161740000001</v>
      </c>
      <c r="N415">
        <v>172.87957639999999</v>
      </c>
    </row>
    <row r="416" spans="1:14" x14ac:dyDescent="0.25">
      <c r="A416">
        <v>2</v>
      </c>
      <c r="B416" s="13">
        <v>14.125</v>
      </c>
      <c r="C416">
        <v>0.94324227999999999</v>
      </c>
      <c r="D416">
        <v>160.64405260000001</v>
      </c>
      <c r="E416">
        <v>4.0892651000000002E-2</v>
      </c>
      <c r="F416">
        <v>148.31641859999999</v>
      </c>
      <c r="G416">
        <v>149.85979259999999</v>
      </c>
      <c r="H416">
        <v>152.23805300000001</v>
      </c>
      <c r="I416">
        <v>156.21671749999999</v>
      </c>
      <c r="J416">
        <v>160.64405260000001</v>
      </c>
      <c r="K416">
        <v>165.07832479999999</v>
      </c>
      <c r="L416">
        <v>169.07510260000001</v>
      </c>
      <c r="M416">
        <v>171.46958900000001</v>
      </c>
      <c r="N416">
        <v>173.02566379999999</v>
      </c>
    </row>
    <row r="417" spans="1:14" x14ac:dyDescent="0.25">
      <c r="A417">
        <v>2</v>
      </c>
      <c r="B417" s="13">
        <v>14.208333333333334</v>
      </c>
      <c r="C417">
        <v>0.93176706200000003</v>
      </c>
      <c r="D417">
        <v>160.79954280000001</v>
      </c>
      <c r="E417">
        <v>4.0775193000000001E-2</v>
      </c>
      <c r="F417">
        <v>148.5008727</v>
      </c>
      <c r="G417">
        <v>150.04001070000001</v>
      </c>
      <c r="H417">
        <v>152.4120911</v>
      </c>
      <c r="I417">
        <v>156.3813442</v>
      </c>
      <c r="J417">
        <v>160.79954280000001</v>
      </c>
      <c r="K417">
        <v>165.2260411</v>
      </c>
      <c r="L417">
        <v>169.21696510000001</v>
      </c>
      <c r="M417">
        <v>171.60845789999999</v>
      </c>
      <c r="N417">
        <v>173.16279059999999</v>
      </c>
    </row>
    <row r="418" spans="1:14" x14ac:dyDescent="0.25">
      <c r="A418">
        <v>2</v>
      </c>
      <c r="B418" s="13">
        <v>14.291666666666666</v>
      </c>
      <c r="C418">
        <v>0.92205829100000003</v>
      </c>
      <c r="D418">
        <v>160.94489160000001</v>
      </c>
      <c r="E418">
        <v>4.0669051999999997E-2</v>
      </c>
      <c r="F418">
        <v>148.67171630000001</v>
      </c>
      <c r="G418">
        <v>150.20715319999999</v>
      </c>
      <c r="H418">
        <v>152.5738202</v>
      </c>
      <c r="I418">
        <v>156.53479139999999</v>
      </c>
      <c r="J418">
        <v>160.94489160000001</v>
      </c>
      <c r="K418">
        <v>165.36443159999999</v>
      </c>
      <c r="L418">
        <v>169.35005039999999</v>
      </c>
      <c r="M418">
        <v>171.7387957</v>
      </c>
      <c r="N418">
        <v>173.29151379999999</v>
      </c>
    </row>
    <row r="419" spans="1:14" x14ac:dyDescent="0.25">
      <c r="A419">
        <v>2</v>
      </c>
      <c r="B419" s="13">
        <v>14.375</v>
      </c>
      <c r="C419">
        <v>0.91401264299999996</v>
      </c>
      <c r="D419">
        <v>161.08078570000001</v>
      </c>
      <c r="E419">
        <v>4.0573287999999999E-2</v>
      </c>
      <c r="F419">
        <v>148.8299213</v>
      </c>
      <c r="G419">
        <v>150.36214820000001</v>
      </c>
      <c r="H419">
        <v>152.7241057</v>
      </c>
      <c r="I419">
        <v>156.67783209999999</v>
      </c>
      <c r="J419">
        <v>161.08078570000001</v>
      </c>
      <c r="K419">
        <v>165.49411330000001</v>
      </c>
      <c r="L419">
        <v>169.4749261</v>
      </c>
      <c r="M419">
        <v>171.86114610000001</v>
      </c>
      <c r="N419">
        <v>173.4123635</v>
      </c>
    </row>
    <row r="420" spans="1:14" x14ac:dyDescent="0.25">
      <c r="A420">
        <v>2</v>
      </c>
      <c r="B420" s="13">
        <v>14.458333333333334</v>
      </c>
      <c r="C420">
        <v>0.90751691700000003</v>
      </c>
      <c r="D420">
        <v>161.2078755</v>
      </c>
      <c r="E420">
        <v>4.0487005E-2</v>
      </c>
      <c r="F420">
        <v>148.976416</v>
      </c>
      <c r="G420">
        <v>150.5058813</v>
      </c>
      <c r="H420">
        <v>152.86377210000001</v>
      </c>
      <c r="I420">
        <v>156.8112003</v>
      </c>
      <c r="J420">
        <v>161.2078755</v>
      </c>
      <c r="K420">
        <v>165.61566970000001</v>
      </c>
      <c r="L420">
        <v>169.59212909999999</v>
      </c>
      <c r="M420">
        <v>171.97602420000001</v>
      </c>
      <c r="N420">
        <v>173.5258431</v>
      </c>
    </row>
    <row r="421" spans="1:14" x14ac:dyDescent="0.25">
      <c r="A421">
        <v>2</v>
      </c>
      <c r="B421" s="13">
        <v>14.541666666666666</v>
      </c>
      <c r="C421">
        <v>0.90245243600000002</v>
      </c>
      <c r="D421">
        <v>161.32677440000001</v>
      </c>
      <c r="E421">
        <v>4.0409354000000001E-2</v>
      </c>
      <c r="F421">
        <v>149.11208139999999</v>
      </c>
      <c r="G421">
        <v>150.63919229999999</v>
      </c>
      <c r="H421">
        <v>152.99360010000001</v>
      </c>
      <c r="I421">
        <v>156.93558959999999</v>
      </c>
      <c r="J421">
        <v>161.32677440000001</v>
      </c>
      <c r="K421">
        <v>165.7296508</v>
      </c>
      <c r="L421">
        <v>169.70216619999999</v>
      </c>
      <c r="M421">
        <v>172.0839168</v>
      </c>
      <c r="N421">
        <v>173.63242869999999</v>
      </c>
    </row>
    <row r="422" spans="1:14" x14ac:dyDescent="0.25">
      <c r="A422">
        <v>2</v>
      </c>
      <c r="B422" s="13">
        <v>14.625</v>
      </c>
      <c r="C422">
        <v>0.89869864099999996</v>
      </c>
      <c r="D422">
        <v>161.43805929999999</v>
      </c>
      <c r="E422">
        <v>4.0339537000000002E-2</v>
      </c>
      <c r="F422">
        <v>149.23774850000001</v>
      </c>
      <c r="G422">
        <v>150.76287289999999</v>
      </c>
      <c r="H422">
        <v>153.1143251</v>
      </c>
      <c r="I422">
        <v>157.05165289999999</v>
      </c>
      <c r="J422">
        <v>161.43805929999999</v>
      </c>
      <c r="K422">
        <v>165.8365737</v>
      </c>
      <c r="L422">
        <v>169.8055142</v>
      </c>
      <c r="M422">
        <v>172.18528240000001</v>
      </c>
      <c r="N422">
        <v>173.73256939999999</v>
      </c>
    </row>
    <row r="423" spans="1:14" x14ac:dyDescent="0.25">
      <c r="A423">
        <v>2</v>
      </c>
      <c r="B423" s="13">
        <v>14.708333333333334</v>
      </c>
      <c r="C423">
        <v>0.89614348200000005</v>
      </c>
      <c r="D423">
        <v>161.54227259999999</v>
      </c>
      <c r="E423">
        <v>4.0276811000000003E-2</v>
      </c>
      <c r="F423">
        <v>149.35419540000001</v>
      </c>
      <c r="G423">
        <v>150.87766500000001</v>
      </c>
      <c r="H423">
        <v>153.2266371</v>
      </c>
      <c r="I423">
        <v>157.1600033</v>
      </c>
      <c r="J423">
        <v>161.54227259999999</v>
      </c>
      <c r="K423">
        <v>165.93692480000001</v>
      </c>
      <c r="L423">
        <v>169.90262089999999</v>
      </c>
      <c r="M423">
        <v>172.28055140000001</v>
      </c>
      <c r="N423">
        <v>173.82668630000001</v>
      </c>
    </row>
    <row r="424" spans="1:14" x14ac:dyDescent="0.25">
      <c r="A424">
        <v>2</v>
      </c>
      <c r="B424" s="13">
        <v>14.791666666666666</v>
      </c>
      <c r="C424">
        <v>0.89465966799999996</v>
      </c>
      <c r="D424">
        <v>161.639917</v>
      </c>
      <c r="E424">
        <v>4.0220487999999999E-2</v>
      </c>
      <c r="F424">
        <v>149.46215319999999</v>
      </c>
      <c r="G424">
        <v>150.9842639</v>
      </c>
      <c r="H424">
        <v>153.33118039999999</v>
      </c>
      <c r="I424">
        <v>157.2612106</v>
      </c>
      <c r="J424">
        <v>161.639917</v>
      </c>
      <c r="K424">
        <v>166.03115560000001</v>
      </c>
      <c r="L424">
        <v>169.99390560000001</v>
      </c>
      <c r="M424">
        <v>172.37012970000001</v>
      </c>
      <c r="N424">
        <v>173.91517880000001</v>
      </c>
    </row>
    <row r="425" spans="1:14" x14ac:dyDescent="0.25">
      <c r="A425">
        <v>2</v>
      </c>
      <c r="B425" s="13">
        <v>14.875</v>
      </c>
      <c r="C425">
        <v>0.89413891999999995</v>
      </c>
      <c r="D425">
        <v>161.73146449999999</v>
      </c>
      <c r="E425">
        <v>4.0169931999999998E-2</v>
      </c>
      <c r="F425">
        <v>149.56229930000001</v>
      </c>
      <c r="G425">
        <v>151.08331530000001</v>
      </c>
      <c r="H425">
        <v>153.42855520000001</v>
      </c>
      <c r="I425">
        <v>157.35580809999999</v>
      </c>
      <c r="J425">
        <v>161.73146449999999</v>
      </c>
      <c r="K425">
        <v>166.1196904</v>
      </c>
      <c r="L425">
        <v>170.0797608</v>
      </c>
      <c r="M425">
        <v>172.45439569999999</v>
      </c>
      <c r="N425">
        <v>173.99841850000001</v>
      </c>
    </row>
    <row r="426" spans="1:14" x14ac:dyDescent="0.25">
      <c r="A426">
        <v>2</v>
      </c>
      <c r="B426" s="13">
        <v>14.958333333333334</v>
      </c>
      <c r="C426">
        <v>0.89447537099999996</v>
      </c>
      <c r="D426">
        <v>161.8173534</v>
      </c>
      <c r="E426">
        <v>4.0124562000000003E-2</v>
      </c>
      <c r="F426">
        <v>149.6552628</v>
      </c>
      <c r="G426">
        <v>151.1754186</v>
      </c>
      <c r="H426">
        <v>153.5193185</v>
      </c>
      <c r="I426">
        <v>157.4442908</v>
      </c>
      <c r="J426">
        <v>161.8173534</v>
      </c>
      <c r="K426">
        <v>166.202924</v>
      </c>
      <c r="L426">
        <v>170.16055299999999</v>
      </c>
      <c r="M426">
        <v>172.53370380000001</v>
      </c>
      <c r="N426">
        <v>174.07675380000001</v>
      </c>
    </row>
    <row r="427" spans="1:14" x14ac:dyDescent="0.25">
      <c r="A427">
        <v>2</v>
      </c>
      <c r="B427" s="13">
        <v>15.041666666666666</v>
      </c>
      <c r="C427">
        <v>0.89556983400000001</v>
      </c>
      <c r="D427">
        <v>161.8979913</v>
      </c>
      <c r="E427">
        <v>4.0083845E-2</v>
      </c>
      <c r="F427">
        <v>149.7416255</v>
      </c>
      <c r="G427">
        <v>151.2611287</v>
      </c>
      <c r="H427">
        <v>153.6039864</v>
      </c>
      <c r="I427">
        <v>157.52711780000001</v>
      </c>
      <c r="J427">
        <v>161.8979913</v>
      </c>
      <c r="K427">
        <v>166.28122400000001</v>
      </c>
      <c r="L427">
        <v>170.23662400000001</v>
      </c>
      <c r="M427">
        <v>172.6083849</v>
      </c>
      <c r="N427">
        <v>174.15051020000001</v>
      </c>
    </row>
    <row r="428" spans="1:14" x14ac:dyDescent="0.25">
      <c r="A428">
        <v>2</v>
      </c>
      <c r="B428" s="13">
        <v>15.125</v>
      </c>
      <c r="C428">
        <v>0.89733020900000005</v>
      </c>
      <c r="D428">
        <v>161.97375579999999</v>
      </c>
      <c r="E428">
        <v>4.0047294999999997E-2</v>
      </c>
      <c r="F428">
        <v>149.82192420000001</v>
      </c>
      <c r="G428">
        <v>151.3409575</v>
      </c>
      <c r="H428">
        <v>153.68303560000001</v>
      </c>
      <c r="I428">
        <v>157.60471390000001</v>
      </c>
      <c r="J428">
        <v>161.97375579999999</v>
      </c>
      <c r="K428">
        <v>166.35493210000001</v>
      </c>
      <c r="L428">
        <v>170.30829209999999</v>
      </c>
      <c r="M428">
        <v>172.6787478</v>
      </c>
      <c r="N428">
        <v>174.2199918</v>
      </c>
    </row>
    <row r="429" spans="1:14" x14ac:dyDescent="0.25">
      <c r="A429">
        <v>2</v>
      </c>
      <c r="B429" s="13">
        <v>15.208333333333334</v>
      </c>
      <c r="C429">
        <v>0.89967163500000003</v>
      </c>
      <c r="D429">
        <v>162.0449969</v>
      </c>
      <c r="E429">
        <v>4.0014473000000002E-2</v>
      </c>
      <c r="F429">
        <v>149.8966533</v>
      </c>
      <c r="G429">
        <v>151.41537700000001</v>
      </c>
      <c r="H429">
        <v>153.7569057</v>
      </c>
      <c r="I429">
        <v>157.6774719</v>
      </c>
      <c r="J429">
        <v>162.0449969</v>
      </c>
      <c r="K429">
        <v>166.42436549999999</v>
      </c>
      <c r="L429">
        <v>170.37585390000001</v>
      </c>
      <c r="M429">
        <v>172.74507990000001</v>
      </c>
      <c r="N429">
        <v>174.28548190000001</v>
      </c>
    </row>
    <row r="430" spans="1:14" x14ac:dyDescent="0.25">
      <c r="A430">
        <v>2</v>
      </c>
      <c r="B430" s="13">
        <v>15.291666666666666</v>
      </c>
      <c r="C430">
        <v>0.90251644200000003</v>
      </c>
      <c r="D430">
        <v>162.11203860000001</v>
      </c>
      <c r="E430">
        <v>3.9984980000000003E-2</v>
      </c>
      <c r="F430">
        <v>149.9662668</v>
      </c>
      <c r="G430">
        <v>151.48482079999999</v>
      </c>
      <c r="H430">
        <v>153.82600149999999</v>
      </c>
      <c r="I430">
        <v>157.74575390000001</v>
      </c>
      <c r="J430">
        <v>162.11203860000001</v>
      </c>
      <c r="K430">
        <v>166.48981879999999</v>
      </c>
      <c r="L430">
        <v>170.43958470000001</v>
      </c>
      <c r="M430">
        <v>172.80764909999999</v>
      </c>
      <c r="N430">
        <v>174.3472447</v>
      </c>
    </row>
    <row r="431" spans="1:14" x14ac:dyDescent="0.25">
      <c r="A431">
        <v>2</v>
      </c>
      <c r="B431" s="13">
        <v>15.375</v>
      </c>
      <c r="C431">
        <v>0.90579396899999998</v>
      </c>
      <c r="D431">
        <v>162.17518000000001</v>
      </c>
      <c r="E431">
        <v>3.9958458000000002E-2</v>
      </c>
      <c r="F431">
        <v>150.03118119999999</v>
      </c>
      <c r="G431">
        <v>151.54968740000001</v>
      </c>
      <c r="H431">
        <v>153.8906954</v>
      </c>
      <c r="I431">
        <v>157.80989400000001</v>
      </c>
      <c r="J431">
        <v>162.17518000000001</v>
      </c>
      <c r="K431">
        <v>166.5515647</v>
      </c>
      <c r="L431">
        <v>170.49974080000001</v>
      </c>
      <c r="M431">
        <v>172.8667045</v>
      </c>
      <c r="N431">
        <v>174.40552600000001</v>
      </c>
    </row>
    <row r="432" spans="1:14" x14ac:dyDescent="0.25">
      <c r="A432">
        <v>2</v>
      </c>
      <c r="B432" s="13">
        <v>15.458333333333334</v>
      </c>
      <c r="C432">
        <v>0.90944026600000005</v>
      </c>
      <c r="D432">
        <v>162.23469789999999</v>
      </c>
      <c r="E432">
        <v>3.9934584000000002E-2</v>
      </c>
      <c r="F432">
        <v>150.09177840000001</v>
      </c>
      <c r="G432">
        <v>151.610342</v>
      </c>
      <c r="H432">
        <v>153.95132899999999</v>
      </c>
      <c r="I432">
        <v>157.87019979999999</v>
      </c>
      <c r="J432">
        <v>162.23469789999999</v>
      </c>
      <c r="K432">
        <v>166.6098562</v>
      </c>
      <c r="L432">
        <v>170.5565599</v>
      </c>
      <c r="M432">
        <v>172.9224777</v>
      </c>
      <c r="N432">
        <v>174.4605545</v>
      </c>
    </row>
    <row r="433" spans="1:14" x14ac:dyDescent="0.25">
      <c r="A433">
        <v>2</v>
      </c>
      <c r="B433" s="13">
        <v>15.541666666666666</v>
      </c>
      <c r="C433">
        <v>0.91339773300000004</v>
      </c>
      <c r="D433">
        <v>162.29084739999999</v>
      </c>
      <c r="E433">
        <v>3.9913065999999997E-2</v>
      </c>
      <c r="F433">
        <v>150.1484074</v>
      </c>
      <c r="G433">
        <v>151.6671193</v>
      </c>
      <c r="H433">
        <v>154.00821619999999</v>
      </c>
      <c r="I433">
        <v>157.92695420000001</v>
      </c>
      <c r="J433">
        <v>162.29084739999999</v>
      </c>
      <c r="K433">
        <v>166.66492740000001</v>
      </c>
      <c r="L433">
        <v>170.61026269999999</v>
      </c>
      <c r="M433">
        <v>172.9751838</v>
      </c>
      <c r="N433">
        <v>174.51254280000001</v>
      </c>
    </row>
    <row r="434" spans="1:14" x14ac:dyDescent="0.25">
      <c r="A434">
        <v>2</v>
      </c>
      <c r="B434" s="13">
        <v>15.625</v>
      </c>
      <c r="C434">
        <v>0.91761470999999994</v>
      </c>
      <c r="D434">
        <v>162.343864</v>
      </c>
      <c r="E434">
        <v>3.9893643999999999E-2</v>
      </c>
      <c r="F434">
        <v>150.20138789999999</v>
      </c>
      <c r="G434">
        <v>151.7203255</v>
      </c>
      <c r="H434">
        <v>154.06164459999999</v>
      </c>
      <c r="I434">
        <v>157.98041760000001</v>
      </c>
      <c r="J434">
        <v>162.343864</v>
      </c>
      <c r="K434">
        <v>166.71699509999999</v>
      </c>
      <c r="L434">
        <v>170.6610542</v>
      </c>
      <c r="M434">
        <v>173.025023</v>
      </c>
      <c r="N434">
        <v>174.5616886</v>
      </c>
    </row>
    <row r="435" spans="1:14" x14ac:dyDescent="0.25">
      <c r="A435">
        <v>2</v>
      </c>
      <c r="B435" s="13">
        <v>15.708333333333334</v>
      </c>
      <c r="C435">
        <v>0.922045055</v>
      </c>
      <c r="D435">
        <v>162.3939652</v>
      </c>
      <c r="E435">
        <v>3.9876086999999998E-2</v>
      </c>
      <c r="F435">
        <v>150.25101129999999</v>
      </c>
      <c r="G435">
        <v>151.77024069999999</v>
      </c>
      <c r="H435">
        <v>154.11187749999999</v>
      </c>
      <c r="I435">
        <v>158.0308292</v>
      </c>
      <c r="J435">
        <v>162.3939652</v>
      </c>
      <c r="K435">
        <v>166.76625989999999</v>
      </c>
      <c r="L435">
        <v>170.70912430000001</v>
      </c>
      <c r="M435">
        <v>173.07218080000001</v>
      </c>
      <c r="N435">
        <v>174.6081757</v>
      </c>
    </row>
    <row r="436" spans="1:14" x14ac:dyDescent="0.25">
      <c r="A436">
        <v>2</v>
      </c>
      <c r="B436" s="13">
        <v>15.791666666666666</v>
      </c>
      <c r="C436">
        <v>0.92664769700000005</v>
      </c>
      <c r="D436">
        <v>162.44135130000001</v>
      </c>
      <c r="E436">
        <v>3.9860184999999999E-2</v>
      </c>
      <c r="F436">
        <v>150.2975443</v>
      </c>
      <c r="G436">
        <v>151.8171212</v>
      </c>
      <c r="H436">
        <v>154.1591564</v>
      </c>
      <c r="I436">
        <v>158.07840880000001</v>
      </c>
      <c r="J436">
        <v>162.44135130000001</v>
      </c>
      <c r="K436">
        <v>166.8129074</v>
      </c>
      <c r="L436">
        <v>170.75464940000001</v>
      </c>
      <c r="M436">
        <v>173.1168298</v>
      </c>
      <c r="N436">
        <v>174.65217469999999</v>
      </c>
    </row>
    <row r="437" spans="1:14" x14ac:dyDescent="0.25">
      <c r="A437">
        <v>2</v>
      </c>
      <c r="B437" s="13">
        <v>15.875</v>
      </c>
      <c r="C437">
        <v>0.93138621700000002</v>
      </c>
      <c r="D437">
        <v>162.4862071</v>
      </c>
      <c r="E437">
        <v>3.9845753999999997E-2</v>
      </c>
      <c r="F437">
        <v>150.34122980000001</v>
      </c>
      <c r="G437">
        <v>151.86120080000001</v>
      </c>
      <c r="H437">
        <v>154.2037023</v>
      </c>
      <c r="I437">
        <v>158.12335830000001</v>
      </c>
      <c r="J437">
        <v>162.4862071</v>
      </c>
      <c r="K437">
        <v>166.85710929999999</v>
      </c>
      <c r="L437">
        <v>170.79779289999999</v>
      </c>
      <c r="M437">
        <v>173.1591301</v>
      </c>
      <c r="N437">
        <v>174.6938442</v>
      </c>
    </row>
    <row r="438" spans="1:14" x14ac:dyDescent="0.25">
      <c r="A438">
        <v>2</v>
      </c>
      <c r="B438" s="13">
        <v>15.958333333333334</v>
      </c>
      <c r="C438">
        <v>0.93622841999999995</v>
      </c>
      <c r="D438">
        <v>162.52870290000001</v>
      </c>
      <c r="E438">
        <v>3.9832629000000001E-2</v>
      </c>
      <c r="F438">
        <v>150.3822898</v>
      </c>
      <c r="G438">
        <v>151.9026934</v>
      </c>
      <c r="H438">
        <v>154.24571750000001</v>
      </c>
      <c r="I438">
        <v>158.16586330000001</v>
      </c>
      <c r="J438">
        <v>162.52870290000001</v>
      </c>
      <c r="K438">
        <v>166.89902459999999</v>
      </c>
      <c r="L438">
        <v>170.83870640000001</v>
      </c>
      <c r="M438">
        <v>173.19923030000001</v>
      </c>
      <c r="N438">
        <v>174.7333314</v>
      </c>
    </row>
    <row r="439" spans="1:14" x14ac:dyDescent="0.25">
      <c r="A439">
        <v>2</v>
      </c>
      <c r="B439" s="13">
        <v>16.041666666666668</v>
      </c>
      <c r="C439">
        <v>0.94114594299999998</v>
      </c>
      <c r="D439">
        <v>162.56899580000001</v>
      </c>
      <c r="E439">
        <v>3.9820662999999999E-2</v>
      </c>
      <c r="F439">
        <v>150.4209266</v>
      </c>
      <c r="G439">
        <v>151.9417942</v>
      </c>
      <c r="H439">
        <v>154.2853872</v>
      </c>
      <c r="I439">
        <v>158.2060942</v>
      </c>
      <c r="J439">
        <v>162.56899580000001</v>
      </c>
      <c r="K439">
        <v>166.9388003</v>
      </c>
      <c r="L439">
        <v>170.8775306</v>
      </c>
      <c r="M439">
        <v>173.2372685</v>
      </c>
      <c r="N439">
        <v>174.77077320000001</v>
      </c>
    </row>
    <row r="440" spans="1:14" x14ac:dyDescent="0.25">
      <c r="A440">
        <v>2</v>
      </c>
      <c r="B440" s="13">
        <v>16.125</v>
      </c>
      <c r="C440">
        <v>0.94611387999999996</v>
      </c>
      <c r="D440">
        <v>162.60723089999999</v>
      </c>
      <c r="E440">
        <v>3.9809724999999997E-2</v>
      </c>
      <c r="F440">
        <v>150.4573249</v>
      </c>
      <c r="G440">
        <v>151.97868170000001</v>
      </c>
      <c r="H440">
        <v>154.3228809</v>
      </c>
      <c r="I440">
        <v>158.24420760000001</v>
      </c>
      <c r="J440">
        <v>162.60723089999999</v>
      </c>
      <c r="K440">
        <v>166.97657229999999</v>
      </c>
      <c r="L440">
        <v>170.91439600000001</v>
      </c>
      <c r="M440">
        <v>173.2733728</v>
      </c>
      <c r="N440">
        <v>174.80629669999999</v>
      </c>
    </row>
    <row r="441" spans="1:14" x14ac:dyDescent="0.25">
      <c r="A441">
        <v>2</v>
      </c>
      <c r="B441" s="13">
        <v>16.208333333333332</v>
      </c>
      <c r="C441">
        <v>0.95111042999999995</v>
      </c>
      <c r="D441">
        <v>162.64354180000001</v>
      </c>
      <c r="E441">
        <v>3.97997E-2</v>
      </c>
      <c r="F441">
        <v>150.49165310000001</v>
      </c>
      <c r="G441">
        <v>152.013519</v>
      </c>
      <c r="H441">
        <v>154.3583538</v>
      </c>
      <c r="I441">
        <v>158.28034740000001</v>
      </c>
      <c r="J441">
        <v>162.64354180000001</v>
      </c>
      <c r="K441">
        <v>167.0124668</v>
      </c>
      <c r="L441">
        <v>170.94942359999999</v>
      </c>
      <c r="M441">
        <v>173.3076624</v>
      </c>
      <c r="N441">
        <v>174.8400201</v>
      </c>
    </row>
    <row r="442" spans="1:14" x14ac:dyDescent="0.25">
      <c r="A442">
        <v>2</v>
      </c>
      <c r="B442" s="13">
        <v>16.291666666666668</v>
      </c>
      <c r="C442">
        <v>0.956116576</v>
      </c>
      <c r="D442">
        <v>162.67805190000001</v>
      </c>
      <c r="E442">
        <v>3.9790485E-2</v>
      </c>
      <c r="F442">
        <v>150.52406500000001</v>
      </c>
      <c r="G442">
        <v>152.04645489999999</v>
      </c>
      <c r="H442">
        <v>154.3919483</v>
      </c>
      <c r="I442">
        <v>158.31464589999999</v>
      </c>
      <c r="J442">
        <v>162.67805190000001</v>
      </c>
      <c r="K442">
        <v>167.04660039999999</v>
      </c>
      <c r="L442">
        <v>170.9827258</v>
      </c>
      <c r="M442">
        <v>173.34024779999999</v>
      </c>
      <c r="N442">
        <v>174.87205320000001</v>
      </c>
    </row>
    <row r="443" spans="1:14" x14ac:dyDescent="0.25">
      <c r="A443">
        <v>2</v>
      </c>
      <c r="B443" s="13">
        <v>16.375</v>
      </c>
      <c r="C443">
        <v>0.96111579199999997</v>
      </c>
      <c r="D443">
        <v>162.71087510000001</v>
      </c>
      <c r="E443">
        <v>3.9781991000000003E-2</v>
      </c>
      <c r="F443">
        <v>150.55470080000001</v>
      </c>
      <c r="G443">
        <v>152.0776257</v>
      </c>
      <c r="H443">
        <v>154.42379439999999</v>
      </c>
      <c r="I443">
        <v>158.34722489999999</v>
      </c>
      <c r="J443">
        <v>162.71087510000001</v>
      </c>
      <c r="K443">
        <v>167.0790811</v>
      </c>
      <c r="L443">
        <v>171.01440700000001</v>
      </c>
      <c r="M443">
        <v>173.3712319</v>
      </c>
      <c r="N443">
        <v>174.90249800000001</v>
      </c>
    </row>
    <row r="444" spans="1:14" x14ac:dyDescent="0.25">
      <c r="A444">
        <v>2</v>
      </c>
      <c r="B444" s="13">
        <v>16.458333333333332</v>
      </c>
      <c r="C444">
        <v>0.96609376599999996</v>
      </c>
      <c r="D444">
        <v>162.74211679999999</v>
      </c>
      <c r="E444">
        <v>3.9774136000000002E-2</v>
      </c>
      <c r="F444">
        <v>150.58368870000001</v>
      </c>
      <c r="G444">
        <v>152.10715579999999</v>
      </c>
      <c r="H444">
        <v>154.45401179999999</v>
      </c>
      <c r="I444">
        <v>158.37819619999999</v>
      </c>
      <c r="J444">
        <v>162.74211679999999</v>
      </c>
      <c r="K444">
        <v>167.11000899999999</v>
      </c>
      <c r="L444">
        <v>171.0445641</v>
      </c>
      <c r="M444">
        <v>173.40071019999999</v>
      </c>
      <c r="N444">
        <v>174.93144939999999</v>
      </c>
    </row>
    <row r="445" spans="1:14" x14ac:dyDescent="0.25">
      <c r="A445">
        <v>2</v>
      </c>
      <c r="B445" s="13">
        <v>16.541666666666668</v>
      </c>
      <c r="C445">
        <v>0.97103816200000004</v>
      </c>
      <c r="D445">
        <v>162.77187409999999</v>
      </c>
      <c r="E445">
        <v>3.9766849999999999E-2</v>
      </c>
      <c r="F445">
        <v>150.61114570000001</v>
      </c>
      <c r="G445">
        <v>152.1351593</v>
      </c>
      <c r="H445">
        <v>154.48270980000001</v>
      </c>
      <c r="I445">
        <v>158.40766300000001</v>
      </c>
      <c r="J445">
        <v>162.77187409999999</v>
      </c>
      <c r="K445">
        <v>167.13947709999999</v>
      </c>
      <c r="L445">
        <v>171.07328709999999</v>
      </c>
      <c r="M445">
        <v>173.4287717</v>
      </c>
      <c r="N445">
        <v>174.95899589999999</v>
      </c>
    </row>
    <row r="446" spans="1:14" x14ac:dyDescent="0.25">
      <c r="A446">
        <v>2</v>
      </c>
      <c r="B446" s="13">
        <v>16.625</v>
      </c>
      <c r="C446">
        <v>0.97593839100000002</v>
      </c>
      <c r="D446">
        <v>162.8002371</v>
      </c>
      <c r="E446">
        <v>3.9760070000000002E-2</v>
      </c>
      <c r="F446">
        <v>150.63717890000001</v>
      </c>
      <c r="G446">
        <v>152.16174050000001</v>
      </c>
      <c r="H446">
        <v>154.50998899999999</v>
      </c>
      <c r="I446">
        <v>158.43572019999999</v>
      </c>
      <c r="J446">
        <v>162.8002371</v>
      </c>
      <c r="K446">
        <v>167.16757150000001</v>
      </c>
      <c r="L446">
        <v>171.10065979999999</v>
      </c>
      <c r="M446">
        <v>173.455499</v>
      </c>
      <c r="N446">
        <v>174.98521969999999</v>
      </c>
    </row>
    <row r="447" spans="1:14" x14ac:dyDescent="0.25">
      <c r="A447">
        <v>2</v>
      </c>
      <c r="B447" s="13">
        <v>16.708333333333332</v>
      </c>
      <c r="C447">
        <v>0.98078541799999996</v>
      </c>
      <c r="D447">
        <v>162.82728890000001</v>
      </c>
      <c r="E447">
        <v>3.9753741000000002E-2</v>
      </c>
      <c r="F447">
        <v>150.66188600000001</v>
      </c>
      <c r="G447">
        <v>152.1869949</v>
      </c>
      <c r="H447">
        <v>154.5359417</v>
      </c>
      <c r="I447">
        <v>158.46245540000001</v>
      </c>
      <c r="J447">
        <v>162.82728890000001</v>
      </c>
      <c r="K447">
        <v>167.19437210000001</v>
      </c>
      <c r="L447">
        <v>171.1267599</v>
      </c>
      <c r="M447">
        <v>173.48096910000001</v>
      </c>
      <c r="N447">
        <v>175.01019729999999</v>
      </c>
    </row>
    <row r="448" spans="1:14" x14ac:dyDescent="0.25">
      <c r="A448">
        <v>2</v>
      </c>
      <c r="B448" s="13">
        <v>16.791666666666668</v>
      </c>
      <c r="C448">
        <v>0.98557157900000003</v>
      </c>
      <c r="D448">
        <v>162.85310670000001</v>
      </c>
      <c r="E448">
        <v>3.9747814999999999E-2</v>
      </c>
      <c r="F448">
        <v>150.68535679999999</v>
      </c>
      <c r="G448">
        <v>152.2110102</v>
      </c>
      <c r="H448">
        <v>154.56065280000001</v>
      </c>
      <c r="I448">
        <v>158.4879492</v>
      </c>
      <c r="J448">
        <v>162.85310670000001</v>
      </c>
      <c r="K448">
        <v>167.21995319999999</v>
      </c>
      <c r="L448">
        <v>171.15166009999999</v>
      </c>
      <c r="M448">
        <v>173.50525379999999</v>
      </c>
      <c r="N448">
        <v>175.03399999999999</v>
      </c>
    </row>
    <row r="449" spans="1:14" x14ac:dyDescent="0.25">
      <c r="A449">
        <v>2</v>
      </c>
      <c r="B449" s="13">
        <v>16.875</v>
      </c>
      <c r="C449">
        <v>0.99029042</v>
      </c>
      <c r="D449">
        <v>162.8777619</v>
      </c>
      <c r="E449">
        <v>3.9742249E-2</v>
      </c>
      <c r="F449">
        <v>150.70767330000001</v>
      </c>
      <c r="G449">
        <v>152.23386669999999</v>
      </c>
      <c r="H449">
        <v>154.5842002</v>
      </c>
      <c r="I449">
        <v>158.5122763</v>
      </c>
      <c r="J449">
        <v>162.8777619</v>
      </c>
      <c r="K449">
        <v>167.244384</v>
      </c>
      <c r="L449">
        <v>171.1754277</v>
      </c>
      <c r="M449">
        <v>173.52841979999999</v>
      </c>
      <c r="N449">
        <v>175.0566944</v>
      </c>
    </row>
    <row r="450" spans="1:14" x14ac:dyDescent="0.25">
      <c r="A450">
        <v>2</v>
      </c>
      <c r="B450" s="13">
        <v>16.958333333333332</v>
      </c>
      <c r="C450">
        <v>0.994936555</v>
      </c>
      <c r="D450">
        <v>162.90132080000001</v>
      </c>
      <c r="E450">
        <v>3.9737003999999999E-2</v>
      </c>
      <c r="F450">
        <v>150.72891060000001</v>
      </c>
      <c r="G450">
        <v>152.25563829999999</v>
      </c>
      <c r="H450">
        <v>154.6066558</v>
      </c>
      <c r="I450">
        <v>158.53550559999999</v>
      </c>
      <c r="J450">
        <v>162.90132080000001</v>
      </c>
      <c r="K450">
        <v>167.2677286</v>
      </c>
      <c r="L450">
        <v>171.19812580000001</v>
      </c>
      <c r="M450">
        <v>173.5505296</v>
      </c>
      <c r="N450">
        <v>175.0783424</v>
      </c>
    </row>
    <row r="451" spans="1:14" x14ac:dyDescent="0.25">
      <c r="A451">
        <v>2</v>
      </c>
      <c r="B451" s="13">
        <v>17.041666666666668</v>
      </c>
      <c r="C451">
        <v>0.99950553900000005</v>
      </c>
      <c r="D451">
        <v>162.92384490000001</v>
      </c>
      <c r="E451">
        <v>3.9732047999999999E-2</v>
      </c>
      <c r="F451">
        <v>150.74913799999999</v>
      </c>
      <c r="G451">
        <v>152.27639289999999</v>
      </c>
      <c r="H451">
        <v>154.62808580000001</v>
      </c>
      <c r="I451">
        <v>158.55770079999999</v>
      </c>
      <c r="J451">
        <v>162.92384490000001</v>
      </c>
      <c r="K451">
        <v>167.2900467</v>
      </c>
      <c r="L451">
        <v>171.2198128</v>
      </c>
      <c r="M451">
        <v>173.57164109999999</v>
      </c>
      <c r="N451">
        <v>175.09900200000001</v>
      </c>
    </row>
    <row r="452" spans="1:14" x14ac:dyDescent="0.25">
      <c r="A452">
        <v>2</v>
      </c>
      <c r="B452" s="13">
        <v>17.125</v>
      </c>
      <c r="C452">
        <v>1.003993753</v>
      </c>
      <c r="D452">
        <v>162.94539119999999</v>
      </c>
      <c r="E452">
        <v>3.9727352E-2</v>
      </c>
      <c r="F452">
        <v>150.76841870000001</v>
      </c>
      <c r="G452">
        <v>152.29619299999999</v>
      </c>
      <c r="H452">
        <v>154.64855119999999</v>
      </c>
      <c r="I452">
        <v>158.57892100000001</v>
      </c>
      <c r="J452">
        <v>162.94539119999999</v>
      </c>
      <c r="K452">
        <v>167.3113942</v>
      </c>
      <c r="L452">
        <v>171.2405436</v>
      </c>
      <c r="M452">
        <v>173.5918087</v>
      </c>
      <c r="N452">
        <v>175.1187272</v>
      </c>
    </row>
    <row r="453" spans="1:14" x14ac:dyDescent="0.25">
      <c r="A453">
        <v>2</v>
      </c>
      <c r="B453" s="13">
        <v>17.208333333333332</v>
      </c>
      <c r="C453">
        <v>1.0083983000000001</v>
      </c>
      <c r="D453">
        <v>162.9660131</v>
      </c>
      <c r="E453">
        <v>3.9722889999999997E-2</v>
      </c>
      <c r="F453">
        <v>150.78681109999999</v>
      </c>
      <c r="G453">
        <v>152.31509589999999</v>
      </c>
      <c r="H453">
        <v>154.66810839999999</v>
      </c>
      <c r="I453">
        <v>158.59922069999999</v>
      </c>
      <c r="J453">
        <v>162.9660131</v>
      </c>
      <c r="K453">
        <v>167.33182289999999</v>
      </c>
      <c r="L453">
        <v>171.26036930000001</v>
      </c>
      <c r="M453">
        <v>173.6110831</v>
      </c>
      <c r="N453">
        <v>175.13756849999999</v>
      </c>
    </row>
    <row r="454" spans="1:14" x14ac:dyDescent="0.25">
      <c r="A454">
        <v>2</v>
      </c>
      <c r="B454" s="13">
        <v>17.291666666666668</v>
      </c>
      <c r="C454">
        <v>1.012716921</v>
      </c>
      <c r="D454">
        <v>162.98575990000001</v>
      </c>
      <c r="E454">
        <v>3.971864E-2</v>
      </c>
      <c r="F454">
        <v>150.80436889999999</v>
      </c>
      <c r="G454">
        <v>152.33315479999999</v>
      </c>
      <c r="H454">
        <v>154.68680950000001</v>
      </c>
      <c r="I454">
        <v>158.61865069999999</v>
      </c>
      <c r="J454">
        <v>162.98575990000001</v>
      </c>
      <c r="K454">
        <v>167.35138119999999</v>
      </c>
      <c r="L454">
        <v>171.2793375</v>
      </c>
      <c r="M454">
        <v>173.62951169999999</v>
      </c>
      <c r="N454">
        <v>175.155573</v>
      </c>
    </row>
    <row r="455" spans="1:14" x14ac:dyDescent="0.25">
      <c r="A455">
        <v>2</v>
      </c>
      <c r="B455" s="13">
        <v>17.375</v>
      </c>
      <c r="C455">
        <v>1.016947912</v>
      </c>
      <c r="D455">
        <v>163.00467760000001</v>
      </c>
      <c r="E455">
        <v>3.9714580999999999E-2</v>
      </c>
      <c r="F455">
        <v>150.8211416</v>
      </c>
      <c r="G455">
        <v>152.35041870000001</v>
      </c>
      <c r="H455">
        <v>154.70470270000001</v>
      </c>
      <c r="I455">
        <v>158.63725819999999</v>
      </c>
      <c r="J455">
        <v>163.00467760000001</v>
      </c>
      <c r="K455">
        <v>167.3701145</v>
      </c>
      <c r="L455">
        <v>171.29749290000001</v>
      </c>
      <c r="M455">
        <v>173.64713889999999</v>
      </c>
      <c r="N455">
        <v>175.1727851</v>
      </c>
    </row>
    <row r="456" spans="1:14" x14ac:dyDescent="0.25">
      <c r="A456">
        <v>2</v>
      </c>
      <c r="B456" s="13">
        <v>17.458333333333332</v>
      </c>
      <c r="C456">
        <v>1.0210900549999999</v>
      </c>
      <c r="D456">
        <v>163.0228094</v>
      </c>
      <c r="E456">
        <v>3.9710697000000003E-2</v>
      </c>
      <c r="F456">
        <v>150.83717480000001</v>
      </c>
      <c r="G456">
        <v>152.36693270000001</v>
      </c>
      <c r="H456">
        <v>154.72183269999999</v>
      </c>
      <c r="I456">
        <v>158.65508689999999</v>
      </c>
      <c r="J456">
        <v>163.0228094</v>
      </c>
      <c r="K456">
        <v>167.38806500000001</v>
      </c>
      <c r="L456">
        <v>171.3148774</v>
      </c>
      <c r="M456">
        <v>173.66400609999999</v>
      </c>
      <c r="N456">
        <v>175.1892459</v>
      </c>
    </row>
    <row r="457" spans="1:14" x14ac:dyDescent="0.25">
      <c r="A457">
        <v>2</v>
      </c>
      <c r="B457" s="13">
        <v>17.541666666666668</v>
      </c>
      <c r="C457">
        <v>1.0251425540000001</v>
      </c>
      <c r="D457">
        <v>163.04019529999999</v>
      </c>
      <c r="E457">
        <v>3.9706971000000001E-2</v>
      </c>
      <c r="F457">
        <v>150.85251059999999</v>
      </c>
      <c r="G457">
        <v>152.3827387</v>
      </c>
      <c r="H457">
        <v>154.7382408</v>
      </c>
      <c r="I457">
        <v>158.6721776</v>
      </c>
      <c r="J457">
        <v>163.04019529999999</v>
      </c>
      <c r="K457">
        <v>167.40527230000001</v>
      </c>
      <c r="L457">
        <v>171.33152999999999</v>
      </c>
      <c r="M457">
        <v>173.68015220000001</v>
      </c>
      <c r="N457">
        <v>175.2049944</v>
      </c>
    </row>
    <row r="458" spans="1:14" x14ac:dyDescent="0.25">
      <c r="A458">
        <v>2</v>
      </c>
      <c r="B458" s="13">
        <v>17.625</v>
      </c>
      <c r="C458">
        <v>1.0291049830000001</v>
      </c>
      <c r="D458">
        <v>163.05687270000001</v>
      </c>
      <c r="E458">
        <v>3.9703390999999998E-2</v>
      </c>
      <c r="F458">
        <v>150.86718819999999</v>
      </c>
      <c r="G458">
        <v>152.3978755</v>
      </c>
      <c r="H458">
        <v>154.75396549999999</v>
      </c>
      <c r="I458">
        <v>158.68856819999999</v>
      </c>
      <c r="J458">
        <v>163.05687270000001</v>
      </c>
      <c r="K458">
        <v>167.42177340000001</v>
      </c>
      <c r="L458">
        <v>171.34748740000001</v>
      </c>
      <c r="M458">
        <v>173.69561379999999</v>
      </c>
      <c r="N458">
        <v>175.22006669999999</v>
      </c>
    </row>
    <row r="459" spans="1:14" x14ac:dyDescent="0.25">
      <c r="A459">
        <v>2</v>
      </c>
      <c r="B459" s="13">
        <v>17.708333333333332</v>
      </c>
      <c r="C459">
        <v>1.032977233</v>
      </c>
      <c r="D459">
        <v>163.07287679999999</v>
      </c>
      <c r="E459">
        <v>3.9699945E-2</v>
      </c>
      <c r="F459">
        <v>150.88124350000001</v>
      </c>
      <c r="G459">
        <v>152.41237899999999</v>
      </c>
      <c r="H459">
        <v>154.7690427</v>
      </c>
      <c r="I459">
        <v>158.70429419999999</v>
      </c>
      <c r="J459">
        <v>163.07287679999999</v>
      </c>
      <c r="K459">
        <v>167.437603</v>
      </c>
      <c r="L459">
        <v>171.362784</v>
      </c>
      <c r="M459">
        <v>173.71042499999999</v>
      </c>
      <c r="N459">
        <v>175.2344971</v>
      </c>
    </row>
    <row r="460" spans="1:14" x14ac:dyDescent="0.25">
      <c r="A460">
        <v>2</v>
      </c>
      <c r="B460" s="13">
        <v>17.791666666666668</v>
      </c>
      <c r="C460">
        <v>1.036759475</v>
      </c>
      <c r="D460">
        <v>163.08824039999999</v>
      </c>
      <c r="E460">
        <v>3.9696623E-2</v>
      </c>
      <c r="F460">
        <v>150.89471019999999</v>
      </c>
      <c r="G460">
        <v>152.4262827</v>
      </c>
      <c r="H460">
        <v>154.7835054</v>
      </c>
      <c r="I460">
        <v>158.7193886</v>
      </c>
      <c r="J460">
        <v>163.08824039999999</v>
      </c>
      <c r="K460">
        <v>167.45279379999999</v>
      </c>
      <c r="L460">
        <v>171.3774521</v>
      </c>
      <c r="M460">
        <v>173.7246179</v>
      </c>
      <c r="N460">
        <v>175.24831739999999</v>
      </c>
    </row>
    <row r="461" spans="1:14" x14ac:dyDescent="0.25">
      <c r="A461">
        <v>2</v>
      </c>
      <c r="B461" s="13">
        <v>17.875</v>
      </c>
      <c r="C461">
        <v>1.0404521170000001</v>
      </c>
      <c r="D461">
        <v>163.10299430000001</v>
      </c>
      <c r="E461">
        <v>3.9693415000000003E-2</v>
      </c>
      <c r="F461">
        <v>150.90761910000001</v>
      </c>
      <c r="G461">
        <v>152.43961770000001</v>
      </c>
      <c r="H461">
        <v>154.7973849</v>
      </c>
      <c r="I461">
        <v>158.7338824</v>
      </c>
      <c r="J461">
        <v>163.10299430000001</v>
      </c>
      <c r="K461">
        <v>167.46737630000001</v>
      </c>
      <c r="L461">
        <v>171.3915221</v>
      </c>
      <c r="M461">
        <v>173.73822279999999</v>
      </c>
      <c r="N461">
        <v>175.2615577</v>
      </c>
    </row>
    <row r="462" spans="1:14" x14ac:dyDescent="0.25">
      <c r="A462">
        <v>2</v>
      </c>
      <c r="B462" s="13">
        <v>17.958333333333332</v>
      </c>
      <c r="C462">
        <v>1.044055774</v>
      </c>
      <c r="D462">
        <v>163.11716730000001</v>
      </c>
      <c r="E462">
        <v>3.9690312999999998E-2</v>
      </c>
      <c r="F462">
        <v>150.91999939999999</v>
      </c>
      <c r="G462">
        <v>152.45241279999999</v>
      </c>
      <c r="H462">
        <v>154.81071</v>
      </c>
      <c r="I462">
        <v>158.7478045</v>
      </c>
      <c r="J462">
        <v>163.11716730000001</v>
      </c>
      <c r="K462">
        <v>167.48137919999999</v>
      </c>
      <c r="L462">
        <v>171.4050225</v>
      </c>
      <c r="M462">
        <v>173.75126800000001</v>
      </c>
      <c r="N462">
        <v>175.27424640000001</v>
      </c>
    </row>
    <row r="463" spans="1:14" x14ac:dyDescent="0.25">
      <c r="A463">
        <v>2</v>
      </c>
      <c r="B463" s="13">
        <v>18.041666666666668</v>
      </c>
      <c r="C463">
        <v>1.047571238</v>
      </c>
      <c r="D463">
        <v>163.13078659999999</v>
      </c>
      <c r="E463">
        <v>3.9687311000000003E-2</v>
      </c>
      <c r="F463">
        <v>150.9318778</v>
      </c>
      <c r="G463">
        <v>152.46469500000001</v>
      </c>
      <c r="H463">
        <v>154.82350769999999</v>
      </c>
      <c r="I463">
        <v>158.76118210000001</v>
      </c>
      <c r="J463">
        <v>163.13078659999999</v>
      </c>
      <c r="K463">
        <v>167.4948296</v>
      </c>
      <c r="L463">
        <v>171.41798019999999</v>
      </c>
      <c r="M463">
        <v>173.76378020000001</v>
      </c>
      <c r="N463">
        <v>175.28641010000001</v>
      </c>
    </row>
    <row r="464" spans="1:14" x14ac:dyDescent="0.25">
      <c r="A464">
        <v>2</v>
      </c>
      <c r="B464" s="13">
        <v>18.125</v>
      </c>
      <c r="C464">
        <v>1.050999451</v>
      </c>
      <c r="D464">
        <v>163.1438776</v>
      </c>
      <c r="E464">
        <v>3.9684402000000001E-2</v>
      </c>
      <c r="F464">
        <v>150.94327949999999</v>
      </c>
      <c r="G464">
        <v>152.47648950000001</v>
      </c>
      <c r="H464">
        <v>154.8358035</v>
      </c>
      <c r="I464">
        <v>158.77404039999999</v>
      </c>
      <c r="J464">
        <v>163.1438776</v>
      </c>
      <c r="K464">
        <v>167.50775290000001</v>
      </c>
      <c r="L464">
        <v>171.4304205</v>
      </c>
      <c r="M464">
        <v>173.7757847</v>
      </c>
      <c r="N464">
        <v>175.29807360000001</v>
      </c>
    </row>
    <row r="465" spans="1:14" x14ac:dyDescent="0.25">
      <c r="A465">
        <v>2</v>
      </c>
      <c r="B465" s="13">
        <v>18.208333333333332</v>
      </c>
      <c r="C465">
        <v>1.0543414820000001</v>
      </c>
      <c r="D465">
        <v>163.1564644</v>
      </c>
      <c r="E465">
        <v>3.9681581E-2</v>
      </c>
      <c r="F465">
        <v>150.95422790000001</v>
      </c>
      <c r="G465">
        <v>152.48781980000001</v>
      </c>
      <c r="H465">
        <v>154.84762079999999</v>
      </c>
      <c r="I465">
        <v>158.7864036</v>
      </c>
      <c r="J465">
        <v>163.1564644</v>
      </c>
      <c r="K465">
        <v>167.520173</v>
      </c>
      <c r="L465">
        <v>171.44236710000001</v>
      </c>
      <c r="M465">
        <v>173.787305</v>
      </c>
      <c r="N465">
        <v>175.3092608</v>
      </c>
    </row>
    <row r="466" spans="1:14" x14ac:dyDescent="0.25">
      <c r="A466">
        <v>2</v>
      </c>
      <c r="B466" s="13">
        <v>18.291666666666668</v>
      </c>
      <c r="C466">
        <v>1.057598512</v>
      </c>
      <c r="D466">
        <v>163.16856970000001</v>
      </c>
      <c r="E466">
        <v>3.9678841999999999E-2</v>
      </c>
      <c r="F466">
        <v>150.96474480000001</v>
      </c>
      <c r="G466">
        <v>152.49870799999999</v>
      </c>
      <c r="H466">
        <v>154.85898209999999</v>
      </c>
      <c r="I466">
        <v>158.798294</v>
      </c>
      <c r="J466">
        <v>163.16856970000001</v>
      </c>
      <c r="K466">
        <v>167.53211279999999</v>
      </c>
      <c r="L466">
        <v>171.4538427</v>
      </c>
      <c r="M466">
        <v>173.79836359999999</v>
      </c>
      <c r="N466">
        <v>175.31999379999999</v>
      </c>
    </row>
    <row r="467" spans="1:14" x14ac:dyDescent="0.25">
      <c r="A467">
        <v>2</v>
      </c>
      <c r="B467" s="13">
        <v>18.375</v>
      </c>
      <c r="C467">
        <v>1.0607718079999999</v>
      </c>
      <c r="D467">
        <v>163.1802146</v>
      </c>
      <c r="E467">
        <v>3.9676181999999997E-2</v>
      </c>
      <c r="F467">
        <v>150.97485069999999</v>
      </c>
      <c r="G467">
        <v>152.50917469999999</v>
      </c>
      <c r="H467">
        <v>154.8699082</v>
      </c>
      <c r="I467">
        <v>158.80973280000001</v>
      </c>
      <c r="J467">
        <v>163.1802146</v>
      </c>
      <c r="K467">
        <v>167.5435933</v>
      </c>
      <c r="L467">
        <v>171.4648684</v>
      </c>
      <c r="M467">
        <v>173.80898160000001</v>
      </c>
      <c r="N467">
        <v>175.3302936</v>
      </c>
    </row>
    <row r="468" spans="1:14" x14ac:dyDescent="0.25">
      <c r="A468">
        <v>2</v>
      </c>
      <c r="B468" s="13">
        <v>18.458333333333332</v>
      </c>
      <c r="C468">
        <v>1.063862715</v>
      </c>
      <c r="D468">
        <v>163.1914194</v>
      </c>
      <c r="E468">
        <v>3.9673595999999998E-2</v>
      </c>
      <c r="F468">
        <v>150.98456490000001</v>
      </c>
      <c r="G468">
        <v>152.51923930000001</v>
      </c>
      <c r="H468">
        <v>154.88041860000001</v>
      </c>
      <c r="I468">
        <v>158.82073990000001</v>
      </c>
      <c r="J468">
        <v>163.1914194</v>
      </c>
      <c r="K468">
        <v>167.55463499999999</v>
      </c>
      <c r="L468">
        <v>171.47546439999999</v>
      </c>
      <c r="M468">
        <v>173.8191789</v>
      </c>
      <c r="N468">
        <v>175.3401801</v>
      </c>
    </row>
    <row r="469" spans="1:14" x14ac:dyDescent="0.25">
      <c r="A469">
        <v>2</v>
      </c>
      <c r="B469" s="13">
        <v>18.541666666666668</v>
      </c>
      <c r="C469">
        <v>1.0668726390000001</v>
      </c>
      <c r="D469">
        <v>163.202203</v>
      </c>
      <c r="E469">
        <v>3.9671082000000003E-2</v>
      </c>
      <c r="F469">
        <v>150.99390529999999</v>
      </c>
      <c r="G469">
        <v>152.52892</v>
      </c>
      <c r="H469">
        <v>154.89053179999999</v>
      </c>
      <c r="I469">
        <v>158.83133409999999</v>
      </c>
      <c r="J469">
        <v>163.202203</v>
      </c>
      <c r="K469">
        <v>167.56525669999999</v>
      </c>
      <c r="L469">
        <v>171.48564949999999</v>
      </c>
      <c r="M469">
        <v>173.82897439999999</v>
      </c>
      <c r="N469">
        <v>175.349672</v>
      </c>
    </row>
    <row r="470" spans="1:14" x14ac:dyDescent="0.25">
      <c r="A470">
        <v>2</v>
      </c>
      <c r="B470" s="13">
        <v>18.625</v>
      </c>
      <c r="C470">
        <v>1.0698030359999999</v>
      </c>
      <c r="D470">
        <v>163.21258349999999</v>
      </c>
      <c r="E470">
        <v>3.9668635000000001E-2</v>
      </c>
      <c r="F470">
        <v>151.00288889999999</v>
      </c>
      <c r="G470">
        <v>152.5382338</v>
      </c>
      <c r="H470">
        <v>154.90026539999999</v>
      </c>
      <c r="I470">
        <v>158.84153319999999</v>
      </c>
      <c r="J470">
        <v>163.21258349999999</v>
      </c>
      <c r="K470">
        <v>167.5754766</v>
      </c>
      <c r="L470">
        <v>171.49544180000001</v>
      </c>
      <c r="M470">
        <v>173.8383858</v>
      </c>
      <c r="N470">
        <v>175.35878700000001</v>
      </c>
    </row>
    <row r="471" spans="1:14" x14ac:dyDescent="0.25">
      <c r="A471">
        <v>2</v>
      </c>
      <c r="B471" s="13">
        <v>18.708333333333332</v>
      </c>
      <c r="C471">
        <v>1.072655401</v>
      </c>
      <c r="D471">
        <v>163.2225779</v>
      </c>
      <c r="E471">
        <v>3.9666253999999998E-2</v>
      </c>
      <c r="F471">
        <v>151.01153149999999</v>
      </c>
      <c r="G471">
        <v>152.54719710000001</v>
      </c>
      <c r="H471">
        <v>154.9096356</v>
      </c>
      <c r="I471">
        <v>158.85135399999999</v>
      </c>
      <c r="J471">
        <v>163.2225779</v>
      </c>
      <c r="K471">
        <v>167.5853118</v>
      </c>
      <c r="L471">
        <v>171.5048583</v>
      </c>
      <c r="M471">
        <v>173.84743019999999</v>
      </c>
      <c r="N471">
        <v>175.36754199999999</v>
      </c>
    </row>
    <row r="472" spans="1:14" x14ac:dyDescent="0.25">
      <c r="A472">
        <v>2</v>
      </c>
      <c r="B472" s="13">
        <v>18.791666666666668</v>
      </c>
      <c r="C472">
        <v>1.0754312580000001</v>
      </c>
      <c r="D472">
        <v>163.23220240000001</v>
      </c>
      <c r="E472">
        <v>3.9663935999999997E-2</v>
      </c>
      <c r="F472">
        <v>151.01984820000001</v>
      </c>
      <c r="G472">
        <v>152.55582480000001</v>
      </c>
      <c r="H472">
        <v>154.9186579</v>
      </c>
      <c r="I472">
        <v>158.86081239999999</v>
      </c>
      <c r="J472">
        <v>163.23220240000001</v>
      </c>
      <c r="K472">
        <v>167.59477849999999</v>
      </c>
      <c r="L472">
        <v>171.51391509999999</v>
      </c>
      <c r="M472">
        <v>173.8561235</v>
      </c>
      <c r="N472">
        <v>175.3759527</v>
      </c>
    </row>
    <row r="473" spans="1:14" x14ac:dyDescent="0.25">
      <c r="A473">
        <v>2</v>
      </c>
      <c r="B473" s="13">
        <v>18.875</v>
      </c>
      <c r="C473">
        <v>1.0781321559999999</v>
      </c>
      <c r="D473">
        <v>163.2414722</v>
      </c>
      <c r="E473">
        <v>3.9661678999999998E-2</v>
      </c>
      <c r="F473">
        <v>151.02785320000001</v>
      </c>
      <c r="G473">
        <v>152.5641315</v>
      </c>
      <c r="H473">
        <v>154.92734720000001</v>
      </c>
      <c r="I473">
        <v>158.8699234</v>
      </c>
      <c r="J473">
        <v>163.2414722</v>
      </c>
      <c r="K473">
        <v>167.6038921</v>
      </c>
      <c r="L473">
        <v>171.5226274</v>
      </c>
      <c r="M473">
        <v>173.8644808</v>
      </c>
      <c r="N473">
        <v>175.3840343</v>
      </c>
    </row>
    <row r="474" spans="1:14" x14ac:dyDescent="0.25">
      <c r="A474">
        <v>2</v>
      </c>
      <c r="B474" s="13">
        <v>18.958333333333332</v>
      </c>
      <c r="C474">
        <v>1.080759655</v>
      </c>
      <c r="D474">
        <v>163.25040190000001</v>
      </c>
      <c r="E474">
        <v>3.9659481000000003E-2</v>
      </c>
      <c r="F474">
        <v>151.0355596</v>
      </c>
      <c r="G474">
        <v>152.5721307</v>
      </c>
      <c r="H474">
        <v>154.93571710000001</v>
      </c>
      <c r="I474">
        <v>158.87870119999999</v>
      </c>
      <c r="J474">
        <v>163.25040190000001</v>
      </c>
      <c r="K474">
        <v>167.61266710000001</v>
      </c>
      <c r="L474">
        <v>171.53100979999999</v>
      </c>
      <c r="M474">
        <v>173.87251660000001</v>
      </c>
      <c r="N474">
        <v>175.39180099999999</v>
      </c>
    </row>
    <row r="475" spans="1:14" x14ac:dyDescent="0.25">
      <c r="A475">
        <v>2</v>
      </c>
      <c r="B475" s="13">
        <v>19.041666666666668</v>
      </c>
      <c r="C475">
        <v>1.0833153289999999</v>
      </c>
      <c r="D475">
        <v>163.25900519999999</v>
      </c>
      <c r="E475">
        <v>3.9657339E-2</v>
      </c>
      <c r="F475">
        <v>151.04298030000001</v>
      </c>
      <c r="G475">
        <v>152.57983530000001</v>
      </c>
      <c r="H475">
        <v>154.94378090000001</v>
      </c>
      <c r="I475">
        <v>158.8871595</v>
      </c>
      <c r="J475">
        <v>163.25900519999999</v>
      </c>
      <c r="K475">
        <v>167.6211174</v>
      </c>
      <c r="L475">
        <v>171.53907609999999</v>
      </c>
      <c r="M475">
        <v>173.8802445</v>
      </c>
      <c r="N475">
        <v>175.39926639999999</v>
      </c>
    </row>
    <row r="476" spans="1:14" x14ac:dyDescent="0.25">
      <c r="A476">
        <v>2</v>
      </c>
      <c r="B476" s="13">
        <v>19.125</v>
      </c>
      <c r="C476">
        <v>1.0858007510000001</v>
      </c>
      <c r="D476">
        <v>163.26729539999999</v>
      </c>
      <c r="E476">
        <v>3.9655252000000002E-2</v>
      </c>
      <c r="F476">
        <v>151.0501271</v>
      </c>
      <c r="G476">
        <v>152.5872574</v>
      </c>
      <c r="H476">
        <v>154.95155109999999</v>
      </c>
      <c r="I476">
        <v>158.89531109999999</v>
      </c>
      <c r="J476">
        <v>163.26729539999999</v>
      </c>
      <c r="K476">
        <v>167.62925630000001</v>
      </c>
      <c r="L476">
        <v>171.54683940000001</v>
      </c>
      <c r="M476">
        <v>173.8876774</v>
      </c>
      <c r="N476">
        <v>175.40644330000001</v>
      </c>
    </row>
    <row r="477" spans="1:14" x14ac:dyDescent="0.25">
      <c r="A477">
        <v>2</v>
      </c>
      <c r="B477" s="13">
        <v>19.208333333333332</v>
      </c>
      <c r="C477">
        <v>1.088217496</v>
      </c>
      <c r="D477">
        <v>163.27528480000001</v>
      </c>
      <c r="E477">
        <v>3.9653217999999997E-2</v>
      </c>
      <c r="F477">
        <v>151.05701139999999</v>
      </c>
      <c r="G477">
        <v>152.59440849999999</v>
      </c>
      <c r="H477">
        <v>154.95903949999999</v>
      </c>
      <c r="I477">
        <v>158.90316820000001</v>
      </c>
      <c r="J477">
        <v>163.27528480000001</v>
      </c>
      <c r="K477">
        <v>167.6370963</v>
      </c>
      <c r="L477">
        <v>171.5543121</v>
      </c>
      <c r="M477">
        <v>173.89482770000001</v>
      </c>
      <c r="N477">
        <v>175.4133439</v>
      </c>
    </row>
    <row r="478" spans="1:14" x14ac:dyDescent="0.25">
      <c r="A478">
        <v>2</v>
      </c>
      <c r="B478" s="13">
        <v>19.291666666666668</v>
      </c>
      <c r="C478">
        <v>1.090567133</v>
      </c>
      <c r="D478">
        <v>163.2829854</v>
      </c>
      <c r="E478">
        <v>3.9651236999999999E-2</v>
      </c>
      <c r="F478">
        <v>151.06364379999999</v>
      </c>
      <c r="G478">
        <v>152.6012996</v>
      </c>
      <c r="H478">
        <v>154.96625739999999</v>
      </c>
      <c r="I478">
        <v>158.9107425</v>
      </c>
      <c r="J478">
        <v>163.2829854</v>
      </c>
      <c r="K478">
        <v>167.64464939999999</v>
      </c>
      <c r="L478">
        <v>171.56150600000001</v>
      </c>
      <c r="M478">
        <v>173.90170710000001</v>
      </c>
      <c r="N478">
        <v>175.41997989999999</v>
      </c>
    </row>
    <row r="479" spans="1:14" x14ac:dyDescent="0.25">
      <c r="A479">
        <v>2</v>
      </c>
      <c r="B479" s="13">
        <v>19.375</v>
      </c>
      <c r="C479">
        <v>1.092851222</v>
      </c>
      <c r="D479">
        <v>163.29040860000001</v>
      </c>
      <c r="E479">
        <v>3.9649306000000002E-2</v>
      </c>
      <c r="F479">
        <v>151.07003460000001</v>
      </c>
      <c r="G479">
        <v>152.6079412</v>
      </c>
      <c r="H479">
        <v>154.97321539999999</v>
      </c>
      <c r="I479">
        <v>158.91804500000001</v>
      </c>
      <c r="J479">
        <v>163.29040860000001</v>
      </c>
      <c r="K479">
        <v>167.65192690000001</v>
      </c>
      <c r="L479">
        <v>171.56843259999999</v>
      </c>
      <c r="M479">
        <v>173.9083268</v>
      </c>
      <c r="N479">
        <v>175.42636229999999</v>
      </c>
    </row>
    <row r="480" spans="1:14" x14ac:dyDescent="0.25">
      <c r="A480">
        <v>2</v>
      </c>
      <c r="B480" s="13">
        <v>19.458333333333332</v>
      </c>
      <c r="C480">
        <v>1.095071313</v>
      </c>
      <c r="D480">
        <v>163.29756499999999</v>
      </c>
      <c r="E480">
        <v>3.9647424000000001E-2</v>
      </c>
      <c r="F480">
        <v>151.07619339999999</v>
      </c>
      <c r="G480">
        <v>152.61434310000001</v>
      </c>
      <c r="H480">
        <v>154.9799237</v>
      </c>
      <c r="I480">
        <v>158.9250863</v>
      </c>
      <c r="J480">
        <v>163.29756499999999</v>
      </c>
      <c r="K480">
        <v>167.65893969999999</v>
      </c>
      <c r="L480">
        <v>171.57510239999999</v>
      </c>
      <c r="M480">
        <v>173.9146973</v>
      </c>
      <c r="N480">
        <v>175.4325015</v>
      </c>
    </row>
    <row r="481" spans="1:14" x14ac:dyDescent="0.25">
      <c r="A481">
        <v>2</v>
      </c>
      <c r="B481" s="13">
        <v>19.541666666666668</v>
      </c>
      <c r="C481">
        <v>1.0972289390000001</v>
      </c>
      <c r="D481">
        <v>163.30446499999999</v>
      </c>
      <c r="E481">
        <v>3.9645591000000001E-2</v>
      </c>
      <c r="F481">
        <v>151.08212950000001</v>
      </c>
      <c r="G481">
        <v>152.6205147</v>
      </c>
      <c r="H481">
        <v>154.98639220000001</v>
      </c>
      <c r="I481">
        <v>158.93187649999999</v>
      </c>
      <c r="J481">
        <v>163.30446499999999</v>
      </c>
      <c r="K481">
        <v>167.66569809999999</v>
      </c>
      <c r="L481">
        <v>171.58152580000001</v>
      </c>
      <c r="M481">
        <v>173.9208289</v>
      </c>
      <c r="N481">
        <v>175.43840760000001</v>
      </c>
    </row>
    <row r="482" spans="1:14" x14ac:dyDescent="0.25">
      <c r="A482">
        <v>2</v>
      </c>
      <c r="B482" s="13">
        <v>19.625</v>
      </c>
      <c r="C482">
        <v>1.099325619</v>
      </c>
      <c r="D482">
        <v>163.31111849999999</v>
      </c>
      <c r="E482">
        <v>3.9643803999999998E-2</v>
      </c>
      <c r="F482">
        <v>151.0878515</v>
      </c>
      <c r="G482">
        <v>152.626465</v>
      </c>
      <c r="H482">
        <v>154.9926299</v>
      </c>
      <c r="I482">
        <v>158.93842520000001</v>
      </c>
      <c r="J482">
        <v>163.31111849999999</v>
      </c>
      <c r="K482">
        <v>167.6722121</v>
      </c>
      <c r="L482">
        <v>171.5877126</v>
      </c>
      <c r="M482">
        <v>173.92673110000001</v>
      </c>
      <c r="N482">
        <v>175.44409020000001</v>
      </c>
    </row>
    <row r="483" spans="1:14" x14ac:dyDescent="0.25">
      <c r="A483">
        <v>2</v>
      </c>
      <c r="B483" s="13">
        <v>19.708333333333332</v>
      </c>
      <c r="C483">
        <v>1.1013628520000001</v>
      </c>
      <c r="D483">
        <v>163.3175349</v>
      </c>
      <c r="E483">
        <v>3.9642062999999998E-2</v>
      </c>
      <c r="F483">
        <v>151.0933679</v>
      </c>
      <c r="G483">
        <v>152.6322026</v>
      </c>
      <c r="H483">
        <v>154.99864579999999</v>
      </c>
      <c r="I483">
        <v>158.94474159999999</v>
      </c>
      <c r="J483">
        <v>163.3175349</v>
      </c>
      <c r="K483">
        <v>167.67849100000001</v>
      </c>
      <c r="L483">
        <v>171.59367209999999</v>
      </c>
      <c r="M483">
        <v>173.93241320000001</v>
      </c>
      <c r="N483">
        <v>175.44955830000001</v>
      </c>
    </row>
    <row r="484" spans="1:14" x14ac:dyDescent="0.25">
      <c r="A484">
        <v>2</v>
      </c>
      <c r="B484" s="13">
        <v>19.791666666666668</v>
      </c>
      <c r="C484">
        <v>1.1033421189999999</v>
      </c>
      <c r="D484">
        <v>163.3237231</v>
      </c>
      <c r="E484">
        <v>3.9640367000000003E-2</v>
      </c>
      <c r="F484">
        <v>151.09868660000001</v>
      </c>
      <c r="G484">
        <v>152.63773560000001</v>
      </c>
      <c r="H484">
        <v>155.00444830000001</v>
      </c>
      <c r="I484">
        <v>158.95083450000001</v>
      </c>
      <c r="J484">
        <v>163.3237231</v>
      </c>
      <c r="K484">
        <v>167.68454399999999</v>
      </c>
      <c r="L484">
        <v>171.59941319999999</v>
      </c>
      <c r="M484">
        <v>173.9378839</v>
      </c>
      <c r="N484">
        <v>175.45482060000001</v>
      </c>
    </row>
    <row r="485" spans="1:14" x14ac:dyDescent="0.25">
      <c r="A485">
        <v>2</v>
      </c>
      <c r="B485" s="13">
        <v>19.875</v>
      </c>
      <c r="C485">
        <v>1.1052648759999999</v>
      </c>
      <c r="D485">
        <v>163.32969180000001</v>
      </c>
      <c r="E485">
        <v>3.9638714999999998E-2</v>
      </c>
      <c r="F485">
        <v>151.10381520000001</v>
      </c>
      <c r="G485">
        <v>152.6430718</v>
      </c>
      <c r="H485">
        <v>155.0100454</v>
      </c>
      <c r="I485">
        <v>158.9567122</v>
      </c>
      <c r="J485">
        <v>163.32969180000001</v>
      </c>
      <c r="K485">
        <v>167.69037969999999</v>
      </c>
      <c r="L485">
        <v>171.60494439999999</v>
      </c>
      <c r="M485">
        <v>173.94315169999999</v>
      </c>
      <c r="N485">
        <v>175.4598853</v>
      </c>
    </row>
    <row r="486" spans="1:14" x14ac:dyDescent="0.25">
      <c r="A486">
        <v>2</v>
      </c>
      <c r="B486" s="13">
        <v>19.958333333333332</v>
      </c>
      <c r="C486">
        <v>1.107132561</v>
      </c>
      <c r="D486">
        <v>163.33544910000001</v>
      </c>
      <c r="E486">
        <v>3.9637104999999999E-2</v>
      </c>
      <c r="F486">
        <v>151.10876089999999</v>
      </c>
      <c r="G486">
        <v>152.6482187</v>
      </c>
      <c r="H486">
        <v>155.01544490000001</v>
      </c>
      <c r="I486">
        <v>158.96238289999999</v>
      </c>
      <c r="J486">
        <v>163.33544910000001</v>
      </c>
      <c r="K486">
        <v>167.6960062</v>
      </c>
      <c r="L486">
        <v>171.61027379999999</v>
      </c>
      <c r="M486">
        <v>173.94822439999999</v>
      </c>
      <c r="N486">
        <v>175.46476039999999</v>
      </c>
    </row>
    <row r="487" spans="1:14" x14ac:dyDescent="0.25">
      <c r="A487">
        <v>2</v>
      </c>
      <c r="B487" s="13">
        <v>20</v>
      </c>
      <c r="C487">
        <v>1.1080461930000001</v>
      </c>
      <c r="D487">
        <v>163.33825100000001</v>
      </c>
      <c r="E487">
        <v>3.9636315999999998E-2</v>
      </c>
      <c r="F487">
        <v>151.1111674</v>
      </c>
      <c r="G487">
        <v>152.6507234</v>
      </c>
      <c r="H487">
        <v>155.01807289999999</v>
      </c>
      <c r="I487">
        <v>158.96514289999999</v>
      </c>
      <c r="J487">
        <v>163.33825100000001</v>
      </c>
      <c r="K487">
        <v>167.6987436</v>
      </c>
      <c r="L487">
        <v>171.61286530000001</v>
      </c>
      <c r="M487">
        <v>173.9506901</v>
      </c>
      <c r="N487">
        <v>175.46712919999999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177CA-3B23-44A6-A769-3E7D0687EAEA}">
  <sheetPr codeName="Sheet2"/>
  <dimension ref="A1:O441"/>
  <sheetViews>
    <sheetView topLeftCell="A2" workbookViewId="0">
      <selection activeCell="D230" sqref="D230"/>
    </sheetView>
  </sheetViews>
  <sheetFormatPr defaultRowHeight="13.2" x14ac:dyDescent="0.25"/>
  <cols>
    <col min="1" max="1" width="8.88671875" style="10"/>
    <col min="2" max="2" width="9.88671875" style="10" customWidth="1"/>
    <col min="3" max="16384" width="8.88671875" style="10"/>
  </cols>
  <sheetData>
    <row r="1" spans="1:14" x14ac:dyDescent="0.25">
      <c r="A1" s="10" t="s">
        <v>2</v>
      </c>
      <c r="B1" s="13" t="s">
        <v>32</v>
      </c>
      <c r="C1" s="10" t="s">
        <v>3</v>
      </c>
      <c r="D1" s="10" t="s">
        <v>4</v>
      </c>
      <c r="E1" s="10" t="s">
        <v>5</v>
      </c>
      <c r="F1" s="10" t="s">
        <v>6</v>
      </c>
      <c r="G1" s="10" t="s">
        <v>7</v>
      </c>
      <c r="H1" s="10" t="s">
        <v>8</v>
      </c>
      <c r="I1" s="10" t="s">
        <v>9</v>
      </c>
      <c r="J1" s="10" t="s">
        <v>10</v>
      </c>
      <c r="K1" s="10" t="s">
        <v>11</v>
      </c>
      <c r="L1" s="10" t="s">
        <v>12</v>
      </c>
      <c r="M1" s="10" t="s">
        <v>13</v>
      </c>
      <c r="N1" s="10" t="s">
        <v>14</v>
      </c>
    </row>
    <row r="2" spans="1:14" x14ac:dyDescent="0.25">
      <c r="A2" s="10">
        <v>1</v>
      </c>
      <c r="B2" s="13">
        <v>2</v>
      </c>
      <c r="C2" s="10">
        <v>-2.0111810700000001</v>
      </c>
      <c r="D2" s="10">
        <v>16.575027675000001</v>
      </c>
      <c r="E2" s="10">
        <v>8.0592465000000002E-2</v>
      </c>
      <c r="F2" s="10">
        <v>14.520953328999999</v>
      </c>
      <c r="G2" s="10">
        <v>14.737319471999999</v>
      </c>
      <c r="H2" s="10">
        <v>15.090328265</v>
      </c>
      <c r="I2" s="10">
        <v>15.741642329999999</v>
      </c>
      <c r="J2" s="10">
        <v>16.575027675000001</v>
      </c>
      <c r="K2" s="10">
        <v>17.557187809999999</v>
      </c>
      <c r="L2" s="10">
        <v>18.609481276</v>
      </c>
      <c r="M2" s="10">
        <v>19.338010617999998</v>
      </c>
      <c r="N2" s="10">
        <v>19.859858115000002</v>
      </c>
    </row>
    <row r="3" spans="1:14" x14ac:dyDescent="0.25">
      <c r="A3" s="10">
        <v>1</v>
      </c>
      <c r="B3" s="13">
        <v>2.0416666666666665</v>
      </c>
      <c r="C3" s="10">
        <v>-1.9823735950000001</v>
      </c>
      <c r="D3" s="10">
        <v>16.547774867000001</v>
      </c>
      <c r="E3" s="10">
        <v>8.0127428799999997E-2</v>
      </c>
      <c r="F3" s="10">
        <v>14.503476668999999</v>
      </c>
      <c r="G3" s="10">
        <v>14.719292573000001</v>
      </c>
      <c r="H3" s="10">
        <v>15.071174743</v>
      </c>
      <c r="I3" s="10">
        <v>15.719628760000001</v>
      </c>
      <c r="J3" s="10">
        <v>16.547774867000001</v>
      </c>
      <c r="K3" s="10">
        <v>17.521292788</v>
      </c>
      <c r="L3" s="10">
        <v>18.561106337999998</v>
      </c>
      <c r="M3" s="10">
        <v>19.278898128000002</v>
      </c>
      <c r="N3" s="10">
        <v>19.791940141000001</v>
      </c>
    </row>
    <row r="4" spans="1:14" x14ac:dyDescent="0.25">
      <c r="A4" s="10">
        <v>1</v>
      </c>
      <c r="B4" s="13">
        <v>2.125</v>
      </c>
      <c r="C4" s="10">
        <v>-1.9241001689999999</v>
      </c>
      <c r="D4" s="10">
        <v>16.494427632000001</v>
      </c>
      <c r="E4" s="10">
        <v>7.9233993700000005E-2</v>
      </c>
      <c r="F4" s="10">
        <v>14.46882381</v>
      </c>
      <c r="G4" s="10">
        <v>14.683608414</v>
      </c>
      <c r="H4" s="10">
        <v>15.033357254</v>
      </c>
      <c r="I4" s="10">
        <v>15.676344635</v>
      </c>
      <c r="J4" s="10">
        <v>16.494427632000001</v>
      </c>
      <c r="K4" s="10">
        <v>17.451350388000002</v>
      </c>
      <c r="L4" s="10">
        <v>18.467295932999999</v>
      </c>
      <c r="M4" s="10">
        <v>19.164659645</v>
      </c>
      <c r="N4" s="10">
        <v>19.661023449999998</v>
      </c>
    </row>
    <row r="5" spans="1:14" x14ac:dyDescent="0.25">
      <c r="A5" s="10">
        <v>1</v>
      </c>
      <c r="B5" s="13">
        <v>2.2083333333333335</v>
      </c>
      <c r="C5" s="10">
        <v>-1.8654979300000001</v>
      </c>
      <c r="D5" s="10">
        <v>16.442595522000001</v>
      </c>
      <c r="E5" s="10">
        <v>7.8389356100000002E-2</v>
      </c>
      <c r="F5" s="10">
        <v>14.434597370000001</v>
      </c>
      <c r="G5" s="10">
        <v>14.648433294</v>
      </c>
      <c r="H5" s="10">
        <v>14.996195048000001</v>
      </c>
      <c r="I5" s="10">
        <v>15.634034999000001</v>
      </c>
      <c r="J5" s="10">
        <v>16.442595522000001</v>
      </c>
      <c r="K5" s="10">
        <v>17.383836554999998</v>
      </c>
      <c r="L5" s="10">
        <v>18.377361906000001</v>
      </c>
      <c r="M5" s="10">
        <v>19.055674233000001</v>
      </c>
      <c r="N5" s="10">
        <v>19.536575397</v>
      </c>
    </row>
    <row r="6" spans="1:14" x14ac:dyDescent="0.25">
      <c r="A6" s="10">
        <v>1</v>
      </c>
      <c r="B6" s="13">
        <v>2.2916666666666665</v>
      </c>
      <c r="C6" s="10">
        <v>-1.807261899</v>
      </c>
      <c r="D6" s="10">
        <v>16.392243398000002</v>
      </c>
      <c r="E6" s="10">
        <v>7.7593501199999998E-2</v>
      </c>
      <c r="F6" s="10">
        <v>14.400828277</v>
      </c>
      <c r="G6" s="10">
        <v>14.613786255000001</v>
      </c>
      <c r="H6" s="10">
        <v>14.959690474</v>
      </c>
      <c r="I6" s="10">
        <v>15.592679796000001</v>
      </c>
      <c r="J6" s="10">
        <v>16.392243398000002</v>
      </c>
      <c r="K6" s="10">
        <v>17.318710200999998</v>
      </c>
      <c r="L6" s="10">
        <v>18.291253449999999</v>
      </c>
      <c r="M6" s="10">
        <v>18.951867496999999</v>
      </c>
      <c r="N6" s="10">
        <v>19.418488052000001</v>
      </c>
    </row>
    <row r="7" spans="1:14" x14ac:dyDescent="0.25">
      <c r="A7" s="10">
        <v>1</v>
      </c>
      <c r="B7" s="13">
        <v>2.375</v>
      </c>
      <c r="C7" s="10">
        <v>-1.7501189049999999</v>
      </c>
      <c r="D7" s="10">
        <v>16.343336542999999</v>
      </c>
      <c r="E7" s="10">
        <v>7.6846462200000007E-2</v>
      </c>
      <c r="F7" s="10">
        <v>14.367547175</v>
      </c>
      <c r="G7" s="10">
        <v>14.579685777</v>
      </c>
      <c r="H7" s="10">
        <v>14.923845144</v>
      </c>
      <c r="I7" s="10">
        <v>15.552258527999999</v>
      </c>
      <c r="J7" s="10">
        <v>16.343336542999999</v>
      </c>
      <c r="K7" s="10">
        <v>17.255931298</v>
      </c>
      <c r="L7" s="10">
        <v>18.208920408000001</v>
      </c>
      <c r="M7" s="10">
        <v>18.853165291</v>
      </c>
      <c r="N7" s="10">
        <v>19.306654105</v>
      </c>
    </row>
    <row r="8" spans="1:14" x14ac:dyDescent="0.25">
      <c r="A8" s="10">
        <v>1</v>
      </c>
      <c r="B8" s="13">
        <v>2.4583333333333335</v>
      </c>
      <c r="C8" s="10">
        <v>-1.69481584</v>
      </c>
      <c r="D8" s="10">
        <v>16.295840971000001</v>
      </c>
      <c r="E8" s="10">
        <v>7.6148307900000003E-2</v>
      </c>
      <c r="F8" s="10">
        <v>14.334784135</v>
      </c>
      <c r="G8" s="10">
        <v>14.546149660999999</v>
      </c>
      <c r="H8" s="10">
        <v>14.888660028</v>
      </c>
      <c r="I8" s="10">
        <v>15.512750566999999</v>
      </c>
      <c r="J8" s="10">
        <v>16.295840971000001</v>
      </c>
      <c r="K8" s="10">
        <v>17.195460928999999</v>
      </c>
      <c r="L8" s="10">
        <v>18.130313101999999</v>
      </c>
      <c r="M8" s="10">
        <v>18.759493592999998</v>
      </c>
      <c r="N8" s="10">
        <v>19.200966909000002</v>
      </c>
    </row>
    <row r="9" spans="1:14" x14ac:dyDescent="0.25">
      <c r="A9" s="10">
        <v>1</v>
      </c>
      <c r="B9" s="13">
        <v>2.5416666666666665</v>
      </c>
      <c r="C9" s="10">
        <v>-1.6421067789999999</v>
      </c>
      <c r="D9" s="10">
        <v>16.249723714000002</v>
      </c>
      <c r="E9" s="10">
        <v>7.54991255E-2</v>
      </c>
      <c r="F9" s="10">
        <v>14.302568372</v>
      </c>
      <c r="G9" s="10">
        <v>14.513194923</v>
      </c>
      <c r="H9" s="10">
        <v>14.85413557</v>
      </c>
      <c r="I9" s="10">
        <v>15.474135486</v>
      </c>
      <c r="J9" s="10">
        <v>16.249723714000002</v>
      </c>
      <c r="K9" s="10">
        <v>17.137261294000002</v>
      </c>
      <c r="L9" s="10">
        <v>18.055382141999999</v>
      </c>
      <c r="M9" s="10">
        <v>18.670778406</v>
      </c>
      <c r="N9" s="10">
        <v>19.101320560000001</v>
      </c>
    </row>
    <row r="10" spans="1:14" x14ac:dyDescent="0.25">
      <c r="A10" s="10">
        <v>1</v>
      </c>
      <c r="B10" s="13">
        <v>2.625</v>
      </c>
      <c r="C10" s="10">
        <v>-1.592744414</v>
      </c>
      <c r="D10" s="10">
        <v>16.204952678000001</v>
      </c>
      <c r="E10" s="10">
        <v>7.4898993499999997E-2</v>
      </c>
      <c r="F10" s="10">
        <v>14.270928334000001</v>
      </c>
      <c r="G10" s="10">
        <v>14.480837948</v>
      </c>
      <c r="H10" s="10">
        <v>14.820271892999999</v>
      </c>
      <c r="I10" s="10">
        <v>15.436393188</v>
      </c>
      <c r="J10" s="10">
        <v>16.204952678000001</v>
      </c>
      <c r="K10" s="10">
        <v>17.081295301000001</v>
      </c>
      <c r="L10" s="10">
        <v>17.984078115999999</v>
      </c>
      <c r="M10" s="10">
        <v>18.586945885999999</v>
      </c>
      <c r="N10" s="10">
        <v>19.007610505999999</v>
      </c>
    </row>
    <row r="11" spans="1:14" x14ac:dyDescent="0.25">
      <c r="A11" s="10">
        <v>1</v>
      </c>
      <c r="B11" s="13">
        <v>2.7083333333333335</v>
      </c>
      <c r="C11" s="10">
        <v>-1.5474423909999999</v>
      </c>
      <c r="D11" s="10">
        <v>16.161498714</v>
      </c>
      <c r="E11" s="10">
        <v>7.4347996599999994E-2</v>
      </c>
      <c r="F11" s="10">
        <v>14.239889707</v>
      </c>
      <c r="G11" s="10">
        <v>14.449093293000001</v>
      </c>
      <c r="H11" s="10">
        <v>14.787068700000001</v>
      </c>
      <c r="I11" s="10">
        <v>15.399505212999999</v>
      </c>
      <c r="J11" s="10">
        <v>16.161498714</v>
      </c>
      <c r="K11" s="10">
        <v>17.027528307000001</v>
      </c>
      <c r="L11" s="10">
        <v>17.916351977000001</v>
      </c>
      <c r="M11" s="10">
        <v>18.507921309</v>
      </c>
      <c r="N11" s="10">
        <v>18.919731253999998</v>
      </c>
    </row>
    <row r="12" spans="1:14" x14ac:dyDescent="0.25">
      <c r="A12" s="10">
        <v>1</v>
      </c>
      <c r="B12" s="13">
        <v>2.7916666666666665</v>
      </c>
      <c r="C12" s="10">
        <v>-1.506902601</v>
      </c>
      <c r="D12" s="10">
        <v>16.119332581999998</v>
      </c>
      <c r="E12" s="10">
        <v>7.38461386E-2</v>
      </c>
      <c r="F12" s="10">
        <v>14.209478198999999</v>
      </c>
      <c r="G12" s="10">
        <v>14.417975613999999</v>
      </c>
      <c r="H12" s="10">
        <v>14.754525899000001</v>
      </c>
      <c r="I12" s="10">
        <v>15.363453352000001</v>
      </c>
      <c r="J12" s="10">
        <v>16.119332581999998</v>
      </c>
      <c r="K12" s="10">
        <v>16.975924853999999</v>
      </c>
      <c r="L12" s="10">
        <v>17.852153835999999</v>
      </c>
      <c r="M12" s="10">
        <v>18.433630719</v>
      </c>
      <c r="N12" s="10">
        <v>18.837580723999999</v>
      </c>
    </row>
    <row r="13" spans="1:14" x14ac:dyDescent="0.25">
      <c r="A13" s="10">
        <v>1</v>
      </c>
      <c r="B13" s="13">
        <v>2.875</v>
      </c>
      <c r="C13" s="10">
        <v>-1.4717700469999999</v>
      </c>
      <c r="D13" s="10">
        <v>16.078427579</v>
      </c>
      <c r="E13" s="10">
        <v>7.3393369799999997E-2</v>
      </c>
      <c r="F13" s="10">
        <v>14.179716981</v>
      </c>
      <c r="G13" s="10">
        <v>14.387498108999999</v>
      </c>
      <c r="H13" s="10">
        <v>14.722643425999999</v>
      </c>
      <c r="I13" s="10">
        <v>15.328221247</v>
      </c>
      <c r="J13" s="10">
        <v>16.078427579</v>
      </c>
      <c r="K13" s="10">
        <v>16.926451011000001</v>
      </c>
      <c r="L13" s="10">
        <v>17.791433588</v>
      </c>
      <c r="M13" s="10">
        <v>18.363999601</v>
      </c>
      <c r="N13" s="10">
        <v>18.761057108999999</v>
      </c>
    </row>
    <row r="14" spans="1:14" x14ac:dyDescent="0.25">
      <c r="A14" s="10">
        <v>1</v>
      </c>
      <c r="B14" s="13">
        <v>2.9583333333333335</v>
      </c>
      <c r="C14" s="10">
        <v>-1.4426289569999999</v>
      </c>
      <c r="D14" s="10">
        <v>16.038758957999999</v>
      </c>
      <c r="E14" s="10">
        <v>7.2989550799999997E-2</v>
      </c>
      <c r="F14" s="10">
        <v>14.150627151</v>
      </c>
      <c r="G14" s="10">
        <v>14.357672932</v>
      </c>
      <c r="H14" s="10">
        <v>14.691421518</v>
      </c>
      <c r="I14" s="10">
        <v>15.293794298</v>
      </c>
      <c r="J14" s="10">
        <v>16.038758957999999</v>
      </c>
      <c r="K14" s="10">
        <v>16.879073564999999</v>
      </c>
      <c r="L14" s="10">
        <v>17.734140533000001</v>
      </c>
      <c r="M14" s="10">
        <v>18.298953228999999</v>
      </c>
      <c r="N14" s="10">
        <v>18.690059923</v>
      </c>
    </row>
    <row r="15" spans="1:14" x14ac:dyDescent="0.25">
      <c r="A15" s="10">
        <v>1</v>
      </c>
      <c r="B15" s="13">
        <v>3.0416666666666665</v>
      </c>
      <c r="C15" s="10">
        <v>-1.419991255</v>
      </c>
      <c r="D15" s="10">
        <v>16.000304012000001</v>
      </c>
      <c r="E15" s="10">
        <v>7.2634432299999996E-2</v>
      </c>
      <c r="F15" s="10">
        <v>14.122227569</v>
      </c>
      <c r="G15" s="10">
        <v>14.328511189</v>
      </c>
      <c r="H15" s="10">
        <v>14.660860874999999</v>
      </c>
      <c r="I15" s="10">
        <v>15.260159883</v>
      </c>
      <c r="J15" s="10">
        <v>16.000304012000001</v>
      </c>
      <c r="K15" s="10">
        <v>16.833759903000001</v>
      </c>
      <c r="L15" s="10">
        <v>17.680223246000001</v>
      </c>
      <c r="M15" s="10">
        <v>18.238416661999999</v>
      </c>
      <c r="N15" s="10">
        <v>18.624490107</v>
      </c>
    </row>
    <row r="16" spans="1:14" x14ac:dyDescent="0.25">
      <c r="A16" s="10">
        <v>1</v>
      </c>
      <c r="B16" s="13">
        <v>3.125</v>
      </c>
      <c r="C16" s="10">
        <v>-1.4042776189999999</v>
      </c>
      <c r="D16" s="10">
        <v>15.963042771</v>
      </c>
      <c r="E16" s="10">
        <v>7.2327648999999994E-2</v>
      </c>
      <c r="F16" s="10">
        <v>14.094534131</v>
      </c>
      <c r="G16" s="10">
        <v>14.300022559</v>
      </c>
      <c r="H16" s="10">
        <v>14.630962724</v>
      </c>
      <c r="I16" s="10">
        <v>15.22730791</v>
      </c>
      <c r="J16" s="10">
        <v>15.963042771</v>
      </c>
      <c r="K16" s="10">
        <v>16.790478520000001</v>
      </c>
      <c r="L16" s="10">
        <v>17.629629649999998</v>
      </c>
      <c r="M16" s="10">
        <v>18.182314400999999</v>
      </c>
      <c r="N16" s="10">
        <v>18.564249301</v>
      </c>
    </row>
    <row r="17" spans="1:14" x14ac:dyDescent="0.25">
      <c r="A17" s="10">
        <v>1</v>
      </c>
      <c r="B17" s="13">
        <v>3.2083333333333335</v>
      </c>
      <c r="C17" s="10">
        <v>-1.3958631699999999</v>
      </c>
      <c r="D17" s="10">
        <v>15.926954175000001</v>
      </c>
      <c r="E17" s="10">
        <v>7.2068640099999998E-2</v>
      </c>
      <c r="F17" s="10">
        <v>14.067563285</v>
      </c>
      <c r="G17" s="10">
        <v>14.27221761</v>
      </c>
      <c r="H17" s="10">
        <v>14.601729363</v>
      </c>
      <c r="I17" s="10">
        <v>15.195228800000001</v>
      </c>
      <c r="J17" s="10">
        <v>15.926954175000001</v>
      </c>
      <c r="K17" s="10">
        <v>16.749195247999999</v>
      </c>
      <c r="L17" s="10">
        <v>17.582305866999999</v>
      </c>
      <c r="M17" s="10">
        <v>18.130572441000002</v>
      </c>
      <c r="N17" s="10">
        <v>18.509244783</v>
      </c>
    </row>
    <row r="18" spans="1:14" x14ac:dyDescent="0.25">
      <c r="A18" s="10">
        <v>1</v>
      </c>
      <c r="B18" s="13">
        <v>3.2916666666666665</v>
      </c>
      <c r="C18" s="10">
        <v>-1.394935252</v>
      </c>
      <c r="D18" s="10">
        <v>15.892025816</v>
      </c>
      <c r="E18" s="10">
        <v>7.1856805199999998E-2</v>
      </c>
      <c r="F18" s="10">
        <v>14.041322876000001</v>
      </c>
      <c r="G18" s="10">
        <v>14.245102016000001</v>
      </c>
      <c r="H18" s="10">
        <v>14.573163164</v>
      </c>
      <c r="I18" s="10">
        <v>15.163919011999999</v>
      </c>
      <c r="J18" s="10">
        <v>15.892025816</v>
      </c>
      <c r="K18" s="10">
        <v>16.709882467</v>
      </c>
      <c r="L18" s="10">
        <v>17.538198876999999</v>
      </c>
      <c r="M18" s="10">
        <v>18.083113111999999</v>
      </c>
      <c r="N18" s="10">
        <v>18.459377192000002</v>
      </c>
    </row>
    <row r="19" spans="1:14" x14ac:dyDescent="0.25">
      <c r="A19" s="10">
        <v>1</v>
      </c>
      <c r="B19" s="13">
        <v>3.375</v>
      </c>
      <c r="C19" s="10">
        <v>-1.4016715959999999</v>
      </c>
      <c r="D19" s="10">
        <v>15.858240929000001</v>
      </c>
      <c r="E19" s="10">
        <v>7.1691277999999997E-2</v>
      </c>
      <c r="F19" s="10">
        <v>14.015824303</v>
      </c>
      <c r="G19" s="10">
        <v>14.218684325</v>
      </c>
      <c r="H19" s="10">
        <v>14.545268061</v>
      </c>
      <c r="I19" s="10">
        <v>15.133373820999999</v>
      </c>
      <c r="J19" s="10">
        <v>15.858240929000001</v>
      </c>
      <c r="K19" s="10">
        <v>16.672506675000001</v>
      </c>
      <c r="L19" s="10">
        <v>17.497252885000002</v>
      </c>
      <c r="M19" s="10">
        <v>18.039861981000001</v>
      </c>
      <c r="N19" s="10">
        <v>18.414556972</v>
      </c>
    </row>
    <row r="20" spans="1:14" x14ac:dyDescent="0.25">
      <c r="A20" s="10">
        <v>1</v>
      </c>
      <c r="B20" s="13">
        <v>3.4583333333333335</v>
      </c>
      <c r="C20" s="10">
        <v>-1.416100312</v>
      </c>
      <c r="D20" s="10">
        <v>15.825588223</v>
      </c>
      <c r="E20" s="10">
        <v>7.1571093299999999E-2</v>
      </c>
      <c r="F20" s="10">
        <v>13.991073321</v>
      </c>
      <c r="G20" s="10">
        <v>14.192970111999999</v>
      </c>
      <c r="H20" s="10">
        <v>14.518048471</v>
      </c>
      <c r="I20" s="10">
        <v>15.103592813000001</v>
      </c>
      <c r="J20" s="10">
        <v>15.825588223</v>
      </c>
      <c r="K20" s="10">
        <v>16.637037867</v>
      </c>
      <c r="L20" s="10">
        <v>17.459412066999999</v>
      </c>
      <c r="M20" s="10">
        <v>18.00074262</v>
      </c>
      <c r="N20" s="10">
        <v>18.374691867999999</v>
      </c>
    </row>
    <row r="21" spans="1:14" x14ac:dyDescent="0.25">
      <c r="A21" s="10">
        <v>1</v>
      </c>
      <c r="B21" s="13">
        <v>3.5416666666666665</v>
      </c>
      <c r="C21" s="10">
        <v>-1.438164899</v>
      </c>
      <c r="D21" s="10">
        <v>15.794057282000001</v>
      </c>
      <c r="E21" s="10">
        <v>7.1495113099999993E-2</v>
      </c>
      <c r="F21" s="10">
        <v>13.967074386</v>
      </c>
      <c r="G21" s="10">
        <v>14.167964724000001</v>
      </c>
      <c r="H21" s="10">
        <v>14.491509775000001</v>
      </c>
      <c r="I21" s="10">
        <v>15.074577279</v>
      </c>
      <c r="J21" s="10">
        <v>15.794057282000001</v>
      </c>
      <c r="K21" s="10">
        <v>16.603445205</v>
      </c>
      <c r="L21" s="10">
        <v>17.424619345</v>
      </c>
      <c r="M21" s="10">
        <v>17.965679031000001</v>
      </c>
      <c r="N21" s="10">
        <v>18.339692641999999</v>
      </c>
    </row>
    <row r="22" spans="1:14" x14ac:dyDescent="0.25">
      <c r="A22" s="10">
        <v>1</v>
      </c>
      <c r="B22" s="13">
        <v>3.625</v>
      </c>
      <c r="C22" s="10">
        <v>-1.4676690320000001</v>
      </c>
      <c r="D22" s="10">
        <v>15.763642549</v>
      </c>
      <c r="E22" s="10">
        <v>7.14621062E-2</v>
      </c>
      <c r="F22" s="10">
        <v>13.943826979000001</v>
      </c>
      <c r="G22" s="10">
        <v>14.143670894</v>
      </c>
      <c r="H22" s="10">
        <v>14.465657800000001</v>
      </c>
      <c r="I22" s="10">
        <v>15.046332352</v>
      </c>
      <c r="J22" s="10">
        <v>15.763642549</v>
      </c>
      <c r="K22" s="10">
        <v>16.571700922000002</v>
      </c>
      <c r="L22" s="10">
        <v>17.392817585</v>
      </c>
      <c r="M22" s="10">
        <v>17.934593498000002</v>
      </c>
      <c r="N22" s="10">
        <v>18.309467847000001</v>
      </c>
    </row>
    <row r="23" spans="1:14" x14ac:dyDescent="0.25">
      <c r="A23" s="10">
        <v>1</v>
      </c>
      <c r="B23" s="13">
        <v>3.7083333333333335</v>
      </c>
      <c r="C23" s="10">
        <v>-1.504376347</v>
      </c>
      <c r="D23" s="10">
        <v>15.734336684000001</v>
      </c>
      <c r="E23" s="10">
        <v>7.1470646200000001E-2</v>
      </c>
      <c r="F23" s="10">
        <v>13.921331901</v>
      </c>
      <c r="G23" s="10">
        <v>14.120092688</v>
      </c>
      <c r="H23" s="10">
        <v>14.440499466</v>
      </c>
      <c r="I23" s="10">
        <v>15.018863186000001</v>
      </c>
      <c r="J23" s="10">
        <v>15.734336684000001</v>
      </c>
      <c r="K23" s="10">
        <v>16.541774115999999</v>
      </c>
      <c r="L23" s="10">
        <v>17.363947847999999</v>
      </c>
      <c r="M23" s="10">
        <v>17.907410074000001</v>
      </c>
      <c r="N23" s="10">
        <v>18.283932044</v>
      </c>
    </row>
    <row r="24" spans="1:14" x14ac:dyDescent="0.25">
      <c r="A24" s="10">
        <v>1</v>
      </c>
      <c r="B24" s="13">
        <v>3.7916666666666665</v>
      </c>
      <c r="C24" s="10">
        <v>-1.547942838</v>
      </c>
      <c r="D24" s="10">
        <v>15.706135657000001</v>
      </c>
      <c r="E24" s="10">
        <v>7.1519217699999998E-2</v>
      </c>
      <c r="F24" s="10">
        <v>13.899586602999999</v>
      </c>
      <c r="G24" s="10">
        <v>14.097232459000001</v>
      </c>
      <c r="H24" s="10">
        <v>14.416042095</v>
      </c>
      <c r="I24" s="10">
        <v>14.992177658999999</v>
      </c>
      <c r="J24" s="10">
        <v>15.706135657000001</v>
      </c>
      <c r="K24" s="10">
        <v>16.513635771000001</v>
      </c>
      <c r="L24" s="10">
        <v>17.337950949</v>
      </c>
      <c r="M24" s="10">
        <v>17.884051832000001</v>
      </c>
      <c r="N24" s="10">
        <v>18.262999111999999</v>
      </c>
    </row>
    <row r="25" spans="1:14" x14ac:dyDescent="0.25">
      <c r="A25" s="10">
        <v>1</v>
      </c>
      <c r="B25" s="13">
        <v>3.875</v>
      </c>
      <c r="C25" s="10">
        <v>-1.597896397</v>
      </c>
      <c r="D25" s="10">
        <v>15.679040623000001</v>
      </c>
      <c r="E25" s="10">
        <v>7.1606276900000002E-2</v>
      </c>
      <c r="F25" s="10">
        <v>13.878583524</v>
      </c>
      <c r="G25" s="10">
        <v>14.075089663</v>
      </c>
      <c r="H25" s="10">
        <v>14.392292996</v>
      </c>
      <c r="I25" s="10">
        <v>14.966287194</v>
      </c>
      <c r="J25" s="10">
        <v>15.679040623000001</v>
      </c>
      <c r="K25" s="10">
        <v>16.487260818999999</v>
      </c>
      <c r="L25" s="10">
        <v>17.314768223000002</v>
      </c>
      <c r="M25" s="10">
        <v>17.864439827000002</v>
      </c>
      <c r="N25" s="10">
        <v>18.246579487000002</v>
      </c>
    </row>
    <row r="26" spans="1:14" x14ac:dyDescent="0.25">
      <c r="A26" s="10">
        <v>1</v>
      </c>
      <c r="B26" s="13">
        <v>3.9583333333333335</v>
      </c>
      <c r="C26" s="10">
        <v>-1.6537322830000001</v>
      </c>
      <c r="D26" s="10">
        <v>15.653051916000001</v>
      </c>
      <c r="E26" s="10">
        <v>7.1730166999999997E-2</v>
      </c>
      <c r="F26" s="10">
        <v>13.858315817999999</v>
      </c>
      <c r="G26" s="10">
        <v>14.053664432</v>
      </c>
      <c r="H26" s="10">
        <v>14.369260002000001</v>
      </c>
      <c r="I26" s="10">
        <v>14.941203248000001</v>
      </c>
      <c r="J26" s="10">
        <v>15.653051916000001</v>
      </c>
      <c r="K26" s="10">
        <v>16.462622583999998</v>
      </c>
      <c r="L26" s="10">
        <v>17.294339986000001</v>
      </c>
      <c r="M26" s="10">
        <v>17.848496221000001</v>
      </c>
      <c r="N26" s="10">
        <v>18.234587502</v>
      </c>
    </row>
    <row r="27" spans="1:14" x14ac:dyDescent="0.25">
      <c r="A27" s="10">
        <v>1</v>
      </c>
      <c r="B27" s="13">
        <v>4.041666666666667</v>
      </c>
      <c r="C27" s="10">
        <v>-1.714869347</v>
      </c>
      <c r="D27" s="10">
        <v>15.628172692</v>
      </c>
      <c r="E27" s="10">
        <v>7.1889213600000001E-2</v>
      </c>
      <c r="F27" s="10">
        <v>13.838774042000001</v>
      </c>
      <c r="G27" s="10">
        <v>14.032955327</v>
      </c>
      <c r="H27" s="10">
        <v>14.346950843</v>
      </c>
      <c r="I27" s="10">
        <v>14.916939106999999</v>
      </c>
      <c r="J27" s="10">
        <v>15.628172692</v>
      </c>
      <c r="K27" s="10">
        <v>16.439696570999999</v>
      </c>
      <c r="L27" s="10">
        <v>17.276606838999999</v>
      </c>
      <c r="M27" s="10">
        <v>17.836142297999999</v>
      </c>
      <c r="N27" s="10">
        <v>18.226936331000001</v>
      </c>
    </row>
    <row r="28" spans="1:14" x14ac:dyDescent="0.25">
      <c r="A28" s="10">
        <v>1</v>
      </c>
      <c r="B28" s="13">
        <v>4.125</v>
      </c>
      <c r="C28" s="10">
        <v>-1.780673181</v>
      </c>
      <c r="D28" s="10">
        <v>15.604407996999999</v>
      </c>
      <c r="E28" s="10">
        <v>7.2081737300000004E-2</v>
      </c>
      <c r="F28" s="10">
        <v>13.819947108999999</v>
      </c>
      <c r="G28" s="10">
        <v>14.012959843999999</v>
      </c>
      <c r="H28" s="10">
        <v>14.325373047999999</v>
      </c>
      <c r="I28" s="10">
        <v>14.893509134</v>
      </c>
      <c r="J28" s="10">
        <v>15.604407996999999</v>
      </c>
      <c r="K28" s="10">
        <v>16.418459852000002</v>
      </c>
      <c r="L28" s="10">
        <v>17.261509659000001</v>
      </c>
      <c r="M28" s="10">
        <v>17.827298904999999</v>
      </c>
      <c r="N28" s="10">
        <v>18.223538751</v>
      </c>
    </row>
    <row r="29" spans="1:14" x14ac:dyDescent="0.25">
      <c r="A29" s="10">
        <v>1</v>
      </c>
      <c r="B29" s="13">
        <v>4.208333333333333</v>
      </c>
      <c r="C29" s="10">
        <v>-1.8504684730000001</v>
      </c>
      <c r="D29" s="10">
        <v>15.58176458</v>
      </c>
      <c r="E29" s="10">
        <v>7.2306081300000005E-2</v>
      </c>
      <c r="F29" s="10">
        <v>13.801822530000001</v>
      </c>
      <c r="G29" s="10">
        <v>13.993674447</v>
      </c>
      <c r="H29" s="10">
        <v>14.304533768000001</v>
      </c>
      <c r="I29" s="10">
        <v>14.870928450999999</v>
      </c>
      <c r="J29" s="10">
        <v>15.58176458</v>
      </c>
      <c r="K29" s="10">
        <v>16.398891192000001</v>
      </c>
      <c r="L29" s="10">
        <v>17.24898984</v>
      </c>
      <c r="M29" s="10">
        <v>17.821886501000002</v>
      </c>
      <c r="N29" s="10">
        <v>18.224306914</v>
      </c>
    </row>
    <row r="30" spans="1:14" x14ac:dyDescent="0.25">
      <c r="A30" s="10">
        <v>1</v>
      </c>
      <c r="B30" s="13">
        <v>4.291666666666667</v>
      </c>
      <c r="C30" s="10">
        <v>-1.9235518650000001</v>
      </c>
      <c r="D30" s="10">
        <v>15.560250666</v>
      </c>
      <c r="E30" s="10">
        <v>7.2560636900000003E-2</v>
      </c>
      <c r="F30" s="10">
        <v>13.784386668</v>
      </c>
      <c r="G30" s="10">
        <v>13.975094635</v>
      </c>
      <c r="H30" s="10">
        <v>14.284439602999999</v>
      </c>
      <c r="I30" s="10">
        <v>14.849212593000001</v>
      </c>
      <c r="J30" s="10">
        <v>15.560250666</v>
      </c>
      <c r="K30" s="10">
        <v>16.380971127999999</v>
      </c>
      <c r="L30" s="10">
        <v>17.238989524000001</v>
      </c>
      <c r="M30" s="10">
        <v>17.819825228999999</v>
      </c>
      <c r="N30" s="10">
        <v>18.229152160000002</v>
      </c>
    </row>
    <row r="31" spans="1:14" x14ac:dyDescent="0.25">
      <c r="A31" s="10">
        <v>1</v>
      </c>
      <c r="B31" s="13">
        <v>4.375</v>
      </c>
      <c r="C31" s="10">
        <v>-1.999220429</v>
      </c>
      <c r="D31" s="10">
        <v>15.539874597000001</v>
      </c>
      <c r="E31" s="10">
        <v>7.2843839699999996E-2</v>
      </c>
      <c r="F31" s="10">
        <v>13.767626047</v>
      </c>
      <c r="G31" s="10">
        <v>13.957215715</v>
      </c>
      <c r="H31" s="10">
        <v>14.265096646</v>
      </c>
      <c r="I31" s="10">
        <v>14.828376619</v>
      </c>
      <c r="J31" s="10">
        <v>15.539874597000001</v>
      </c>
      <c r="K31" s="10">
        <v>16.364680878000001</v>
      </c>
      <c r="L31" s="10">
        <v>17.231451423999999</v>
      </c>
      <c r="M31" s="10">
        <v>17.821035591000001</v>
      </c>
      <c r="N31" s="10">
        <v>18.237986373999998</v>
      </c>
    </row>
    <row r="32" spans="1:14" x14ac:dyDescent="0.25">
      <c r="A32" s="10">
        <v>1</v>
      </c>
      <c r="B32" s="13">
        <v>4.458333333333333</v>
      </c>
      <c r="C32" s="10">
        <v>-2.0767071779999999</v>
      </c>
      <c r="D32" s="10">
        <v>15.520649926999999</v>
      </c>
      <c r="E32" s="10">
        <v>7.3154323500000007E-2</v>
      </c>
      <c r="F32" s="10">
        <v>13.751522482</v>
      </c>
      <c r="G32" s="10">
        <v>13.940029469000001</v>
      </c>
      <c r="H32" s="10">
        <v>14.246509433</v>
      </c>
      <c r="I32" s="10">
        <v>14.808437487000001</v>
      </c>
      <c r="J32" s="10">
        <v>15.520649926999999</v>
      </c>
      <c r="K32" s="10">
        <v>16.350007898000001</v>
      </c>
      <c r="L32" s="10">
        <v>17.226321050999999</v>
      </c>
      <c r="M32" s="10">
        <v>17.825435775999999</v>
      </c>
      <c r="N32" s="10">
        <v>18.250714444</v>
      </c>
    </row>
    <row r="33" spans="1:14" x14ac:dyDescent="0.25">
      <c r="A33" s="10">
        <v>1</v>
      </c>
      <c r="B33" s="13">
        <v>4.541666666666667</v>
      </c>
      <c r="C33" s="10">
        <v>-2.1553480170000001</v>
      </c>
      <c r="D33" s="10">
        <v>15.502584267</v>
      </c>
      <c r="E33" s="10">
        <v>7.3490666800000007E-2</v>
      </c>
      <c r="F33" s="10">
        <v>13.736063680000001</v>
      </c>
      <c r="G33" s="10">
        <v>13.923531161</v>
      </c>
      <c r="H33" s="10">
        <v>14.228682711999999</v>
      </c>
      <c r="I33" s="10">
        <v>14.7894083</v>
      </c>
      <c r="J33" s="10">
        <v>15.502584267</v>
      </c>
      <c r="K33" s="10">
        <v>16.336934616000001</v>
      </c>
      <c r="L33" s="10">
        <v>17.223542857999998</v>
      </c>
      <c r="M33" s="10">
        <v>17.832947441000002</v>
      </c>
      <c r="N33" s="10">
        <v>18.26724918</v>
      </c>
    </row>
    <row r="34" spans="1:14" x14ac:dyDescent="0.25">
      <c r="A34" s="10">
        <v>1</v>
      </c>
      <c r="B34" s="13">
        <v>4.625</v>
      </c>
      <c r="C34" s="10">
        <v>-2.2344385519999999</v>
      </c>
      <c r="D34" s="10">
        <v>15.485689732000001</v>
      </c>
      <c r="E34" s="10">
        <v>7.3851671600000002E-2</v>
      </c>
      <c r="F34" s="10">
        <v>13.721233222</v>
      </c>
      <c r="G34" s="10">
        <v>13.907712809</v>
      </c>
      <c r="H34" s="10">
        <v>14.211619535000001</v>
      </c>
      <c r="I34" s="10">
        <v>14.771303434</v>
      </c>
      <c r="J34" s="10">
        <v>15.485689732000001</v>
      </c>
      <c r="K34" s="10">
        <v>16.325449456000001</v>
      </c>
      <c r="L34" s="10">
        <v>17.223064431000001</v>
      </c>
      <c r="M34" s="10">
        <v>17.843490284000001</v>
      </c>
      <c r="N34" s="10">
        <v>18.287496428000001</v>
      </c>
    </row>
    <row r="35" spans="1:14" x14ac:dyDescent="0.25">
      <c r="A35" s="10">
        <v>1</v>
      </c>
      <c r="B35" s="13">
        <v>4.708333333333333</v>
      </c>
      <c r="C35" s="10">
        <v>-2.3133217230000001</v>
      </c>
      <c r="D35" s="10">
        <v>15.469977177000001</v>
      </c>
      <c r="E35" s="10">
        <v>7.4236234600000006E-2</v>
      </c>
      <c r="F35" s="10">
        <v>13.707015988</v>
      </c>
      <c r="G35" s="10">
        <v>13.892566777000001</v>
      </c>
      <c r="H35" s="10">
        <v>14.195322163</v>
      </c>
      <c r="I35" s="10">
        <v>14.754135564</v>
      </c>
      <c r="J35" s="10">
        <v>15.469977177000001</v>
      </c>
      <c r="K35" s="10">
        <v>16.315541055000001</v>
      </c>
      <c r="L35" s="10">
        <v>17.224834583</v>
      </c>
      <c r="M35" s="10">
        <v>17.856985049999999</v>
      </c>
      <c r="N35" s="10">
        <v>18.311362644999999</v>
      </c>
    </row>
    <row r="36" spans="1:14" x14ac:dyDescent="0.25">
      <c r="A36" s="10">
        <v>1</v>
      </c>
      <c r="B36" s="13">
        <v>4.791666666666667</v>
      </c>
      <c r="C36" s="10">
        <v>-2.3913812729999999</v>
      </c>
      <c r="D36" s="10">
        <v>15.455456915999999</v>
      </c>
      <c r="E36" s="10">
        <v>7.4643373799999996E-2</v>
      </c>
      <c r="F36" s="10">
        <v>13.693397391</v>
      </c>
      <c r="G36" s="10">
        <v>13.878085253</v>
      </c>
      <c r="H36" s="10">
        <v>14.179791901</v>
      </c>
      <c r="I36" s="10">
        <v>14.737915992</v>
      </c>
      <c r="J36" s="10">
        <v>15.455456915999999</v>
      </c>
      <c r="K36" s="10">
        <v>16.307199139000002</v>
      </c>
      <c r="L36" s="10">
        <v>17.228803834000001</v>
      </c>
      <c r="M36" s="10">
        <v>17.873353183999999</v>
      </c>
      <c r="N36" s="10">
        <v>18.338753563000001</v>
      </c>
    </row>
    <row r="37" spans="1:14" x14ac:dyDescent="0.25">
      <c r="A37" s="10">
        <v>1</v>
      </c>
      <c r="B37" s="13">
        <v>4.875</v>
      </c>
      <c r="C37" s="10">
        <v>-2.4680324910000002</v>
      </c>
      <c r="D37" s="10">
        <v>15.442139608</v>
      </c>
      <c r="E37" s="10">
        <v>7.5072263599999994E-2</v>
      </c>
      <c r="F37" s="10">
        <v>13.680362417</v>
      </c>
      <c r="G37" s="10">
        <v>13.864259589</v>
      </c>
      <c r="H37" s="10">
        <v>14.165028851000001</v>
      </c>
      <c r="I37" s="10">
        <v>14.722655011000001</v>
      </c>
      <c r="J37" s="10">
        <v>15.442139608</v>
      </c>
      <c r="K37" s="10">
        <v>16.300415606000001</v>
      </c>
      <c r="L37" s="10">
        <v>17.234925021999999</v>
      </c>
      <c r="M37" s="10">
        <v>17.892516422</v>
      </c>
      <c r="N37" s="10">
        <v>18.369572559000002</v>
      </c>
    </row>
    <row r="38" spans="1:14" x14ac:dyDescent="0.25">
      <c r="A38" s="10">
        <v>1</v>
      </c>
      <c r="B38" s="13">
        <v>4.958333333333333</v>
      </c>
      <c r="C38" s="10">
        <v>-2.5427815410000001</v>
      </c>
      <c r="D38" s="10">
        <v>15.430032071999999</v>
      </c>
      <c r="E38" s="10">
        <v>7.5522103699999996E-2</v>
      </c>
      <c r="F38" s="10">
        <v>13.667899624</v>
      </c>
      <c r="G38" s="10">
        <v>13.851083083000001</v>
      </c>
      <c r="H38" s="10">
        <v>14.151032864999999</v>
      </c>
      <c r="I38" s="10">
        <v>14.708360040000001</v>
      </c>
      <c r="J38" s="10">
        <v>15.430032071999999</v>
      </c>
      <c r="K38" s="10">
        <v>16.295179938</v>
      </c>
      <c r="L38" s="10">
        <v>17.243151475000001</v>
      </c>
      <c r="M38" s="10">
        <v>17.914398943999998</v>
      </c>
      <c r="N38" s="10">
        <v>18.403726711000001</v>
      </c>
    </row>
    <row r="39" spans="1:14" x14ac:dyDescent="0.25">
      <c r="A39" s="10">
        <v>1</v>
      </c>
      <c r="B39" s="13">
        <v>5.041666666666667</v>
      </c>
      <c r="C39" s="10">
        <v>-2.6151659500000002</v>
      </c>
      <c r="D39" s="10">
        <v>15.419141631</v>
      </c>
      <c r="E39" s="10">
        <v>7.5992250100000006E-2</v>
      </c>
      <c r="F39" s="10">
        <v>13.655996831</v>
      </c>
      <c r="G39" s="10">
        <v>13.838548037000001</v>
      </c>
      <c r="H39" s="10">
        <v>14.137802612</v>
      </c>
      <c r="I39" s="10">
        <v>14.695037643999999</v>
      </c>
      <c r="J39" s="10">
        <v>15.419141631</v>
      </c>
      <c r="K39" s="10">
        <v>16.291483973999998</v>
      </c>
      <c r="L39" s="10">
        <v>17.253439085</v>
      </c>
      <c r="M39" s="10">
        <v>17.938925239</v>
      </c>
      <c r="N39" s="10">
        <v>18.441120211000001</v>
      </c>
    </row>
    <row r="40" spans="1:14" x14ac:dyDescent="0.25">
      <c r="A40" s="10">
        <v>1</v>
      </c>
      <c r="B40" s="13">
        <v>5.125</v>
      </c>
      <c r="C40" s="10">
        <v>-2.6847895159999999</v>
      </c>
      <c r="D40" s="10">
        <v>15.409473561</v>
      </c>
      <c r="E40" s="10">
        <v>7.6482128400000002E-2</v>
      </c>
      <c r="F40" s="10">
        <v>13.644643533</v>
      </c>
      <c r="G40" s="10">
        <v>13.82664746</v>
      </c>
      <c r="H40" s="10">
        <v>14.125336194999999</v>
      </c>
      <c r="I40" s="10">
        <v>14.682692443000001</v>
      </c>
      <c r="J40" s="10">
        <v>15.409473561</v>
      </c>
      <c r="K40" s="10">
        <v>16.289319041999999</v>
      </c>
      <c r="L40" s="10">
        <v>17.265745146</v>
      </c>
      <c r="M40" s="10">
        <v>17.966021440999999</v>
      </c>
      <c r="N40" s="10">
        <v>18.481658124999999</v>
      </c>
    </row>
    <row r="41" spans="1:14" x14ac:dyDescent="0.25">
      <c r="A41" s="10">
        <v>1</v>
      </c>
      <c r="B41" s="13">
        <v>5.208333333333333</v>
      </c>
      <c r="C41" s="10">
        <v>-2.751316949</v>
      </c>
      <c r="D41" s="10">
        <v>15.401031388</v>
      </c>
      <c r="E41" s="10">
        <v>7.6991232399999998E-2</v>
      </c>
      <c r="F41" s="10">
        <v>13.633830562</v>
      </c>
      <c r="G41" s="10">
        <v>13.815374888999999</v>
      </c>
      <c r="H41" s="10">
        <v>14.113631166999999</v>
      </c>
      <c r="I41" s="10">
        <v>14.671327346</v>
      </c>
      <c r="J41" s="10">
        <v>15.401031388</v>
      </c>
      <c r="K41" s="10">
        <v>16.288676194000001</v>
      </c>
      <c r="L41" s="10">
        <v>17.280028455</v>
      </c>
      <c r="M41" s="10">
        <v>17.995615230999999</v>
      </c>
      <c r="N41" s="10">
        <v>18.525245989999998</v>
      </c>
    </row>
    <row r="42" spans="1:14" x14ac:dyDescent="0.25">
      <c r="A42" s="10">
        <v>1</v>
      </c>
      <c r="B42" s="13">
        <v>5.291666666666667</v>
      </c>
      <c r="C42" s="10">
        <v>-2.8144594500000002</v>
      </c>
      <c r="D42" s="10">
        <v>15.393817852</v>
      </c>
      <c r="E42" s="10">
        <v>7.7519148699999998E-2</v>
      </c>
      <c r="F42" s="10">
        <v>13.623549065000001</v>
      </c>
      <c r="G42" s="10">
        <v>13.804723699</v>
      </c>
      <c r="H42" s="10">
        <v>14.102684332999999</v>
      </c>
      <c r="I42" s="10">
        <v>14.660944024999999</v>
      </c>
      <c r="J42" s="10">
        <v>15.393817852</v>
      </c>
      <c r="K42" s="10">
        <v>16.289547231</v>
      </c>
      <c r="L42" s="10">
        <v>17.296249804999999</v>
      </c>
      <c r="M42" s="10">
        <v>18.027635434</v>
      </c>
      <c r="N42" s="10">
        <v>18.571788322</v>
      </c>
    </row>
    <row r="43" spans="1:14" x14ac:dyDescent="0.25">
      <c r="A43" s="10">
        <v>1</v>
      </c>
      <c r="B43" s="13">
        <v>5.375</v>
      </c>
      <c r="C43" s="10">
        <v>-2.8740247600000002</v>
      </c>
      <c r="D43" s="10">
        <v>15.387830936</v>
      </c>
      <c r="E43" s="10">
        <v>7.8065389799999996E-2</v>
      </c>
      <c r="F43" s="10">
        <v>13.613794519000001</v>
      </c>
      <c r="G43" s="10">
        <v>13.794690036</v>
      </c>
      <c r="H43" s="10">
        <v>14.092492991</v>
      </c>
      <c r="I43" s="10">
        <v>14.651541441000001</v>
      </c>
      <c r="J43" s="10">
        <v>15.387830936</v>
      </c>
      <c r="K43" s="10">
        <v>16.291919818</v>
      </c>
      <c r="L43" s="10">
        <v>17.314369537000001</v>
      </c>
      <c r="M43" s="10">
        <v>18.062013961000002</v>
      </c>
      <c r="N43" s="10">
        <v>18.621195326999999</v>
      </c>
    </row>
    <row r="44" spans="1:14" x14ac:dyDescent="0.25">
      <c r="A44" s="10">
        <v>1</v>
      </c>
      <c r="B44" s="13">
        <v>5.458333333333333</v>
      </c>
      <c r="C44" s="10">
        <v>-2.9298404800000002</v>
      </c>
      <c r="D44" s="10">
        <v>15.383069448000001</v>
      </c>
      <c r="E44" s="10">
        <v>7.8629591900000004E-2</v>
      </c>
      <c r="F44" s="10">
        <v>13.604561063</v>
      </c>
      <c r="G44" s="10">
        <v>13.785268816</v>
      </c>
      <c r="H44" s="10">
        <v>14.083053447999999</v>
      </c>
      <c r="I44" s="10">
        <v>14.643118207000001</v>
      </c>
      <c r="J44" s="10">
        <v>15.383069448000001</v>
      </c>
      <c r="K44" s="10">
        <v>16.295783957000001</v>
      </c>
      <c r="L44" s="10">
        <v>17.334350627999999</v>
      </c>
      <c r="M44" s="10">
        <v>18.098683166000001</v>
      </c>
      <c r="N44" s="10">
        <v>18.673373953999999</v>
      </c>
    </row>
    <row r="45" spans="1:14" x14ac:dyDescent="0.25">
      <c r="A45" s="10">
        <v>1</v>
      </c>
      <c r="B45" s="13">
        <v>5.541666666666667</v>
      </c>
      <c r="C45" s="10">
        <v>-2.9817968279999998</v>
      </c>
      <c r="D45" s="10">
        <v>15.37952958</v>
      </c>
      <c r="E45" s="10">
        <v>7.9211369399999995E-2</v>
      </c>
      <c r="F45" s="10">
        <v>13.595844997</v>
      </c>
      <c r="G45" s="10">
        <v>13.776456272000001</v>
      </c>
      <c r="H45" s="10">
        <v>14.0743621</v>
      </c>
      <c r="I45" s="10">
        <v>14.635671305000001</v>
      </c>
      <c r="J45" s="10">
        <v>15.37952958</v>
      </c>
      <c r="K45" s="10">
        <v>16.301127727000001</v>
      </c>
      <c r="L45" s="10">
        <v>17.356156524999999</v>
      </c>
      <c r="M45" s="10">
        <v>18.137577537999999</v>
      </c>
      <c r="N45" s="10">
        <v>18.728233788000001</v>
      </c>
    </row>
    <row r="46" spans="1:14" x14ac:dyDescent="0.25">
      <c r="A46" s="10">
        <v>1</v>
      </c>
      <c r="B46" s="13">
        <v>5.625</v>
      </c>
      <c r="C46" s="10">
        <v>-3.0298313430000001</v>
      </c>
      <c r="D46" s="10">
        <v>15.37720582</v>
      </c>
      <c r="E46" s="10">
        <v>7.9810334100000005E-2</v>
      </c>
      <c r="F46" s="10">
        <v>13.587643873999999</v>
      </c>
      <c r="G46" s="10">
        <v>13.76824936</v>
      </c>
      <c r="H46" s="10">
        <v>14.066415278999999</v>
      </c>
      <c r="I46" s="10">
        <v>14.629196563000001</v>
      </c>
      <c r="J46" s="10">
        <v>15.37720582</v>
      </c>
      <c r="K46" s="10">
        <v>16.307938189000001</v>
      </c>
      <c r="L46" s="10">
        <v>17.379751483</v>
      </c>
      <c r="M46" s="10">
        <v>18.178633272999999</v>
      </c>
      <c r="N46" s="10">
        <v>18.785685831999999</v>
      </c>
    </row>
    <row r="47" spans="1:14" x14ac:dyDescent="0.25">
      <c r="A47" s="10">
        <v>1</v>
      </c>
      <c r="B47" s="13">
        <v>5.708333333333333</v>
      </c>
      <c r="C47" s="10">
        <v>-3.0739242240000002</v>
      </c>
      <c r="D47" s="10">
        <v>15.376091067999999</v>
      </c>
      <c r="E47" s="10">
        <v>8.0426086100000002E-2</v>
      </c>
      <c r="F47" s="10">
        <v>13.579956424000001</v>
      </c>
      <c r="G47" s="10">
        <v>13.760645736000001</v>
      </c>
      <c r="H47" s="10">
        <v>14.059209323999999</v>
      </c>
      <c r="I47" s="10">
        <v>14.623688807000001</v>
      </c>
      <c r="J47" s="10">
        <v>15.376091067999999</v>
      </c>
      <c r="K47" s="10">
        <v>16.316201353</v>
      </c>
      <c r="L47" s="10">
        <v>17.405100424</v>
      </c>
      <c r="M47" s="10">
        <v>18.221788237999998</v>
      </c>
      <c r="N47" s="10">
        <v>18.845642612999999</v>
      </c>
    </row>
    <row r="48" spans="1:14" x14ac:dyDescent="0.25">
      <c r="A48" s="10">
        <v>1</v>
      </c>
      <c r="B48" s="13">
        <v>5.791666666666667</v>
      </c>
      <c r="C48" s="10">
        <v>-3.1140934759999999</v>
      </c>
      <c r="D48" s="10">
        <v>15.376176765</v>
      </c>
      <c r="E48" s="10">
        <v>8.1058205899999999E-2</v>
      </c>
      <c r="F48" s="10">
        <v>13.572782447</v>
      </c>
      <c r="G48" s="10">
        <v>13.75364373</v>
      </c>
      <c r="H48" s="10">
        <v>14.052740628</v>
      </c>
      <c r="I48" s="10">
        <v>14.619142</v>
      </c>
      <c r="J48" s="10">
        <v>15.376176765</v>
      </c>
      <c r="K48" s="10">
        <v>16.325902169999999</v>
      </c>
      <c r="L48" s="10">
        <v>17.432168819000001</v>
      </c>
      <c r="M48" s="10">
        <v>18.266981906000002</v>
      </c>
      <c r="N48" s="10">
        <v>18.908018260999999</v>
      </c>
    </row>
    <row r="49" spans="1:14" x14ac:dyDescent="0.25">
      <c r="A49" s="10">
        <v>1</v>
      </c>
      <c r="B49" s="13">
        <v>5.875</v>
      </c>
      <c r="C49" s="10">
        <v>-3.15039004</v>
      </c>
      <c r="D49" s="10">
        <v>15.377453040000001</v>
      </c>
      <c r="E49" s="10">
        <v>8.17062489E-2</v>
      </c>
      <c r="F49" s="10">
        <v>13.566122717000001</v>
      </c>
      <c r="G49" s="10">
        <v>13.747242303</v>
      </c>
      <c r="H49" s="10">
        <v>14.047005689000001</v>
      </c>
      <c r="I49" s="10">
        <v>14.615549382999999</v>
      </c>
      <c r="J49" s="10">
        <v>15.377453040000001</v>
      </c>
      <c r="K49" s="10">
        <v>16.337024559</v>
      </c>
      <c r="L49" s="10">
        <v>17.460922576000002</v>
      </c>
      <c r="M49" s="10">
        <v>18.314155287999998</v>
      </c>
      <c r="N49" s="10">
        <v>18.972728552</v>
      </c>
    </row>
    <row r="50" spans="1:14" x14ac:dyDescent="0.25">
      <c r="A50" s="10">
        <v>1</v>
      </c>
      <c r="B50" s="13">
        <v>5.958333333333333</v>
      </c>
      <c r="C50" s="10">
        <v>-3.1828930180000001</v>
      </c>
      <c r="D50" s="10">
        <v>15.379908859</v>
      </c>
      <c r="E50" s="10">
        <v>8.2369741299999993E-2</v>
      </c>
      <c r="F50" s="10">
        <v>13.559978867</v>
      </c>
      <c r="G50" s="10">
        <v>13.741440992999999</v>
      </c>
      <c r="H50" s="10">
        <v>14.04200114</v>
      </c>
      <c r="I50" s="10">
        <v>14.612903601999999</v>
      </c>
      <c r="J50" s="10">
        <v>15.379908859</v>
      </c>
      <c r="K50" s="10">
        <v>16.34955145</v>
      </c>
      <c r="L50" s="10">
        <v>17.491327945999998</v>
      </c>
      <c r="M50" s="10">
        <v>18.363250846</v>
      </c>
      <c r="N50" s="10">
        <v>19.039690941</v>
      </c>
    </row>
    <row r="51" spans="1:14" x14ac:dyDescent="0.25">
      <c r="A51" s="10">
        <v>1</v>
      </c>
      <c r="B51" s="13">
        <v>6.041666666666667</v>
      </c>
      <c r="C51" s="10">
        <v>-3.21170511</v>
      </c>
      <c r="D51" s="10">
        <v>15.383532169</v>
      </c>
      <c r="E51" s="10">
        <v>8.3048177799999998E-2</v>
      </c>
      <c r="F51" s="10">
        <v>13.554353286</v>
      </c>
      <c r="G51" s="10">
        <v>13.736239868</v>
      </c>
      <c r="H51" s="10">
        <v>14.037723763000001</v>
      </c>
      <c r="I51" s="10">
        <v>14.611196824</v>
      </c>
      <c r="J51" s="10">
        <v>15.383532169</v>
      </c>
      <c r="K51" s="10">
        <v>16.363464840999999</v>
      </c>
      <c r="L51" s="10">
        <v>17.523351443999999</v>
      </c>
      <c r="M51" s="10">
        <v>18.414212415000001</v>
      </c>
      <c r="N51" s="10">
        <v>19.108824563999999</v>
      </c>
    </row>
    <row r="52" spans="1:14" x14ac:dyDescent="0.25">
      <c r="A52" s="10">
        <v>1</v>
      </c>
      <c r="B52" s="13">
        <v>6.125</v>
      </c>
      <c r="C52" s="10">
        <v>-3.2369483400000001</v>
      </c>
      <c r="D52" s="10">
        <v>15.388310046000001</v>
      </c>
      <c r="E52" s="10">
        <v>8.3741020700000002E-2</v>
      </c>
      <c r="F52" s="10">
        <v>13.549249014000001</v>
      </c>
      <c r="G52" s="10">
        <v>13.731639461</v>
      </c>
      <c r="H52" s="10">
        <v>14.034170512999999</v>
      </c>
      <c r="I52" s="10">
        <v>14.610420846</v>
      </c>
      <c r="J52" s="10">
        <v>15.388310046000001</v>
      </c>
      <c r="K52" s="10">
        <v>16.378745878</v>
      </c>
      <c r="L52" s="10">
        <v>17.556959782</v>
      </c>
      <c r="M52" s="10">
        <v>18.46698511</v>
      </c>
      <c r="N52" s="10">
        <v>19.180050239</v>
      </c>
    </row>
    <row r="53" spans="1:14" x14ac:dyDescent="0.25">
      <c r="A53" s="10">
        <v>1</v>
      </c>
      <c r="B53" s="13">
        <v>6.208333333333333</v>
      </c>
      <c r="C53" s="10">
        <v>-3.2587601099999999</v>
      </c>
      <c r="D53" s="10">
        <v>15.394228829999999</v>
      </c>
      <c r="E53" s="10">
        <v>8.4447699799999998E-2</v>
      </c>
      <c r="F53" s="10">
        <v>13.544669635</v>
      </c>
      <c r="G53" s="10">
        <v>13.727640719</v>
      </c>
      <c r="H53" s="10">
        <v>14.031338512</v>
      </c>
      <c r="I53" s="10">
        <v>14.610567186000001</v>
      </c>
      <c r="J53" s="10">
        <v>15.394228829999999</v>
      </c>
      <c r="K53" s="10">
        <v>16.395374928999999</v>
      </c>
      <c r="L53" s="10">
        <v>17.592119816</v>
      </c>
      <c r="M53" s="10">
        <v>18.521515239999999</v>
      </c>
      <c r="N53" s="10">
        <v>19.253290437</v>
      </c>
    </row>
    <row r="54" spans="1:14" x14ac:dyDescent="0.25">
      <c r="A54" s="10">
        <v>1</v>
      </c>
      <c r="B54" s="13">
        <v>6.291666666666667</v>
      </c>
      <c r="C54" s="10">
        <v>-3.2772815460000002</v>
      </c>
      <c r="D54" s="10">
        <v>15.40127496</v>
      </c>
      <c r="E54" s="10">
        <v>8.5167651400000002E-2</v>
      </c>
      <c r="F54" s="10">
        <v>13.540618386</v>
      </c>
      <c r="G54" s="10">
        <v>13.724244334</v>
      </c>
      <c r="H54" s="10">
        <v>14.029224752999999</v>
      </c>
      <c r="I54" s="10">
        <v>14.611627365</v>
      </c>
      <c r="J54" s="10">
        <v>15.40127496</v>
      </c>
      <c r="K54" s="10">
        <v>16.413332655000001</v>
      </c>
      <c r="L54" s="10">
        <v>17.628799139000002</v>
      </c>
      <c r="M54" s="10">
        <v>18.577749955000002</v>
      </c>
      <c r="N54" s="10">
        <v>19.328467816</v>
      </c>
    </row>
    <row r="55" spans="1:14" x14ac:dyDescent="0.25">
      <c r="A55" s="10">
        <v>1</v>
      </c>
      <c r="B55" s="13">
        <v>6.375</v>
      </c>
      <c r="C55" s="10">
        <v>-3.2926837739999999</v>
      </c>
      <c r="D55" s="10">
        <v>15.409432519999999</v>
      </c>
      <c r="E55" s="10">
        <v>8.5900183599999999E-2</v>
      </c>
      <c r="F55" s="10">
        <v>13.537100972999999</v>
      </c>
      <c r="G55" s="10">
        <v>13.721452886</v>
      </c>
      <c r="H55" s="10">
        <v>14.027827182999999</v>
      </c>
      <c r="I55" s="10">
        <v>14.613592234</v>
      </c>
      <c r="J55" s="10">
        <v>15.409432519999999</v>
      </c>
      <c r="K55" s="10">
        <v>16.432596534000002</v>
      </c>
      <c r="L55" s="10">
        <v>17.666963770999999</v>
      </c>
      <c r="M55" s="10">
        <v>18.635638155999999</v>
      </c>
      <c r="N55" s="10">
        <v>19.405510395</v>
      </c>
    </row>
    <row r="56" spans="1:14" x14ac:dyDescent="0.25">
      <c r="A56" s="10">
        <v>1</v>
      </c>
      <c r="B56" s="13">
        <v>6.458333333333333</v>
      </c>
      <c r="C56" s="10">
        <v>-3.305124073</v>
      </c>
      <c r="D56" s="10">
        <v>15.418686911</v>
      </c>
      <c r="E56" s="10">
        <v>8.6644667100000003E-2</v>
      </c>
      <c r="F56" s="10">
        <v>13.534121468</v>
      </c>
      <c r="G56" s="10">
        <v>13.719267752</v>
      </c>
      <c r="H56" s="10">
        <v>14.027143187</v>
      </c>
      <c r="I56" s="10">
        <v>14.616453067</v>
      </c>
      <c r="J56" s="10">
        <v>15.418686911</v>
      </c>
      <c r="K56" s="10">
        <v>16.453145875000001</v>
      </c>
      <c r="L56" s="10">
        <v>17.706581285999999</v>
      </c>
      <c r="M56" s="10">
        <v>18.695129036000001</v>
      </c>
      <c r="N56" s="10">
        <v>19.484344311000001</v>
      </c>
    </row>
    <row r="57" spans="1:14" x14ac:dyDescent="0.25">
      <c r="A57" s="10">
        <v>1</v>
      </c>
      <c r="B57" s="13">
        <v>6.541666666666667</v>
      </c>
      <c r="C57" s="10">
        <v>-3.314768951</v>
      </c>
      <c r="D57" s="10">
        <v>15.429022732</v>
      </c>
      <c r="E57" s="10">
        <v>8.7400421199999995E-2</v>
      </c>
      <c r="F57" s="10">
        <v>13.531684723</v>
      </c>
      <c r="G57" s="10">
        <v>13.717690937</v>
      </c>
      <c r="H57" s="10">
        <v>14.027170504000001</v>
      </c>
      <c r="I57" s="10">
        <v>14.620200966000001</v>
      </c>
      <c r="J57" s="10">
        <v>15.429022732</v>
      </c>
      <c r="K57" s="10">
        <v>16.474958849</v>
      </c>
      <c r="L57" s="10">
        <v>17.747618852999999</v>
      </c>
      <c r="M57" s="10">
        <v>18.756172877000001</v>
      </c>
      <c r="N57" s="10">
        <v>19.564898227</v>
      </c>
    </row>
    <row r="58" spans="1:14" x14ac:dyDescent="0.25">
      <c r="A58" s="10">
        <v>1</v>
      </c>
      <c r="B58" s="13">
        <v>6.625</v>
      </c>
      <c r="C58" s="10">
        <v>-3.3217859920000001</v>
      </c>
      <c r="D58" s="10">
        <v>15.440424387</v>
      </c>
      <c r="E58" s="10">
        <v>8.8166744399999997E-2</v>
      </c>
      <c r="F58" s="10">
        <v>13.529795725</v>
      </c>
      <c r="G58" s="10">
        <v>13.716724581999999</v>
      </c>
      <c r="H58" s="10">
        <v>14.027906997000001</v>
      </c>
      <c r="I58" s="10">
        <v>14.624827045</v>
      </c>
      <c r="J58" s="10">
        <v>15.440424387</v>
      </c>
      <c r="K58" s="10">
        <v>16.498013285999999</v>
      </c>
      <c r="L58" s="10">
        <v>17.790043699999998</v>
      </c>
      <c r="M58" s="10">
        <v>18.818720783</v>
      </c>
      <c r="N58" s="10">
        <v>19.647102238999999</v>
      </c>
    </row>
    <row r="59" spans="1:14" x14ac:dyDescent="0.25">
      <c r="A59" s="10">
        <v>1</v>
      </c>
      <c r="B59" s="13">
        <v>6.708333333333333</v>
      </c>
      <c r="C59" s="10">
        <v>-3.3263457949999999</v>
      </c>
      <c r="D59" s="10">
        <v>15.452875806</v>
      </c>
      <c r="E59" s="10">
        <v>8.8942897000000007E-2</v>
      </c>
      <c r="F59" s="10">
        <v>13.528459943</v>
      </c>
      <c r="G59" s="10">
        <v>13.716371243999999</v>
      </c>
      <c r="H59" s="10">
        <v>14.029350805</v>
      </c>
      <c r="I59" s="10">
        <v>14.630322380000001</v>
      </c>
      <c r="J59" s="10">
        <v>15.452875806</v>
      </c>
      <c r="K59" s="10">
        <v>16.522286238</v>
      </c>
      <c r="L59" s="10">
        <v>17.833822753</v>
      </c>
      <c r="M59" s="10">
        <v>18.882724739</v>
      </c>
      <c r="N59" s="10">
        <v>19.730888595</v>
      </c>
    </row>
    <row r="60" spans="1:14" x14ac:dyDescent="0.25">
      <c r="A60" s="10">
        <v>1</v>
      </c>
      <c r="B60" s="13">
        <v>6.791666666666667</v>
      </c>
      <c r="C60" s="10">
        <v>-3.3286027310000001</v>
      </c>
      <c r="D60" s="10">
        <v>15.466362178000001</v>
      </c>
      <c r="E60" s="10">
        <v>8.9728201899999999E-2</v>
      </c>
      <c r="F60" s="10">
        <v>13.527681304</v>
      </c>
      <c r="G60" s="10">
        <v>13.716632334</v>
      </c>
      <c r="H60" s="10">
        <v>14.031499520000001</v>
      </c>
      <c r="I60" s="10">
        <v>14.636678443999999</v>
      </c>
      <c r="J60" s="10">
        <v>15.466362178000001</v>
      </c>
      <c r="K60" s="10">
        <v>16.547756486000001</v>
      </c>
      <c r="L60" s="10">
        <v>17.878924338000001</v>
      </c>
      <c r="M60" s="10">
        <v>18.948137003999999</v>
      </c>
      <c r="N60" s="10">
        <v>19.816187992</v>
      </c>
    </row>
    <row r="61" spans="1:14" x14ac:dyDescent="0.25">
      <c r="A61" s="10">
        <v>1</v>
      </c>
      <c r="B61" s="13">
        <v>6.875</v>
      </c>
      <c r="C61" s="10">
        <v>-3.3287252770000002</v>
      </c>
      <c r="D61" s="10">
        <v>15.480867041</v>
      </c>
      <c r="E61" s="10">
        <v>9.0521874799999999E-2</v>
      </c>
      <c r="F61" s="10">
        <v>13.527465647</v>
      </c>
      <c r="G61" s="10">
        <v>13.717510775999999</v>
      </c>
      <c r="H61" s="10">
        <v>14.034351593</v>
      </c>
      <c r="I61" s="10">
        <v>14.643886387</v>
      </c>
      <c r="J61" s="10">
        <v>15.480867041</v>
      </c>
      <c r="K61" s="10">
        <v>16.574400287</v>
      </c>
      <c r="L61" s="10">
        <v>17.925315202</v>
      </c>
      <c r="M61" s="10">
        <v>19.014911065</v>
      </c>
      <c r="N61" s="10">
        <v>19.902936</v>
      </c>
    </row>
    <row r="62" spans="1:14" x14ac:dyDescent="0.25">
      <c r="A62" s="10">
        <v>1</v>
      </c>
      <c r="B62" s="13">
        <v>6.958333333333333</v>
      </c>
      <c r="C62" s="10">
        <v>-3.3268701799999998</v>
      </c>
      <c r="D62" s="10">
        <v>15.496374654</v>
      </c>
      <c r="E62" s="10">
        <v>9.1323162099999994E-2</v>
      </c>
      <c r="F62" s="10">
        <v>13.527817944000001</v>
      </c>
      <c r="G62" s="10">
        <v>13.719008868</v>
      </c>
      <c r="H62" s="10">
        <v>14.037905211</v>
      </c>
      <c r="I62" s="10">
        <v>14.651937632999999</v>
      </c>
      <c r="J62" s="10">
        <v>15.496374654</v>
      </c>
      <c r="K62" s="10">
        <v>16.602194804</v>
      </c>
      <c r="L62" s="10">
        <v>17.972962856999999</v>
      </c>
      <c r="M62" s="10">
        <v>19.083000810000001</v>
      </c>
      <c r="N62" s="10">
        <v>19.991067966999999</v>
      </c>
    </row>
    <row r="63" spans="1:14" x14ac:dyDescent="0.25">
      <c r="A63" s="10">
        <v>1</v>
      </c>
      <c r="B63" s="13">
        <v>7.041666666666667</v>
      </c>
      <c r="C63" s="10">
        <v>-3.323188896</v>
      </c>
      <c r="D63" s="10">
        <v>15.512869363</v>
      </c>
      <c r="E63" s="10">
        <v>9.2131305400000002E-2</v>
      </c>
      <c r="F63" s="10">
        <v>13.528743049999999</v>
      </c>
      <c r="G63" s="10">
        <v>13.72112886</v>
      </c>
      <c r="H63" s="10">
        <v>14.042158595</v>
      </c>
      <c r="I63" s="10">
        <v>14.660823717</v>
      </c>
      <c r="J63" s="10">
        <v>15.512869363</v>
      </c>
      <c r="K63" s="10">
        <v>16.631117196000002</v>
      </c>
      <c r="L63" s="10">
        <v>18.021834930000001</v>
      </c>
      <c r="M63" s="10">
        <v>19.152360731000002</v>
      </c>
      <c r="N63" s="10">
        <v>20.080520423999999</v>
      </c>
    </row>
    <row r="64" spans="1:14" x14ac:dyDescent="0.25">
      <c r="A64" s="10">
        <v>1</v>
      </c>
      <c r="B64" s="13">
        <v>7.125</v>
      </c>
      <c r="C64" s="10">
        <v>-3.3178270159999999</v>
      </c>
      <c r="D64" s="10">
        <v>15.530335632</v>
      </c>
      <c r="E64" s="10">
        <v>9.2945544300000002E-2</v>
      </c>
      <c r="F64" s="10">
        <v>13.530245676</v>
      </c>
      <c r="G64" s="10">
        <v>13.723872927</v>
      </c>
      <c r="H64" s="10">
        <v>14.047109984</v>
      </c>
      <c r="I64" s="10">
        <v>14.670536289999999</v>
      </c>
      <c r="J64" s="10">
        <v>15.530335632</v>
      </c>
      <c r="K64" s="10">
        <v>16.661144655000001</v>
      </c>
      <c r="L64" s="10">
        <v>18.071899184999999</v>
      </c>
      <c r="M64" s="10">
        <v>19.222945889999998</v>
      </c>
      <c r="N64" s="10">
        <v>20.171231040999999</v>
      </c>
    </row>
    <row r="65" spans="1:14" x14ac:dyDescent="0.25">
      <c r="A65" s="10">
        <v>1</v>
      </c>
      <c r="B65" s="13">
        <v>7.208333333333333</v>
      </c>
      <c r="C65" s="10">
        <v>-3.310923871</v>
      </c>
      <c r="D65" s="10">
        <v>15.548758064999999</v>
      </c>
      <c r="E65" s="10">
        <v>9.37651184E-2</v>
      </c>
      <c r="F65" s="10">
        <v>13.532330364</v>
      </c>
      <c r="G65" s="10">
        <v>13.727243152</v>
      </c>
      <c r="H65" s="10">
        <v>14.052757623</v>
      </c>
      <c r="I65" s="10">
        <v>14.68106712</v>
      </c>
      <c r="J65" s="10">
        <v>15.548758064999999</v>
      </c>
      <c r="K65" s="10">
        <v>16.692254452</v>
      </c>
      <c r="L65" s="10">
        <v>18.123123533000001</v>
      </c>
      <c r="M65" s="10">
        <v>19.294711907</v>
      </c>
      <c r="N65" s="10">
        <v>20.263138602000001</v>
      </c>
    </row>
    <row r="66" spans="1:14" x14ac:dyDescent="0.25">
      <c r="A66" s="10">
        <v>1</v>
      </c>
      <c r="B66" s="13">
        <v>7.291666666666667</v>
      </c>
      <c r="C66" s="10">
        <v>-3.3026122720000002</v>
      </c>
      <c r="D66" s="10">
        <v>15.568121425999999</v>
      </c>
      <c r="E66" s="10">
        <v>9.4589270200000006E-2</v>
      </c>
      <c r="F66" s="10">
        <v>13.535001468000001</v>
      </c>
      <c r="G66" s="10">
        <v>13.731241504</v>
      </c>
      <c r="H66" s="10">
        <v>14.05909975</v>
      </c>
      <c r="I66" s="10">
        <v>14.692408091000001</v>
      </c>
      <c r="J66" s="10">
        <v>15.568121425999999</v>
      </c>
      <c r="K66" s="10">
        <v>16.724423964</v>
      </c>
      <c r="L66" s="10">
        <v>18.175476054000001</v>
      </c>
      <c r="M66" s="10">
        <v>19.367614932999999</v>
      </c>
      <c r="N66" s="10">
        <v>20.356182970999999</v>
      </c>
    </row>
    <row r="67" spans="1:14" x14ac:dyDescent="0.25">
      <c r="A67" s="10">
        <v>1</v>
      </c>
      <c r="B67" s="13">
        <v>7.375</v>
      </c>
      <c r="C67" s="10">
        <v>-3.2930183610000001</v>
      </c>
      <c r="D67" s="10">
        <v>15.588410651</v>
      </c>
      <c r="E67" s="10">
        <v>9.5417246499999997E-2</v>
      </c>
      <c r="F67" s="10">
        <v>13.538263144</v>
      </c>
      <c r="G67" s="10">
        <v>13.73586983</v>
      </c>
      <c r="H67" s="10">
        <v>14.066134581</v>
      </c>
      <c r="I67" s="10">
        <v>14.704551201999999</v>
      </c>
      <c r="J67" s="10">
        <v>15.588410651</v>
      </c>
      <c r="K67" s="10">
        <v>16.757630703</v>
      </c>
      <c r="L67" s="10">
        <v>18.228925008000001</v>
      </c>
      <c r="M67" s="10">
        <v>19.441611646999998</v>
      </c>
      <c r="N67" s="10">
        <v>20.450305072999999</v>
      </c>
    </row>
    <row r="68" spans="1:14" x14ac:dyDescent="0.25">
      <c r="A68" s="10">
        <v>1</v>
      </c>
      <c r="B68" s="13">
        <v>7.458333333333333</v>
      </c>
      <c r="C68" s="10">
        <v>-3.2822608130000002</v>
      </c>
      <c r="D68" s="10">
        <v>15.60961101</v>
      </c>
      <c r="E68" s="10">
        <v>9.6248300499999995E-2</v>
      </c>
      <c r="F68" s="10">
        <v>13.542119379000001</v>
      </c>
      <c r="G68" s="10">
        <v>13.741129902999999</v>
      </c>
      <c r="H68" s="10">
        <v>14.073860397000001</v>
      </c>
      <c r="I68" s="10">
        <v>14.71748869</v>
      </c>
      <c r="J68" s="10">
        <v>15.60961101</v>
      </c>
      <c r="K68" s="10">
        <v>16.791852464000002</v>
      </c>
      <c r="L68" s="10">
        <v>18.283438818</v>
      </c>
      <c r="M68" s="10">
        <v>19.516658938999999</v>
      </c>
      <c r="N68" s="10">
        <v>20.545446242000001</v>
      </c>
    </row>
    <row r="69" spans="1:14" x14ac:dyDescent="0.25">
      <c r="A69" s="10">
        <v>1</v>
      </c>
      <c r="B69" s="13">
        <v>7.541666666666667</v>
      </c>
      <c r="C69" s="10">
        <v>-3.2704546090000002</v>
      </c>
      <c r="D69" s="10">
        <v>15.631707349999999</v>
      </c>
      <c r="E69" s="10">
        <v>9.7081694100000004E-2</v>
      </c>
      <c r="F69" s="10">
        <v>13.546573748</v>
      </c>
      <c r="G69" s="10">
        <v>13.747023091999999</v>
      </c>
      <c r="H69" s="10">
        <v>14.082275078</v>
      </c>
      <c r="I69" s="10">
        <v>14.731212383000001</v>
      </c>
      <c r="J69" s="10">
        <v>15.631707349999999</v>
      </c>
      <c r="K69" s="10">
        <v>16.827066717000001</v>
      </c>
      <c r="L69" s="10">
        <v>18.338986254999998</v>
      </c>
      <c r="M69" s="10">
        <v>19.592715390999999</v>
      </c>
      <c r="N69" s="10">
        <v>20.641551322000002</v>
      </c>
    </row>
    <row r="70" spans="1:14" x14ac:dyDescent="0.25">
      <c r="A70" s="10">
        <v>1</v>
      </c>
      <c r="B70" s="13">
        <v>7.625</v>
      </c>
      <c r="C70" s="10">
        <v>-3.2577036160000001</v>
      </c>
      <c r="D70" s="10">
        <v>15.654685627999999</v>
      </c>
      <c r="E70" s="10">
        <v>9.7916697600000005E-2</v>
      </c>
      <c r="F70" s="10">
        <v>13.551629882</v>
      </c>
      <c r="G70" s="10">
        <v>13.753550999</v>
      </c>
      <c r="H70" s="10">
        <v>14.091376996999999</v>
      </c>
      <c r="I70" s="10">
        <v>14.745714980000001</v>
      </c>
      <c r="J70" s="10">
        <v>15.654685627999999</v>
      </c>
      <c r="K70" s="10">
        <v>16.863251882</v>
      </c>
      <c r="L70" s="10">
        <v>18.395536110999998</v>
      </c>
      <c r="M70" s="10">
        <v>19.669738303999999</v>
      </c>
      <c r="N70" s="10">
        <v>20.738562414</v>
      </c>
    </row>
    <row r="71" spans="1:14" x14ac:dyDescent="0.25">
      <c r="A71" s="10">
        <v>1</v>
      </c>
      <c r="B71" s="13">
        <v>7.708333333333333</v>
      </c>
      <c r="C71" s="10">
        <v>-3.2441082140000002</v>
      </c>
      <c r="D71" s="10">
        <v>15.678531387</v>
      </c>
      <c r="E71" s="10">
        <v>9.8752593099999994E-2</v>
      </c>
      <c r="F71" s="10">
        <v>13.557290983</v>
      </c>
      <c r="G71" s="10">
        <v>13.760714803999999</v>
      </c>
      <c r="H71" s="10">
        <v>14.101164110999999</v>
      </c>
      <c r="I71" s="10">
        <v>14.760988761</v>
      </c>
      <c r="J71" s="10">
        <v>15.678531387</v>
      </c>
      <c r="K71" s="10">
        <v>16.900386085000001</v>
      </c>
      <c r="L71" s="10">
        <v>18.453057555000001</v>
      </c>
      <c r="M71" s="10">
        <v>19.747686658999999</v>
      </c>
      <c r="N71" s="10">
        <v>20.836425088999999</v>
      </c>
    </row>
    <row r="72" spans="1:14" x14ac:dyDescent="0.25">
      <c r="A72" s="10">
        <v>1</v>
      </c>
      <c r="B72" s="13">
        <v>7.791666666666667</v>
      </c>
      <c r="C72" s="10">
        <v>-3.2297617129999998</v>
      </c>
      <c r="D72" s="10">
        <v>15.703230518</v>
      </c>
      <c r="E72" s="10">
        <v>9.9588674899999993E-2</v>
      </c>
      <c r="F72" s="10">
        <v>13.563560058</v>
      </c>
      <c r="G72" s="10">
        <v>13.768515580000001</v>
      </c>
      <c r="H72" s="10">
        <v>14.111634402</v>
      </c>
      <c r="I72" s="10">
        <v>14.777026222</v>
      </c>
      <c r="J72" s="10">
        <v>15.703230518</v>
      </c>
      <c r="K72" s="10">
        <v>16.938447803999999</v>
      </c>
      <c r="L72" s="10">
        <v>18.511519977999999</v>
      </c>
      <c r="M72" s="10">
        <v>19.826519632</v>
      </c>
      <c r="N72" s="10">
        <v>20.935085251</v>
      </c>
    </row>
    <row r="73" spans="1:14" x14ac:dyDescent="0.25">
      <c r="A73" s="10">
        <v>1</v>
      </c>
      <c r="B73" s="13">
        <v>7.875</v>
      </c>
      <c r="C73" s="10">
        <v>-3.2147512869999999</v>
      </c>
      <c r="D73" s="10">
        <v>15.728769113</v>
      </c>
      <c r="E73" s="10">
        <v>0.1004242507</v>
      </c>
      <c r="F73" s="10">
        <v>13.570439865000001</v>
      </c>
      <c r="G73" s="10">
        <v>13.776954225000001</v>
      </c>
      <c r="H73" s="10">
        <v>14.122785781999999</v>
      </c>
      <c r="I73" s="10">
        <v>14.793819942000001</v>
      </c>
      <c r="J73" s="10">
        <v>15.728769113</v>
      </c>
      <c r="K73" s="10">
        <v>16.977415751999999</v>
      </c>
      <c r="L73" s="10">
        <v>18.570893040000001</v>
      </c>
      <c r="M73" s="10">
        <v>19.906196889</v>
      </c>
      <c r="N73" s="10">
        <v>21.034489745999998</v>
      </c>
    </row>
    <row r="74" spans="1:14" x14ac:dyDescent="0.25">
      <c r="A74" s="10">
        <v>1</v>
      </c>
      <c r="B74" s="13">
        <v>7.958333333333333</v>
      </c>
      <c r="C74" s="10">
        <v>-3.1991581839999998</v>
      </c>
      <c r="D74" s="10">
        <v>15.755133465</v>
      </c>
      <c r="E74" s="10">
        <v>0.1012586429</v>
      </c>
      <c r="F74" s="10">
        <v>13.577932908999999</v>
      </c>
      <c r="G74" s="10">
        <v>13.786031452</v>
      </c>
      <c r="H74" s="10">
        <v>14.134616081000001</v>
      </c>
      <c r="I74" s="10">
        <v>14.811362575</v>
      </c>
      <c r="J74" s="10">
        <v>15.755133465</v>
      </c>
      <c r="K74" s="10">
        <v>17.017268893000001</v>
      </c>
      <c r="L74" s="10">
        <v>18.631146689000001</v>
      </c>
      <c r="M74" s="10">
        <v>19.986678588</v>
      </c>
      <c r="N74" s="10">
        <v>21.134586339999998</v>
      </c>
    </row>
    <row r="75" spans="1:14" x14ac:dyDescent="0.25">
      <c r="A75" s="10">
        <v>1</v>
      </c>
      <c r="B75" s="13">
        <v>8.0416666666666661</v>
      </c>
      <c r="C75" s="10">
        <v>-3.1830579499999998</v>
      </c>
      <c r="D75" s="10">
        <v>15.782310065000001</v>
      </c>
      <c r="E75" s="10">
        <v>0.1020911894</v>
      </c>
      <c r="F75" s="10">
        <v>13.586041435</v>
      </c>
      <c r="G75" s="10">
        <v>13.795747785</v>
      </c>
      <c r="H75" s="10">
        <v>14.147123046999999</v>
      </c>
      <c r="I75" s="10">
        <v>14.829646844999999</v>
      </c>
      <c r="J75" s="10">
        <v>15.782310065000001</v>
      </c>
      <c r="K75" s="10">
        <v>17.057986451000001</v>
      </c>
      <c r="L75" s="10">
        <v>18.692251172999999</v>
      </c>
      <c r="M75" s="10">
        <v>20.067925378000002</v>
      </c>
      <c r="N75" s="10">
        <v>21.235323699999999</v>
      </c>
    </row>
    <row r="76" spans="1:14" x14ac:dyDescent="0.25">
      <c r="A76" s="10">
        <v>1</v>
      </c>
      <c r="B76" s="13">
        <v>8.125</v>
      </c>
      <c r="C76" s="10">
        <v>-3.1665206640000001</v>
      </c>
      <c r="D76" s="10">
        <v>15.810285603000001</v>
      </c>
      <c r="E76" s="10">
        <v>0.10292124480000001</v>
      </c>
      <c r="F76" s="10">
        <v>13.594767424</v>
      </c>
      <c r="G76" s="10">
        <v>13.806103553</v>
      </c>
      <c r="H76" s="10">
        <v>14.160304330000001</v>
      </c>
      <c r="I76" s="10">
        <v>14.848665539000001</v>
      </c>
      <c r="J76" s="10">
        <v>15.810285603000001</v>
      </c>
      <c r="K76" s="10">
        <v>17.099547916999999</v>
      </c>
      <c r="L76" s="10">
        <v>18.754177052999999</v>
      </c>
      <c r="M76" s="10">
        <v>20.149898403000002</v>
      </c>
      <c r="N76" s="10">
        <v>21.336651376999999</v>
      </c>
    </row>
    <row r="77" spans="1:14" x14ac:dyDescent="0.25">
      <c r="A77" s="10">
        <v>1</v>
      </c>
      <c r="B77" s="13">
        <v>8.2083333333333339</v>
      </c>
      <c r="C77" s="10">
        <v>-3.1496103</v>
      </c>
      <c r="D77" s="10">
        <v>15.839047084000001</v>
      </c>
      <c r="E77" s="10">
        <v>0.1037481885</v>
      </c>
      <c r="F77" s="10">
        <v>13.604112455999999</v>
      </c>
      <c r="G77" s="10">
        <v>13.817098777</v>
      </c>
      <c r="H77" s="10">
        <v>14.174157425000001</v>
      </c>
      <c r="I77" s="10">
        <v>14.868411526999999</v>
      </c>
      <c r="J77" s="10">
        <v>15.839047084000001</v>
      </c>
      <c r="K77" s="10">
        <v>17.141933246000001</v>
      </c>
      <c r="L77" s="10">
        <v>18.816895369000001</v>
      </c>
      <c r="M77" s="10">
        <v>20.232559281</v>
      </c>
      <c r="N77" s="10">
        <v>21.438519498000002</v>
      </c>
    </row>
    <row r="78" spans="1:14" x14ac:dyDescent="0.25">
      <c r="A78" s="10">
        <v>1</v>
      </c>
      <c r="B78" s="13">
        <v>8.2916666666666661</v>
      </c>
      <c r="C78" s="10">
        <v>-3.1323896370000002</v>
      </c>
      <c r="D78" s="10">
        <v>15.868581229</v>
      </c>
      <c r="E78" s="10">
        <v>0.1045713862</v>
      </c>
      <c r="F78" s="10">
        <v>13.614078441</v>
      </c>
      <c r="G78" s="10">
        <v>13.828733753</v>
      </c>
      <c r="H78" s="10">
        <v>14.188679992999999</v>
      </c>
      <c r="I78" s="10">
        <v>14.888877644000001</v>
      </c>
      <c r="J78" s="10">
        <v>15.868581229</v>
      </c>
      <c r="K78" s="10">
        <v>17.185121912</v>
      </c>
      <c r="L78" s="10">
        <v>18.880376895000001</v>
      </c>
      <c r="M78" s="10">
        <v>20.315870259</v>
      </c>
      <c r="N78" s="10">
        <v>21.540880323</v>
      </c>
    </row>
    <row r="79" spans="1:14" x14ac:dyDescent="0.25">
      <c r="A79" s="10">
        <v>1</v>
      </c>
      <c r="B79" s="13">
        <v>8.375</v>
      </c>
      <c r="C79" s="10">
        <v>-3.114911153</v>
      </c>
      <c r="D79" s="10">
        <v>15.898875618</v>
      </c>
      <c r="E79" s="10">
        <v>0.1053902685</v>
      </c>
      <c r="F79" s="10">
        <v>13.624666113</v>
      </c>
      <c r="G79" s="10">
        <v>13.841007841</v>
      </c>
      <c r="H79" s="10">
        <v>14.203869159</v>
      </c>
      <c r="I79" s="10">
        <v>14.910056866</v>
      </c>
      <c r="J79" s="10">
        <v>15.898875618</v>
      </c>
      <c r="K79" s="10">
        <v>17.229094752999998</v>
      </c>
      <c r="L79" s="10">
        <v>18.944593572999999</v>
      </c>
      <c r="M79" s="10">
        <v>20.399793794000001</v>
      </c>
      <c r="N79" s="10">
        <v>21.643684933999999</v>
      </c>
    </row>
    <row r="80" spans="1:14" x14ac:dyDescent="0.25">
      <c r="A80" s="10">
        <v>1</v>
      </c>
      <c r="B80" s="13">
        <v>8.4583333333333339</v>
      </c>
      <c r="C80" s="10">
        <v>-3.0972263990000002</v>
      </c>
      <c r="D80" s="10">
        <v>15.929917651</v>
      </c>
      <c r="E80" s="10">
        <v>0.1062042575</v>
      </c>
      <c r="F80" s="10">
        <v>13.635876526000001</v>
      </c>
      <c r="G80" s="10">
        <v>13.853920676</v>
      </c>
      <c r="H80" s="10">
        <v>14.21972223</v>
      </c>
      <c r="I80" s="10">
        <v>14.931942184</v>
      </c>
      <c r="J80" s="10">
        <v>15.929917651</v>
      </c>
      <c r="K80" s="10">
        <v>17.273832300999999</v>
      </c>
      <c r="L80" s="10">
        <v>19.009517329000001</v>
      </c>
      <c r="M80" s="10">
        <v>20.484293233999999</v>
      </c>
      <c r="N80" s="10">
        <v>21.746886771</v>
      </c>
    </row>
    <row r="81" spans="1:14" x14ac:dyDescent="0.25">
      <c r="A81" s="10">
        <v>1</v>
      </c>
      <c r="B81" s="13">
        <v>8.5416666666666661</v>
      </c>
      <c r="C81" s="10">
        <v>-3.0793830789999999</v>
      </c>
      <c r="D81" s="10">
        <v>15.961694805</v>
      </c>
      <c r="E81" s="10">
        <v>0.10701278829999999</v>
      </c>
      <c r="F81" s="10">
        <v>13.64771054</v>
      </c>
      <c r="G81" s="10">
        <v>13.867471738000001</v>
      </c>
      <c r="H81" s="10">
        <v>14.236236421999999</v>
      </c>
      <c r="I81" s="10">
        <v>14.954526592000001</v>
      </c>
      <c r="J81" s="10">
        <v>15.961694805</v>
      </c>
      <c r="K81" s="10">
        <v>17.319315191000001</v>
      </c>
      <c r="L81" s="10">
        <v>19.075120191</v>
      </c>
      <c r="M81" s="10">
        <v>20.569332162999999</v>
      </c>
      <c r="N81" s="10">
        <v>21.850439866999999</v>
      </c>
    </row>
    <row r="82" spans="1:14" x14ac:dyDescent="0.25">
      <c r="A82" s="10">
        <v>1</v>
      </c>
      <c r="B82" s="13">
        <v>8.625</v>
      </c>
      <c r="C82" s="10">
        <v>-3.0614237649999998</v>
      </c>
      <c r="D82" s="10">
        <v>15.994194894</v>
      </c>
      <c r="E82" s="10">
        <v>0.10781532739999999</v>
      </c>
      <c r="F82" s="10">
        <v>13.660168532</v>
      </c>
      <c r="G82" s="10">
        <v>13.881660126</v>
      </c>
      <c r="H82" s="10">
        <v>14.253408728</v>
      </c>
      <c r="I82" s="10">
        <v>14.977803131</v>
      </c>
      <c r="J82" s="10">
        <v>15.994194894</v>
      </c>
      <c r="K82" s="10">
        <v>17.365524631</v>
      </c>
      <c r="L82" s="10">
        <v>19.141374852999999</v>
      </c>
      <c r="M82" s="10">
        <v>20.654874798000002</v>
      </c>
      <c r="N82" s="10">
        <v>21.954298870999999</v>
      </c>
    </row>
    <row r="83" spans="1:14" x14ac:dyDescent="0.25">
      <c r="A83" s="10">
        <v>1</v>
      </c>
      <c r="B83" s="13">
        <v>8.7083333333333339</v>
      </c>
      <c r="C83" s="10">
        <v>-3.043386071</v>
      </c>
      <c r="D83" s="10">
        <v>16.027406071000001</v>
      </c>
      <c r="E83" s="10">
        <v>0.10861137360000001</v>
      </c>
      <c r="F83" s="10">
        <v>13.673250382000001</v>
      </c>
      <c r="G83" s="10">
        <v>13.896484538999999</v>
      </c>
      <c r="H83" s="10">
        <v>14.271235905999999</v>
      </c>
      <c r="I83" s="10">
        <v>15.001764881</v>
      </c>
      <c r="J83" s="10">
        <v>16.027406071000001</v>
      </c>
      <c r="K83" s="10">
        <v>17.412442399</v>
      </c>
      <c r="L83" s="10">
        <v>19.208254620000002</v>
      </c>
      <c r="M83" s="10">
        <v>20.740885842000001</v>
      </c>
      <c r="N83" s="10">
        <v>22.058418781</v>
      </c>
    </row>
    <row r="84" spans="1:14" x14ac:dyDescent="0.25">
      <c r="A84" s="10">
        <v>1</v>
      </c>
      <c r="B84" s="13">
        <v>8.7916666666666661</v>
      </c>
      <c r="C84" s="10">
        <v>-3.025310003</v>
      </c>
      <c r="D84" s="10">
        <v>16.061315897</v>
      </c>
      <c r="E84" s="10">
        <v>0.1094003876</v>
      </c>
      <c r="F84" s="10">
        <v>13.686956839</v>
      </c>
      <c r="G84" s="10">
        <v>13.911944391</v>
      </c>
      <c r="H84" s="10">
        <v>14.289715157</v>
      </c>
      <c r="I84" s="10">
        <v>15.02640489</v>
      </c>
      <c r="J84" s="10">
        <v>16.061315897</v>
      </c>
      <c r="K84" s="10">
        <v>17.460049252000001</v>
      </c>
      <c r="L84" s="10">
        <v>19.275732051999999</v>
      </c>
      <c r="M84" s="10">
        <v>20.827330584999999</v>
      </c>
      <c r="N84" s="10">
        <v>22.162757422999999</v>
      </c>
    </row>
    <row r="85" spans="1:14" x14ac:dyDescent="0.25">
      <c r="A85" s="10">
        <v>1</v>
      </c>
      <c r="B85" s="13">
        <v>8.875</v>
      </c>
      <c r="C85" s="10">
        <v>-3.0072257370000002</v>
      </c>
      <c r="D85" s="10">
        <v>16.095912922</v>
      </c>
      <c r="E85" s="10">
        <v>0.1101819146</v>
      </c>
      <c r="F85" s="10">
        <v>13.701287124</v>
      </c>
      <c r="G85" s="10">
        <v>13.928037854999999</v>
      </c>
      <c r="H85" s="10">
        <v>14.308842916</v>
      </c>
      <c r="I85" s="10">
        <v>15.051716262999999</v>
      </c>
      <c r="J85" s="10">
        <v>16.095912922</v>
      </c>
      <c r="K85" s="10">
        <v>17.508327678000001</v>
      </c>
      <c r="L85" s="10">
        <v>19.343781354000001</v>
      </c>
      <c r="M85" s="10">
        <v>20.914174799000001</v>
      </c>
      <c r="N85" s="10">
        <v>22.267271226999998</v>
      </c>
    </row>
    <row r="86" spans="1:14" x14ac:dyDescent="0.25">
      <c r="A86" s="10">
        <v>1</v>
      </c>
      <c r="B86" s="13">
        <v>8.9583333333333339</v>
      </c>
      <c r="C86" s="10">
        <v>-2.9891645979999999</v>
      </c>
      <c r="D86" s="10">
        <v>16.131185315</v>
      </c>
      <c r="E86" s="10">
        <v>0.1109554781</v>
      </c>
      <c r="F86" s="10">
        <v>13.716241033999999</v>
      </c>
      <c r="G86" s="10">
        <v>13.944763576</v>
      </c>
      <c r="H86" s="10">
        <v>14.328615917</v>
      </c>
      <c r="I86" s="10">
        <v>15.077692089999999</v>
      </c>
      <c r="J86" s="10">
        <v>16.131185315</v>
      </c>
      <c r="K86" s="10">
        <v>17.557259509000001</v>
      </c>
      <c r="L86" s="10">
        <v>19.412376306999999</v>
      </c>
      <c r="M86" s="10">
        <v>21.001384828999999</v>
      </c>
      <c r="N86" s="10">
        <v>22.371918872999998</v>
      </c>
    </row>
    <row r="87" spans="1:14" x14ac:dyDescent="0.25">
      <c r="A87" s="10">
        <v>1</v>
      </c>
      <c r="B87" s="13">
        <v>9.0416666666666661</v>
      </c>
      <c r="C87" s="10">
        <v>-2.9711482249999999</v>
      </c>
      <c r="D87" s="10">
        <v>16.167122343999999</v>
      </c>
      <c r="E87" s="10">
        <v>0.11172069079999999</v>
      </c>
      <c r="F87" s="10">
        <v>13.731816758000001</v>
      </c>
      <c r="G87" s="10">
        <v>13.962118903</v>
      </c>
      <c r="H87" s="10">
        <v>14.349030099</v>
      </c>
      <c r="I87" s="10">
        <v>15.104325556999999</v>
      </c>
      <c r="J87" s="10">
        <v>16.167122343999999</v>
      </c>
      <c r="K87" s="10">
        <v>17.606828480000001</v>
      </c>
      <c r="L87" s="10">
        <v>19.481492476</v>
      </c>
      <c r="M87" s="10">
        <v>21.088927460000001</v>
      </c>
      <c r="N87" s="10">
        <v>22.476657289999999</v>
      </c>
    </row>
    <row r="88" spans="1:14" x14ac:dyDescent="0.25">
      <c r="A88" s="10">
        <v>1</v>
      </c>
      <c r="B88" s="13">
        <v>9.125</v>
      </c>
      <c r="C88" s="10">
        <v>-2.9532080469999999</v>
      </c>
      <c r="D88" s="10">
        <v>16.203711677000001</v>
      </c>
      <c r="E88" s="10">
        <v>0.11247705869999999</v>
      </c>
      <c r="F88" s="10">
        <v>13.748014703000001</v>
      </c>
      <c r="G88" s="10">
        <v>13.980102970000001</v>
      </c>
      <c r="H88" s="10">
        <v>14.370082483999999</v>
      </c>
      <c r="I88" s="10">
        <v>15.131609676</v>
      </c>
      <c r="J88" s="10">
        <v>16.203711677000001</v>
      </c>
      <c r="K88" s="10">
        <v>17.657015633</v>
      </c>
      <c r="L88" s="10">
        <v>19.551103293000001</v>
      </c>
      <c r="M88" s="10">
        <v>21.176770224999999</v>
      </c>
      <c r="N88" s="10">
        <v>22.581448926</v>
      </c>
    </row>
    <row r="89" spans="1:14" x14ac:dyDescent="0.25">
      <c r="A89" s="10">
        <v>1</v>
      </c>
      <c r="B89" s="13">
        <v>9.2083333333333339</v>
      </c>
      <c r="C89" s="10">
        <v>-2.9353639509999998</v>
      </c>
      <c r="D89" s="10">
        <v>16.240942388000001</v>
      </c>
      <c r="E89" s="10">
        <v>0.1132241995</v>
      </c>
      <c r="F89" s="10">
        <v>13.764833246</v>
      </c>
      <c r="G89" s="10">
        <v>13.998713275</v>
      </c>
      <c r="H89" s="10">
        <v>14.391769094000001</v>
      </c>
      <c r="I89" s="10">
        <v>15.159537587999999</v>
      </c>
      <c r="J89" s="10">
        <v>16.240942388000001</v>
      </c>
      <c r="K89" s="10">
        <v>17.707804437</v>
      </c>
      <c r="L89" s="10">
        <v>19.621184427999999</v>
      </c>
      <c r="M89" s="10">
        <v>21.264881065000001</v>
      </c>
      <c r="N89" s="10">
        <v>22.686253625999999</v>
      </c>
    </row>
    <row r="90" spans="1:14" x14ac:dyDescent="0.25">
      <c r="A90" s="10">
        <v>1</v>
      </c>
      <c r="B90" s="13">
        <v>9.2916666666666661</v>
      </c>
      <c r="C90" s="10">
        <v>-2.9176351569999999</v>
      </c>
      <c r="D90" s="10">
        <v>16.278803457999999</v>
      </c>
      <c r="E90" s="10">
        <v>0.1139617339</v>
      </c>
      <c r="F90" s="10">
        <v>13.782270842000001</v>
      </c>
      <c r="G90" s="10">
        <v>14.017947378000001</v>
      </c>
      <c r="H90" s="10">
        <v>14.414085980999999</v>
      </c>
      <c r="I90" s="10">
        <v>15.188102404</v>
      </c>
      <c r="J90" s="10">
        <v>16.278803457999999</v>
      </c>
      <c r="K90" s="10">
        <v>17.759178251000002</v>
      </c>
      <c r="L90" s="10">
        <v>19.691711629</v>
      </c>
      <c r="M90" s="10">
        <v>21.353228504</v>
      </c>
      <c r="N90" s="10">
        <v>22.791032645000001</v>
      </c>
    </row>
    <row r="91" spans="1:14" x14ac:dyDescent="0.25">
      <c r="A91" s="10">
        <v>1</v>
      </c>
      <c r="B91" s="13">
        <v>9.375</v>
      </c>
      <c r="C91" s="10">
        <v>-2.9000398029999999</v>
      </c>
      <c r="D91" s="10">
        <v>16.317283846999999</v>
      </c>
      <c r="E91" s="10">
        <v>0.1146892914</v>
      </c>
      <c r="F91" s="10">
        <v>13.800325929</v>
      </c>
      <c r="G91" s="10">
        <v>14.037802815999999</v>
      </c>
      <c r="H91" s="10">
        <v>14.437029175999999</v>
      </c>
      <c r="I91" s="10">
        <v>15.217297215</v>
      </c>
      <c r="J91" s="10">
        <v>16.317283846999999</v>
      </c>
      <c r="K91" s="10">
        <v>17.811120439</v>
      </c>
      <c r="L91" s="10">
        <v>19.762660826000001</v>
      </c>
      <c r="M91" s="10">
        <v>21.441781644999999</v>
      </c>
      <c r="N91" s="10">
        <v>22.895748466000001</v>
      </c>
    </row>
    <row r="92" spans="1:14" x14ac:dyDescent="0.25">
      <c r="A92" s="10">
        <v>1</v>
      </c>
      <c r="B92" s="13">
        <v>9.4583333333333339</v>
      </c>
      <c r="C92" s="10">
        <v>-2.8825937960000001</v>
      </c>
      <c r="D92" s="10">
        <v>16.356372671999999</v>
      </c>
      <c r="E92" s="10">
        <v>0.1154065227</v>
      </c>
      <c r="F92" s="10">
        <v>13.818996662</v>
      </c>
      <c r="G92" s="10">
        <v>14.058276900999999</v>
      </c>
      <c r="H92" s="10">
        <v>14.460594562000001</v>
      </c>
      <c r="I92" s="10">
        <v>15.247115104000001</v>
      </c>
      <c r="J92" s="10">
        <v>16.356372671999999</v>
      </c>
      <c r="K92" s="10">
        <v>17.863614687999998</v>
      </c>
      <c r="L92" s="10">
        <v>19.834008406999999</v>
      </c>
      <c r="M92" s="10">
        <v>21.530510151000001</v>
      </c>
      <c r="N92" s="10">
        <v>23.00036429</v>
      </c>
    </row>
    <row r="93" spans="1:14" x14ac:dyDescent="0.25">
      <c r="A93" s="10">
        <v>1</v>
      </c>
      <c r="B93" s="13">
        <v>9.5416666666666661</v>
      </c>
      <c r="C93" s="10">
        <v>-2.865311266</v>
      </c>
      <c r="D93" s="10">
        <v>16.396059161</v>
      </c>
      <c r="E93" s="10">
        <v>0.11611309710000001</v>
      </c>
      <c r="F93" s="10">
        <v>13.838280984000001</v>
      </c>
      <c r="G93" s="10">
        <v>14.079366766</v>
      </c>
      <c r="H93" s="10">
        <v>14.484777906</v>
      </c>
      <c r="I93" s="10">
        <v>15.27754914</v>
      </c>
      <c r="J93" s="10">
        <v>16.396059161</v>
      </c>
      <c r="K93" s="10">
        <v>17.916644925</v>
      </c>
      <c r="L93" s="10">
        <v>19.905731151000001</v>
      </c>
      <c r="M93" s="10">
        <v>21.619384256</v>
      </c>
      <c r="N93" s="10">
        <v>23.104844158999999</v>
      </c>
    </row>
    <row r="94" spans="1:14" x14ac:dyDescent="0.25">
      <c r="A94" s="10">
        <v>1</v>
      </c>
      <c r="B94" s="13">
        <v>9.625</v>
      </c>
      <c r="C94" s="10">
        <v>-2.8482046969999999</v>
      </c>
      <c r="D94" s="10">
        <v>16.436332645</v>
      </c>
      <c r="E94" s="10">
        <v>0.1168087018</v>
      </c>
      <c r="F94" s="10">
        <v>13.858176630000001</v>
      </c>
      <c r="G94" s="10">
        <v>14.101069370999999</v>
      </c>
      <c r="H94" s="10">
        <v>14.509574854</v>
      </c>
      <c r="I94" s="10">
        <v>15.308592377</v>
      </c>
      <c r="J94" s="10">
        <v>16.436332645</v>
      </c>
      <c r="K94" s="10">
        <v>17.970195317000002</v>
      </c>
      <c r="L94" s="10">
        <v>19.977806230999999</v>
      </c>
      <c r="M94" s="10">
        <v>21.708374768999999</v>
      </c>
      <c r="N94" s="10">
        <v>23.209152956000001</v>
      </c>
    </row>
    <row r="95" spans="1:14" x14ac:dyDescent="0.25">
      <c r="A95" s="10">
        <v>1</v>
      </c>
      <c r="B95" s="13">
        <v>9.7083333333333339</v>
      </c>
      <c r="C95" s="10">
        <v>-2.8312850520000001</v>
      </c>
      <c r="D95" s="10">
        <v>16.477182555999999</v>
      </c>
      <c r="E95" s="10">
        <v>0.1174930418</v>
      </c>
      <c r="F95" s="10">
        <v>13.878681126</v>
      </c>
      <c r="G95" s="10">
        <v>14.123381501000001</v>
      </c>
      <c r="H95" s="10">
        <v>14.534980937</v>
      </c>
      <c r="I95" s="10">
        <v>15.340237846999999</v>
      </c>
      <c r="J95" s="10">
        <v>16.477182555999999</v>
      </c>
      <c r="K95" s="10">
        <v>18.024250262999999</v>
      </c>
      <c r="L95" s="10">
        <v>20.050211213000001</v>
      </c>
      <c r="M95" s="10">
        <v>21.797453077</v>
      </c>
      <c r="N95" s="10">
        <v>23.313256408000001</v>
      </c>
    </row>
    <row r="96" spans="1:14" x14ac:dyDescent="0.25">
      <c r="A96" s="10">
        <v>1</v>
      </c>
      <c r="B96" s="13">
        <v>9.7916666666666661</v>
      </c>
      <c r="C96" s="10">
        <v>-2.8145618899999998</v>
      </c>
      <c r="D96" s="10">
        <v>16.518598425</v>
      </c>
      <c r="E96" s="10">
        <v>0.1181658396</v>
      </c>
      <c r="F96" s="10">
        <v>13.899791796000001</v>
      </c>
      <c r="G96" s="10">
        <v>14.146299772000001</v>
      </c>
      <c r="H96" s="10">
        <v>14.560991568</v>
      </c>
      <c r="I96" s="10">
        <v>15.372478564</v>
      </c>
      <c r="J96" s="10">
        <v>16.518598425</v>
      </c>
      <c r="K96" s="10">
        <v>18.078794399</v>
      </c>
      <c r="L96" s="10">
        <v>20.122924058999999</v>
      </c>
      <c r="M96" s="10">
        <v>21.886591146000001</v>
      </c>
      <c r="N96" s="10">
        <v>23.417121085000002</v>
      </c>
    </row>
    <row r="97" spans="1:14" x14ac:dyDescent="0.25">
      <c r="A97" s="10">
        <v>1</v>
      </c>
      <c r="B97" s="13">
        <v>9.875</v>
      </c>
      <c r="C97" s="10">
        <v>-2.7980434700000001</v>
      </c>
      <c r="D97" s="10">
        <v>16.560569872999999</v>
      </c>
      <c r="E97" s="10">
        <v>0.1188268351</v>
      </c>
      <c r="F97" s="10">
        <v>13.921505762000001</v>
      </c>
      <c r="G97" s="10">
        <v>14.169820633</v>
      </c>
      <c r="H97" s="10">
        <v>14.587602041</v>
      </c>
      <c r="I97" s="10">
        <v>15.405307515000001</v>
      </c>
      <c r="J97" s="10">
        <v>16.560569872999999</v>
      </c>
      <c r="K97" s="10">
        <v>18.133812583000001</v>
      </c>
      <c r="L97" s="10">
        <v>20.195923127</v>
      </c>
      <c r="M97" s="10">
        <v>21.975761529</v>
      </c>
      <c r="N97" s="10">
        <v>23.520714401999999</v>
      </c>
    </row>
    <row r="98" spans="1:14" x14ac:dyDescent="0.25">
      <c r="A98" s="10">
        <v>1</v>
      </c>
      <c r="B98" s="13">
        <v>9.9583333333333339</v>
      </c>
      <c r="C98" s="10">
        <v>-2.7817368560000002</v>
      </c>
      <c r="D98" s="10">
        <v>16.603086611999998</v>
      </c>
      <c r="E98" s="10">
        <v>0.1194757852</v>
      </c>
      <c r="F98" s="10">
        <v>13.94381995</v>
      </c>
      <c r="G98" s="10">
        <v>14.193940365</v>
      </c>
      <c r="H98" s="10">
        <v>14.614807535000001</v>
      </c>
      <c r="I98" s="10">
        <v>15.438717663</v>
      </c>
      <c r="J98" s="10">
        <v>16.603086611999998</v>
      </c>
      <c r="K98" s="10">
        <v>18.189289901999999</v>
      </c>
      <c r="L98" s="10">
        <v>20.269187170999999</v>
      </c>
      <c r="M98" s="10">
        <v>22.064937364999999</v>
      </c>
      <c r="N98" s="10">
        <v>23.624004623000001</v>
      </c>
    </row>
    <row r="99" spans="1:14" x14ac:dyDescent="0.25">
      <c r="A99" s="10">
        <v>1</v>
      </c>
      <c r="B99" s="13">
        <v>10.041666666666666</v>
      </c>
      <c r="C99" s="10">
        <v>-2.7656480079999999</v>
      </c>
      <c r="D99" s="10">
        <v>16.646138439000001</v>
      </c>
      <c r="E99" s="10">
        <v>0.1201124636</v>
      </c>
      <c r="F99" s="10">
        <v>13.966731092</v>
      </c>
      <c r="G99" s="10">
        <v>14.218655083</v>
      </c>
      <c r="H99" s="10">
        <v>14.642603114</v>
      </c>
      <c r="I99" s="10">
        <v>15.472701945000001</v>
      </c>
      <c r="J99" s="10">
        <v>16.646138439000001</v>
      </c>
      <c r="K99" s="10">
        <v>18.245211663999999</v>
      </c>
      <c r="L99" s="10">
        <v>20.342695337999999</v>
      </c>
      <c r="M99" s="10">
        <v>22.154092382999998</v>
      </c>
      <c r="N99" s="10">
        <v>23.726960857000002</v>
      </c>
    </row>
    <row r="100" spans="1:14" x14ac:dyDescent="0.25">
      <c r="A100" s="10">
        <v>1</v>
      </c>
      <c r="B100" s="13">
        <v>10.125</v>
      </c>
      <c r="C100" s="10">
        <v>-2.749782197</v>
      </c>
      <c r="D100" s="10">
        <v>16.689715178</v>
      </c>
      <c r="E100" s="10">
        <v>0.1207366562</v>
      </c>
      <c r="F100" s="10">
        <v>13.990235805999999</v>
      </c>
      <c r="G100" s="10">
        <v>14.243960805</v>
      </c>
      <c r="H100" s="10">
        <v>14.670983764000001</v>
      </c>
      <c r="I100" s="10">
        <v>15.507253261000001</v>
      </c>
      <c r="J100" s="10">
        <v>16.689715178</v>
      </c>
      <c r="K100" s="10">
        <v>18.301563299000001</v>
      </c>
      <c r="L100" s="10">
        <v>20.416427091999999</v>
      </c>
      <c r="M100" s="10">
        <v>22.243200912999999</v>
      </c>
      <c r="N100" s="10">
        <v>23.829553219000001</v>
      </c>
    </row>
    <row r="101" spans="1:14" x14ac:dyDescent="0.25">
      <c r="A101" s="10">
        <v>1</v>
      </c>
      <c r="B101" s="13">
        <v>10.208333333333334</v>
      </c>
      <c r="C101" s="10">
        <v>-2.7341424430000001</v>
      </c>
      <c r="D101" s="10">
        <v>16.733806952999998</v>
      </c>
      <c r="E101" s="10">
        <v>0.1213481813</v>
      </c>
      <c r="F101" s="10">
        <v>14.014330207</v>
      </c>
      <c r="G101" s="10">
        <v>14.269853131</v>
      </c>
      <c r="H101" s="10">
        <v>14.699944196000001</v>
      </c>
      <c r="I101" s="10">
        <v>15.542364501</v>
      </c>
      <c r="J101" s="10">
        <v>16.733806952999998</v>
      </c>
      <c r="K101" s="10">
        <v>18.358330838000001</v>
      </c>
      <c r="L101" s="10">
        <v>20.490362624999999</v>
      </c>
      <c r="M101" s="10">
        <v>22.332237857999999</v>
      </c>
      <c r="N101" s="10">
        <v>23.931752057000001</v>
      </c>
    </row>
    <row r="102" spans="1:14" x14ac:dyDescent="0.25">
      <c r="A102" s="10">
        <v>1</v>
      </c>
      <c r="B102" s="13">
        <v>10.291666666666666</v>
      </c>
      <c r="C102" s="10">
        <v>-2.718732873</v>
      </c>
      <c r="D102" s="10">
        <v>16.778403632</v>
      </c>
      <c r="E102" s="10">
        <v>0.121946849</v>
      </c>
      <c r="F102" s="10">
        <v>14.039010696</v>
      </c>
      <c r="G102" s="10">
        <v>14.296327886</v>
      </c>
      <c r="H102" s="10">
        <v>14.729479246</v>
      </c>
      <c r="I102" s="10">
        <v>15.578028494</v>
      </c>
      <c r="J102" s="10">
        <v>16.778403632</v>
      </c>
      <c r="K102" s="10">
        <v>18.415499949000001</v>
      </c>
      <c r="L102" s="10">
        <v>20.564482024</v>
      </c>
      <c r="M102" s="10">
        <v>22.421178749999999</v>
      </c>
      <c r="N102" s="10">
        <v>24.033529496</v>
      </c>
    </row>
    <row r="103" spans="1:14" x14ac:dyDescent="0.25">
      <c r="A103" s="10">
        <v>1</v>
      </c>
      <c r="B103" s="13">
        <v>10.375</v>
      </c>
      <c r="C103" s="10">
        <v>-2.7035555059999998</v>
      </c>
      <c r="D103" s="10">
        <v>16.823495380000001</v>
      </c>
      <c r="E103" s="10">
        <v>0.1225325012</v>
      </c>
      <c r="F103" s="10">
        <v>14.064273173</v>
      </c>
      <c r="G103" s="10">
        <v>14.323380480999999</v>
      </c>
      <c r="H103" s="10">
        <v>14.759583473999999</v>
      </c>
      <c r="I103" s="10">
        <v>15.614238052999999</v>
      </c>
      <c r="J103" s="10">
        <v>16.823495380000001</v>
      </c>
      <c r="K103" s="10">
        <v>18.473056894999999</v>
      </c>
      <c r="L103" s="10">
        <v>20.638766109999999</v>
      </c>
      <c r="M103" s="10">
        <v>22.509999702000002</v>
      </c>
      <c r="N103" s="10">
        <v>24.134857897</v>
      </c>
    </row>
    <row r="104" spans="1:14" x14ac:dyDescent="0.25">
      <c r="A104" s="10">
        <v>1</v>
      </c>
      <c r="B104" s="13">
        <v>10.458333333333334</v>
      </c>
      <c r="C104" s="10">
        <v>-2.688611957</v>
      </c>
      <c r="D104" s="10">
        <v>16.869072374999998</v>
      </c>
      <c r="E104" s="10">
        <v>0.12310499079999999</v>
      </c>
      <c r="F104" s="10">
        <v>14.090113437999999</v>
      </c>
      <c r="G104" s="10">
        <v>14.351006234</v>
      </c>
      <c r="H104" s="10">
        <v>14.790251368</v>
      </c>
      <c r="I104" s="10">
        <v>15.650985951999999</v>
      </c>
      <c r="J104" s="10">
        <v>16.869072374999998</v>
      </c>
      <c r="K104" s="10">
        <v>18.530988051000001</v>
      </c>
      <c r="L104" s="10">
        <v>20.713196016000001</v>
      </c>
      <c r="M104" s="10">
        <v>22.598677435999999</v>
      </c>
      <c r="N104" s="10">
        <v>24.235710627</v>
      </c>
    </row>
    <row r="105" spans="1:14" x14ac:dyDescent="0.25">
      <c r="A105" s="10">
        <v>1</v>
      </c>
      <c r="B105" s="13">
        <v>10.541666666666666</v>
      </c>
      <c r="C105" s="10">
        <v>-2.6739031639999999</v>
      </c>
      <c r="D105" s="10">
        <v>16.915124865999999</v>
      </c>
      <c r="E105" s="10">
        <v>0.1236641859</v>
      </c>
      <c r="F105" s="10">
        <v>14.116527107</v>
      </c>
      <c r="G105" s="10">
        <v>14.379200308</v>
      </c>
      <c r="H105" s="10">
        <v>14.821477298</v>
      </c>
      <c r="I105" s="10">
        <v>15.688264930000001</v>
      </c>
      <c r="J105" s="10">
        <v>16.915124865999999</v>
      </c>
      <c r="K105" s="10">
        <v>18.589280000999999</v>
      </c>
      <c r="L105" s="10">
        <v>20.787753272</v>
      </c>
      <c r="M105" s="10">
        <v>22.687189277000002</v>
      </c>
      <c r="N105" s="10">
        <v>24.336061908000001</v>
      </c>
    </row>
    <row r="106" spans="1:14" x14ac:dyDescent="0.25">
      <c r="A106" s="10">
        <v>1</v>
      </c>
      <c r="B106" s="13">
        <v>10.625</v>
      </c>
      <c r="C106" s="10">
        <v>-2.6594294430000001</v>
      </c>
      <c r="D106" s="10">
        <v>16.961643167999998</v>
      </c>
      <c r="E106" s="10">
        <v>0.12420996939999999</v>
      </c>
      <c r="F106" s="10">
        <v>14.143509616999999</v>
      </c>
      <c r="G106" s="10">
        <v>14.407957708</v>
      </c>
      <c r="H106" s="10">
        <v>14.853255522</v>
      </c>
      <c r="I106" s="10">
        <v>15.726067684</v>
      </c>
      <c r="J106" s="10">
        <v>16.961643167999998</v>
      </c>
      <c r="K106" s="10">
        <v>18.647919530999999</v>
      </c>
      <c r="L106" s="10">
        <v>20.862419806999998</v>
      </c>
      <c r="M106" s="10">
        <v>22.775513157999999</v>
      </c>
      <c r="N106" s="10">
        <v>24.435886814</v>
      </c>
    </row>
    <row r="107" spans="1:14" x14ac:dyDescent="0.25">
      <c r="A107" s="10">
        <v>1</v>
      </c>
      <c r="B107" s="13">
        <v>10.708333333333334</v>
      </c>
      <c r="C107" s="10">
        <v>-2.6451905340000001</v>
      </c>
      <c r="D107" s="10">
        <v>17.008617659999999</v>
      </c>
      <c r="E107" s="10">
        <v>0.12474223869999999</v>
      </c>
      <c r="F107" s="10">
        <v>14.171056231</v>
      </c>
      <c r="G107" s="10">
        <v>14.43727329</v>
      </c>
      <c r="H107" s="10">
        <v>14.885580184</v>
      </c>
      <c r="I107" s="10">
        <v>15.764386877</v>
      </c>
      <c r="J107" s="10">
        <v>17.008617659999999</v>
      </c>
      <c r="K107" s="10">
        <v>18.706893635</v>
      </c>
      <c r="L107" s="10">
        <v>20.937177950999999</v>
      </c>
      <c r="M107" s="10">
        <v>22.863627619999999</v>
      </c>
      <c r="N107" s="10">
        <v>24.535161274</v>
      </c>
    </row>
    <row r="108" spans="1:14" x14ac:dyDescent="0.25">
      <c r="A108" s="10">
        <v>1</v>
      </c>
      <c r="B108" s="13">
        <v>10.791666666666666</v>
      </c>
      <c r="C108" s="10">
        <v>-2.6311856489999998</v>
      </c>
      <c r="D108" s="10">
        <v>17.056038786999999</v>
      </c>
      <c r="E108" s="10">
        <v>0.12526090540000001</v>
      </c>
      <c r="F108" s="10">
        <v>14.199162032</v>
      </c>
      <c r="G108" s="10">
        <v>14.467141754</v>
      </c>
      <c r="H108" s="10">
        <v>14.918445309999999</v>
      </c>
      <c r="I108" s="10">
        <v>15.80321513</v>
      </c>
      <c r="J108" s="10">
        <v>17.056038786999999</v>
      </c>
      <c r="K108" s="10">
        <v>18.766189505</v>
      </c>
      <c r="L108" s="10">
        <v>21.01201043</v>
      </c>
      <c r="M108" s="10">
        <v>22.951511816</v>
      </c>
      <c r="N108" s="10">
        <v>24.633862066999999</v>
      </c>
    </row>
    <row r="109" spans="1:14" x14ac:dyDescent="0.25">
      <c r="A109" s="10">
        <v>1</v>
      </c>
      <c r="B109" s="13">
        <v>10.875</v>
      </c>
      <c r="C109" s="10">
        <v>-2.6174135110000001</v>
      </c>
      <c r="D109" s="10">
        <v>17.103897052000001</v>
      </c>
      <c r="E109" s="10">
        <v>0.12576589499999999</v>
      </c>
      <c r="F109" s="10">
        <v>14.227821930999999</v>
      </c>
      <c r="G109" s="10">
        <v>14.497557648000001</v>
      </c>
      <c r="H109" s="10">
        <v>14.951844817</v>
      </c>
      <c r="I109" s="10">
        <v>15.842545024</v>
      </c>
      <c r="J109" s="10">
        <v>17.103897052000001</v>
      </c>
      <c r="K109" s="10">
        <v>18.825794538</v>
      </c>
      <c r="L109" s="10">
        <v>21.086900370999999</v>
      </c>
      <c r="M109" s="10">
        <v>23.039145509000001</v>
      </c>
      <c r="N109" s="10">
        <v>24.731966828000001</v>
      </c>
    </row>
    <row r="110" spans="1:14" x14ac:dyDescent="0.25">
      <c r="A110" s="10">
        <v>1</v>
      </c>
      <c r="B110" s="13">
        <v>10.958333333333334</v>
      </c>
      <c r="C110" s="10">
        <v>-2.603872392</v>
      </c>
      <c r="D110" s="10">
        <v>17.152183021999999</v>
      </c>
      <c r="E110" s="10">
        <v>0.12625714669999999</v>
      </c>
      <c r="F110" s="10">
        <v>14.257030662</v>
      </c>
      <c r="G110" s="10">
        <v>14.528515370999999</v>
      </c>
      <c r="H110" s="10">
        <v>14.985772505</v>
      </c>
      <c r="I110" s="10">
        <v>15.882369097</v>
      </c>
      <c r="J110" s="10">
        <v>17.152183021999999</v>
      </c>
      <c r="K110" s="10">
        <v>18.885696327000002</v>
      </c>
      <c r="L110" s="10">
        <v>21.161831304</v>
      </c>
      <c r="M110" s="10">
        <v>23.126509077000001</v>
      </c>
      <c r="N110" s="10">
        <v>24.829454042999998</v>
      </c>
    </row>
    <row r="111" spans="1:14" x14ac:dyDescent="0.25">
      <c r="A111" s="10">
        <v>1</v>
      </c>
      <c r="B111" s="13">
        <v>11.041666666666666</v>
      </c>
      <c r="C111" s="10">
        <v>-2.5905601479999998</v>
      </c>
      <c r="D111" s="10">
        <v>17.200887317999999</v>
      </c>
      <c r="E111" s="10">
        <v>0.12673461329999999</v>
      </c>
      <c r="F111" s="10">
        <v>14.286782789</v>
      </c>
      <c r="G111" s="10">
        <v>14.560009167</v>
      </c>
      <c r="H111" s="10">
        <v>15.020222061</v>
      </c>
      <c r="I111" s="10">
        <v>15.922679848</v>
      </c>
      <c r="J111" s="10">
        <v>17.200887317999999</v>
      </c>
      <c r="K111" s="10">
        <v>18.945882666999999</v>
      </c>
      <c r="L111" s="10">
        <v>21.236787156999998</v>
      </c>
      <c r="M111" s="10">
        <v>23.213583513</v>
      </c>
      <c r="N111" s="10">
        <v>24.926303052000002</v>
      </c>
    </row>
    <row r="112" spans="1:14" x14ac:dyDescent="0.25">
      <c r="A112" s="10">
        <v>1</v>
      </c>
      <c r="B112" s="13">
        <v>11.125</v>
      </c>
      <c r="C112" s="10">
        <v>-2.5774742530000001</v>
      </c>
      <c r="D112" s="10">
        <v>17.250000622999998</v>
      </c>
      <c r="E112" s="10">
        <v>0.12719826040000001</v>
      </c>
      <c r="F112" s="10">
        <v>14.317072704999999</v>
      </c>
      <c r="G112" s="10">
        <v>14.592033133999999</v>
      </c>
      <c r="H112" s="10">
        <v>15.055187055999999</v>
      </c>
      <c r="I112" s="10">
        <v>15.963469729</v>
      </c>
      <c r="J112" s="10">
        <v>17.250000622999998</v>
      </c>
      <c r="K112" s="10">
        <v>19.006341548000002</v>
      </c>
      <c r="L112" s="10">
        <v>21.311752257999999</v>
      </c>
      <c r="M112" s="10">
        <v>23.300350425000001</v>
      </c>
      <c r="N112" s="10">
        <v>25.022494045999998</v>
      </c>
    </row>
    <row r="113" spans="1:14" x14ac:dyDescent="0.25">
      <c r="A113" s="10">
        <v>1</v>
      </c>
      <c r="B113" s="13">
        <v>11.208333333333334</v>
      </c>
      <c r="C113" s="10">
        <v>-2.5646118310000001</v>
      </c>
      <c r="D113" s="10">
        <v>17.299513673</v>
      </c>
      <c r="E113" s="10">
        <v>0.1276480666</v>
      </c>
      <c r="F113" s="10">
        <v>14.347894631000001</v>
      </c>
      <c r="G113" s="10">
        <v>14.62458122</v>
      </c>
      <c r="H113" s="10">
        <v>15.090660952</v>
      </c>
      <c r="I113" s="10">
        <v>16.004731153000002</v>
      </c>
      <c r="J113" s="10">
        <v>17.299513673</v>
      </c>
      <c r="K113" s="10">
        <v>19.067061157000001</v>
      </c>
      <c r="L113" s="10">
        <v>21.386711339000001</v>
      </c>
      <c r="M113" s="10">
        <v>23.38679204</v>
      </c>
      <c r="N113" s="10">
        <v>25.118008071999999</v>
      </c>
    </row>
    <row r="114" spans="1:14" x14ac:dyDescent="0.25">
      <c r="A114" s="10">
        <v>1</v>
      </c>
      <c r="B114" s="13">
        <v>11.291666666666666</v>
      </c>
      <c r="C114" s="10">
        <v>-2.5519696839999999</v>
      </c>
      <c r="D114" s="10">
        <v>17.349417257999999</v>
      </c>
      <c r="E114" s="10">
        <v>0.12808402299999999</v>
      </c>
      <c r="F114" s="10">
        <v>14.379242621</v>
      </c>
      <c r="G114" s="10">
        <v>14.657647224</v>
      </c>
      <c r="H114" s="10">
        <v>15.126637095</v>
      </c>
      <c r="I114" s="10">
        <v>16.046456484</v>
      </c>
      <c r="J114" s="10">
        <v>17.349417257999999</v>
      </c>
      <c r="K114" s="10">
        <v>19.128029873999999</v>
      </c>
      <c r="L114" s="10">
        <v>21.461649529999999</v>
      </c>
      <c r="M114" s="10">
        <v>23.472891203</v>
      </c>
      <c r="N114" s="10">
        <v>25.21282703</v>
      </c>
    </row>
    <row r="115" spans="1:14" x14ac:dyDescent="0.25">
      <c r="A115" s="10">
        <v>1</v>
      </c>
      <c r="B115" s="13">
        <v>11.375</v>
      </c>
      <c r="C115" s="10">
        <v>-2.539539972</v>
      </c>
      <c r="D115" s="10">
        <v>17.399703080999998</v>
      </c>
      <c r="E115" s="10">
        <v>0.12850619190000001</v>
      </c>
      <c r="F115" s="10">
        <v>14.411109333000001</v>
      </c>
      <c r="G115" s="10">
        <v>14.691223806</v>
      </c>
      <c r="H115" s="10">
        <v>15.163108104999999</v>
      </c>
      <c r="I115" s="10">
        <v>16.088638114999998</v>
      </c>
      <c r="J115" s="10">
        <v>17.399703080999998</v>
      </c>
      <c r="K115" s="10">
        <v>19.189237763000001</v>
      </c>
      <c r="L115" s="10">
        <v>21.536553648000002</v>
      </c>
      <c r="M115" s="10">
        <v>23.558631287000001</v>
      </c>
      <c r="N115" s="10">
        <v>25.306931297999999</v>
      </c>
    </row>
    <row r="116" spans="1:14" x14ac:dyDescent="0.25">
      <c r="A116" s="10">
        <v>1</v>
      </c>
      <c r="B116" s="13">
        <v>11.458333333333334</v>
      </c>
      <c r="C116" s="10">
        <v>-2.5273256810000002</v>
      </c>
      <c r="D116" s="10">
        <v>17.450360714999999</v>
      </c>
      <c r="E116" s="10">
        <v>0.12891449739999999</v>
      </c>
      <c r="F116" s="10">
        <v>14.443490382</v>
      </c>
      <c r="G116" s="10">
        <v>14.725306007</v>
      </c>
      <c r="H116" s="10">
        <v>15.200068051000001</v>
      </c>
      <c r="I116" s="10">
        <v>16.131268212999998</v>
      </c>
      <c r="J116" s="10">
        <v>17.450360714999999</v>
      </c>
      <c r="K116" s="10">
        <v>19.250671291</v>
      </c>
      <c r="L116" s="10">
        <v>21.611407641</v>
      </c>
      <c r="M116" s="10">
        <v>23.643996517000001</v>
      </c>
      <c r="N116" s="10">
        <v>25.400308150000001</v>
      </c>
    </row>
    <row r="117" spans="1:14" x14ac:dyDescent="0.25">
      <c r="A117" s="10">
        <v>1</v>
      </c>
      <c r="B117" s="13">
        <v>11.541666666666666</v>
      </c>
      <c r="C117" s="10">
        <v>-2.5153202349999999</v>
      </c>
      <c r="D117" s="10">
        <v>17.501381605999999</v>
      </c>
      <c r="E117" s="10">
        <v>0.1293090012</v>
      </c>
      <c r="F117" s="10">
        <v>14.476378606000001</v>
      </c>
      <c r="G117" s="10">
        <v>14.759886606</v>
      </c>
      <c r="H117" s="10">
        <v>15.237509581999999</v>
      </c>
      <c r="I117" s="10">
        <v>16.174339049</v>
      </c>
      <c r="J117" s="10">
        <v>17.501381605999999</v>
      </c>
      <c r="K117" s="10">
        <v>19.312320287999999</v>
      </c>
      <c r="L117" s="10">
        <v>21.686198596000001</v>
      </c>
      <c r="M117" s="10">
        <v>23.728971547</v>
      </c>
      <c r="N117" s="10">
        <v>25.492940658999999</v>
      </c>
    </row>
    <row r="118" spans="1:14" x14ac:dyDescent="0.25">
      <c r="A118" s="10">
        <v>1</v>
      </c>
      <c r="B118" s="13">
        <v>11.625</v>
      </c>
      <c r="C118" s="10">
        <v>-2.503519447</v>
      </c>
      <c r="D118" s="10">
        <v>17.552756738999999</v>
      </c>
      <c r="E118" s="10">
        <v>0.12968974080000001</v>
      </c>
      <c r="F118" s="10">
        <v>14.509767412</v>
      </c>
      <c r="G118" s="10">
        <v>14.794958832000001</v>
      </c>
      <c r="H118" s="10">
        <v>15.275425605000001</v>
      </c>
      <c r="I118" s="10">
        <v>16.217842806</v>
      </c>
      <c r="J118" s="10">
        <v>17.552756738999999</v>
      </c>
      <c r="K118" s="10">
        <v>19.374173878000001</v>
      </c>
      <c r="L118" s="10">
        <v>21.760913228</v>
      </c>
      <c r="M118" s="10">
        <v>23.813541708999999</v>
      </c>
      <c r="N118" s="10">
        <v>25.584814176999998</v>
      </c>
    </row>
    <row r="119" spans="1:14" x14ac:dyDescent="0.25">
      <c r="A119" s="10">
        <v>1</v>
      </c>
      <c r="B119" s="13">
        <v>11.708333333333334</v>
      </c>
      <c r="C119" s="10">
        <v>-2.4919189340000001</v>
      </c>
      <c r="D119" s="10">
        <v>17.604477144000001</v>
      </c>
      <c r="E119" s="10">
        <v>0.13005676490000001</v>
      </c>
      <c r="F119" s="10">
        <v>14.543650049</v>
      </c>
      <c r="G119" s="10">
        <v>14.830515777</v>
      </c>
      <c r="H119" s="10">
        <v>15.313808915999999</v>
      </c>
      <c r="I119" s="10">
        <v>16.261771619000001</v>
      </c>
      <c r="J119" s="10">
        <v>17.604477144000001</v>
      </c>
      <c r="K119" s="10">
        <v>19.436221369999998</v>
      </c>
      <c r="L119" s="10">
        <v>21.835538651</v>
      </c>
      <c r="M119" s="10">
        <v>23.897692958</v>
      </c>
      <c r="N119" s="10">
        <v>25.675914917</v>
      </c>
    </row>
    <row r="120" spans="1:14" x14ac:dyDescent="0.25">
      <c r="A120" s="10">
        <v>1</v>
      </c>
      <c r="B120" s="13">
        <v>11.791666666666666</v>
      </c>
      <c r="C120" s="10">
        <v>-2.480514136</v>
      </c>
      <c r="D120" s="10">
        <v>17.656533894999999</v>
      </c>
      <c r="E120" s="10">
        <v>0.1304101325</v>
      </c>
      <c r="F120" s="10">
        <v>14.57801961</v>
      </c>
      <c r="G120" s="10">
        <v>14.86655039</v>
      </c>
      <c r="H120" s="10">
        <v>15.352652202</v>
      </c>
      <c r="I120" s="10">
        <v>16.306117575999998</v>
      </c>
      <c r="J120" s="10">
        <v>17.656533894999999</v>
      </c>
      <c r="K120" s="10">
        <v>19.498452255</v>
      </c>
      <c r="L120" s="10">
        <v>21.910062371999999</v>
      </c>
      <c r="M120" s="10">
        <v>23.981411873999999</v>
      </c>
      <c r="N120" s="10">
        <v>25.76622996</v>
      </c>
    </row>
    <row r="121" spans="1:14" x14ac:dyDescent="0.25">
      <c r="A121" s="10">
        <v>1</v>
      </c>
      <c r="B121" s="13">
        <v>11.875</v>
      </c>
      <c r="C121" s="10">
        <v>-2.4693003309999999</v>
      </c>
      <c r="D121" s="10">
        <v>17.708918106999999</v>
      </c>
      <c r="E121" s="10">
        <v>0.13074991320000001</v>
      </c>
      <c r="F121" s="10">
        <v>14.612869033000001</v>
      </c>
      <c r="G121" s="10">
        <v>14.903055484999999</v>
      </c>
      <c r="H121" s="10">
        <v>15.391948041999999</v>
      </c>
      <c r="I121" s="10">
        <v>16.350872717000001</v>
      </c>
      <c r="J121" s="10">
        <v>17.708918106999999</v>
      </c>
      <c r="K121" s="10">
        <v>19.560856203</v>
      </c>
      <c r="L121" s="10">
        <v>21.984472294</v>
      </c>
      <c r="M121" s="10">
        <v>24.064685663999999</v>
      </c>
      <c r="N121" s="10">
        <v>25.855747252</v>
      </c>
    </row>
    <row r="122" spans="1:14" x14ac:dyDescent="0.25">
      <c r="A122" s="10">
        <v>1</v>
      </c>
      <c r="B122" s="13">
        <v>11.958333333333334</v>
      </c>
      <c r="C122" s="10">
        <v>-2.4582726560000001</v>
      </c>
      <c r="D122" s="10">
        <v>17.761620938</v>
      </c>
      <c r="E122" s="10">
        <v>0.13107618670000001</v>
      </c>
      <c r="F122" s="10">
        <v>14.648191101</v>
      </c>
      <c r="G122" s="10">
        <v>14.940023736000001</v>
      </c>
      <c r="H122" s="10">
        <v>15.431688907</v>
      </c>
      <c r="I122" s="10">
        <v>16.396029033000001</v>
      </c>
      <c r="J122" s="10">
        <v>17.761620938</v>
      </c>
      <c r="K122" s="10">
        <v>19.623423062000001</v>
      </c>
      <c r="L122" s="10">
        <v>22.058756716000001</v>
      </c>
      <c r="M122" s="10">
        <v>24.147502158999998</v>
      </c>
      <c r="N122" s="10">
        <v>25.944455605000002</v>
      </c>
    </row>
    <row r="123" spans="1:14" x14ac:dyDescent="0.25">
      <c r="A123" s="10">
        <v>1</v>
      </c>
      <c r="B123" s="13">
        <v>12.041666666666666</v>
      </c>
      <c r="C123" s="10">
        <v>-2.4474261130000001</v>
      </c>
      <c r="D123" s="10">
        <v>17.814633585999999</v>
      </c>
      <c r="E123" s="10">
        <v>0.13138904230000001</v>
      </c>
      <c r="F123" s="10">
        <v>14.683978443000001</v>
      </c>
      <c r="G123" s="10">
        <v>14.977447682999999</v>
      </c>
      <c r="H123" s="10">
        <v>15.471867162000001</v>
      </c>
      <c r="I123" s="10">
        <v>16.441578465999999</v>
      </c>
      <c r="J123" s="10">
        <v>17.814633585999999</v>
      </c>
      <c r="K123" s="10">
        <v>19.686142859</v>
      </c>
      <c r="L123" s="10">
        <v>22.132904326999999</v>
      </c>
      <c r="M123" s="10">
        <v>24.229849819999998</v>
      </c>
      <c r="N123" s="10">
        <v>26.032344701</v>
      </c>
    </row>
    <row r="124" spans="1:14" x14ac:dyDescent="0.25">
      <c r="A124" s="10">
        <v>1</v>
      </c>
      <c r="B124" s="13">
        <v>12.125</v>
      </c>
      <c r="C124" s="10">
        <v>-2.4367555950000002</v>
      </c>
      <c r="D124" s="10">
        <v>17.867947289</v>
      </c>
      <c r="E124" s="10">
        <v>0.13168857910000001</v>
      </c>
      <c r="F124" s="10">
        <v>14.720223539999999</v>
      </c>
      <c r="G124" s="10">
        <v>15.01531973</v>
      </c>
      <c r="H124" s="10">
        <v>15.512475062</v>
      </c>
      <c r="I124" s="10">
        <v>16.487512908999999</v>
      </c>
      <c r="J124" s="10">
        <v>17.867947289</v>
      </c>
      <c r="K124" s="10">
        <v>19.749005792999998</v>
      </c>
      <c r="L124" s="10">
        <v>22.206904214000001</v>
      </c>
      <c r="M124" s="10">
        <v>24.311717734999998</v>
      </c>
      <c r="N124" s="10">
        <v>26.119405091000001</v>
      </c>
    </row>
    <row r="125" spans="1:14" x14ac:dyDescent="0.25">
      <c r="A125" s="10">
        <v>1</v>
      </c>
      <c r="B125" s="13">
        <v>12.208333333333334</v>
      </c>
      <c r="C125" s="10">
        <v>-2.4262558869999999</v>
      </c>
      <c r="D125" s="10">
        <v>17.921553320000001</v>
      </c>
      <c r="E125" s="10">
        <v>0.13197490519999999</v>
      </c>
      <c r="F125" s="10">
        <v>14.75691872</v>
      </c>
      <c r="G125" s="10">
        <v>15.053632148</v>
      </c>
      <c r="H125" s="10">
        <v>15.553504759000001</v>
      </c>
      <c r="I125" s="10">
        <v>16.533824206999999</v>
      </c>
      <c r="J125" s="10">
        <v>17.921553320000001</v>
      </c>
      <c r="K125" s="10">
        <v>19.812002240999998</v>
      </c>
      <c r="L125" s="10">
        <v>22.280745853999999</v>
      </c>
      <c r="M125" s="10">
        <v>24.39309562</v>
      </c>
      <c r="N125" s="10">
        <v>26.205628193999999</v>
      </c>
    </row>
    <row r="126" spans="1:14" x14ac:dyDescent="0.25">
      <c r="A126" s="10">
        <v>1</v>
      </c>
      <c r="B126" s="13">
        <v>12.291666666666666</v>
      </c>
      <c r="C126" s="10">
        <v>-2.4159216890000001</v>
      </c>
      <c r="D126" s="10">
        <v>17.975442992000001</v>
      </c>
      <c r="E126" s="10">
        <v>0.13224813769999999</v>
      </c>
      <c r="F126" s="10">
        <v>14.794056164000001</v>
      </c>
      <c r="G126" s="10">
        <v>15.092377074</v>
      </c>
      <c r="H126" s="10">
        <v>15.594948298</v>
      </c>
      <c r="I126" s="10">
        <v>16.580504153</v>
      </c>
      <c r="J126" s="10">
        <v>17.975442992000001</v>
      </c>
      <c r="K126" s="10">
        <v>19.875122749999999</v>
      </c>
      <c r="L126" s="10">
        <v>22.354419118999999</v>
      </c>
      <c r="M126" s="10">
        <v>24.473973823000001</v>
      </c>
      <c r="N126" s="10">
        <v>26.291006302</v>
      </c>
    </row>
    <row r="127" spans="1:14" x14ac:dyDescent="0.25">
      <c r="A127" s="10">
        <v>1</v>
      </c>
      <c r="B127" s="13">
        <v>12.375</v>
      </c>
      <c r="C127" s="10">
        <v>-2.405747619</v>
      </c>
      <c r="D127" s="10">
        <v>18.029607652999999</v>
      </c>
      <c r="E127" s="10">
        <v>0.13250840259999999</v>
      </c>
      <c r="F127" s="10">
        <v>14.831627905</v>
      </c>
      <c r="G127" s="10">
        <v>15.131546514</v>
      </c>
      <c r="H127" s="10">
        <v>15.636797616000001</v>
      </c>
      <c r="I127" s="10">
        <v>16.627544490999998</v>
      </c>
      <c r="J127" s="10">
        <v>18.029607652999999</v>
      </c>
      <c r="K127" s="10">
        <v>19.938358040000001</v>
      </c>
      <c r="L127" s="10">
        <v>22.427914270999999</v>
      </c>
      <c r="M127" s="10">
        <v>24.554343318000001</v>
      </c>
      <c r="N127" s="10">
        <v>26.375532577000001</v>
      </c>
    </row>
    <row r="128" spans="1:14" x14ac:dyDescent="0.25">
      <c r="A128" s="10">
        <v>1</v>
      </c>
      <c r="B128" s="13">
        <v>12.458333333333334</v>
      </c>
      <c r="C128" s="10">
        <v>-2.3957282329999998</v>
      </c>
      <c r="D128" s="10">
        <v>18.084038683999999</v>
      </c>
      <c r="E128" s="10">
        <v>0.13275583429999999</v>
      </c>
      <c r="F128" s="10">
        <v>14.869625831</v>
      </c>
      <c r="G128" s="10">
        <v>15.171132342</v>
      </c>
      <c r="H128" s="10">
        <v>15.679044549</v>
      </c>
      <c r="I128" s="10">
        <v>16.674936915</v>
      </c>
      <c r="J128" s="10">
        <v>18.084038683999999</v>
      </c>
      <c r="K128" s="10">
        <v>20.001698999999999</v>
      </c>
      <c r="L128" s="10">
        <v>22.501221964999999</v>
      </c>
      <c r="M128" s="10">
        <v>24.634195716000001</v>
      </c>
      <c r="N128" s="10">
        <v>26.459201057000001</v>
      </c>
    </row>
    <row r="129" spans="1:14" x14ac:dyDescent="0.25">
      <c r="A129" s="10">
        <v>1</v>
      </c>
      <c r="B129" s="13">
        <v>12.541666666666666</v>
      </c>
      <c r="C129" s="10">
        <v>-2.385858029</v>
      </c>
      <c r="D129" s="10">
        <v>18.138727501000002</v>
      </c>
      <c r="E129" s="10">
        <v>0.13299057519999999</v>
      </c>
      <c r="F129" s="10">
        <v>14.908041684000001</v>
      </c>
      <c r="G129" s="10">
        <v>15.211126303</v>
      </c>
      <c r="H129" s="10">
        <v>15.721680827</v>
      </c>
      <c r="I129" s="10">
        <v>16.722673065999999</v>
      </c>
      <c r="J129" s="10">
        <v>18.138727501000002</v>
      </c>
      <c r="K129" s="10">
        <v>20.065136685999999</v>
      </c>
      <c r="L129" s="10">
        <v>22.574333244999998</v>
      </c>
      <c r="M129" s="10">
        <v>24.713523253999998</v>
      </c>
      <c r="N129" s="10">
        <v>26.542006651000001</v>
      </c>
    </row>
    <row r="130" spans="1:14" x14ac:dyDescent="0.25">
      <c r="A130" s="10">
        <v>1</v>
      </c>
      <c r="B130" s="13">
        <v>12.625</v>
      </c>
      <c r="C130" s="10">
        <v>-2.3761314589999998</v>
      </c>
      <c r="D130" s="10">
        <v>18.193665551999999</v>
      </c>
      <c r="E130" s="10">
        <v>0.133212776</v>
      </c>
      <c r="F130" s="10">
        <v>14.946867064999999</v>
      </c>
      <c r="G130" s="10">
        <v>15.251520013</v>
      </c>
      <c r="H130" s="10">
        <v>15.764698077</v>
      </c>
      <c r="I130" s="10">
        <v>16.770744535999999</v>
      </c>
      <c r="J130" s="10">
        <v>18.193665551999999</v>
      </c>
      <c r="K130" s="10">
        <v>20.128662323</v>
      </c>
      <c r="L130" s="10">
        <v>22.647239548000002</v>
      </c>
      <c r="M130" s="10">
        <v>24.792318805000001</v>
      </c>
      <c r="N130" s="10">
        <v>26.623945145</v>
      </c>
    </row>
    <row r="131" spans="1:14" x14ac:dyDescent="0.25">
      <c r="A131" s="10">
        <v>1</v>
      </c>
      <c r="B131" s="13">
        <v>12.708333333333334</v>
      </c>
      <c r="C131" s="10">
        <v>-2.3665429420000001</v>
      </c>
      <c r="D131" s="10">
        <v>18.248844313999999</v>
      </c>
      <c r="E131" s="10">
        <v>0.13342259479999999</v>
      </c>
      <c r="F131" s="10">
        <v>14.986093432000001</v>
      </c>
      <c r="G131" s="10">
        <v>15.292304960999999</v>
      </c>
      <c r="H131" s="10">
        <v>15.808087821000001</v>
      </c>
      <c r="I131" s="10">
        <v>16.819142864</v>
      </c>
      <c r="J131" s="10">
        <v>18.248844313999999</v>
      </c>
      <c r="K131" s="10">
        <v>20.192267300000001</v>
      </c>
      <c r="L131" s="10">
        <v>22.719932699000001</v>
      </c>
      <c r="M131" s="10">
        <v>24.870575873</v>
      </c>
      <c r="N131" s="10">
        <v>26.705013199</v>
      </c>
    </row>
    <row r="132" spans="1:14" x14ac:dyDescent="0.25">
      <c r="A132" s="10">
        <v>1</v>
      </c>
      <c r="B132" s="13">
        <v>12.791666666666666</v>
      </c>
      <c r="C132" s="10">
        <v>-2.3570868709999999</v>
      </c>
      <c r="D132" s="10">
        <v>18.304255296000001</v>
      </c>
      <c r="E132" s="10">
        <v>0.13362019729999999</v>
      </c>
      <c r="F132" s="10">
        <v>15.025712104</v>
      </c>
      <c r="G132" s="10">
        <v>15.333472509</v>
      </c>
      <c r="H132" s="10">
        <v>15.851841480999999</v>
      </c>
      <c r="I132" s="10">
        <v>16.867859538000001</v>
      </c>
      <c r="J132" s="10">
        <v>18.304255296000001</v>
      </c>
      <c r="K132" s="10">
        <v>20.255943169999998</v>
      </c>
      <c r="L132" s="10">
        <v>22.792404911999999</v>
      </c>
      <c r="M132" s="10">
        <v>24.948288599000001</v>
      </c>
      <c r="N132" s="10">
        <v>26.785208353000002</v>
      </c>
    </row>
    <row r="133" spans="1:14" x14ac:dyDescent="0.25">
      <c r="A133" s="10">
        <v>1</v>
      </c>
      <c r="B133" s="13">
        <v>12.875</v>
      </c>
      <c r="C133" s="10">
        <v>-2.3477576249999998</v>
      </c>
      <c r="D133" s="10">
        <v>18.359890033999999</v>
      </c>
      <c r="E133" s="10">
        <v>0.13380575629999999</v>
      </c>
      <c r="F133" s="10">
        <v>15.065714261</v>
      </c>
      <c r="G133" s="10">
        <v>15.375013894</v>
      </c>
      <c r="H133" s="10">
        <v>15.895950376</v>
      </c>
      <c r="I133" s="10">
        <v>16.916885994000001</v>
      </c>
      <c r="J133" s="10">
        <v>18.359890033999999</v>
      </c>
      <c r="K133" s="10">
        <v>20.319681648</v>
      </c>
      <c r="L133" s="10">
        <v>22.864648792000001</v>
      </c>
      <c r="M133" s="10">
        <v>25.025451753999999</v>
      </c>
      <c r="N133" s="10">
        <v>26.864529022999999</v>
      </c>
    </row>
    <row r="134" spans="1:14" x14ac:dyDescent="0.25">
      <c r="A134" s="10">
        <v>1</v>
      </c>
      <c r="B134" s="13">
        <v>12.958333333333334</v>
      </c>
      <c r="C134" s="10">
        <v>-2.3385495760000001</v>
      </c>
      <c r="D134" s="10">
        <v>18.415740092</v>
      </c>
      <c r="E134" s="10">
        <v>0.13397945180000001</v>
      </c>
      <c r="F134" s="10">
        <v>15.106090947</v>
      </c>
      <c r="G134" s="10">
        <v>15.416920229</v>
      </c>
      <c r="H134" s="10">
        <v>15.940405724</v>
      </c>
      <c r="I134" s="10">
        <v>16.966213614000001</v>
      </c>
      <c r="J134" s="10">
        <v>18.415740092</v>
      </c>
      <c r="K134" s="10">
        <v>20.383474611</v>
      </c>
      <c r="L134" s="10">
        <v>22.936657329999999</v>
      </c>
      <c r="M134" s="10">
        <v>25.10206075</v>
      </c>
      <c r="N134" s="10">
        <v>26.942974504999999</v>
      </c>
    </row>
    <row r="135" spans="1:14" x14ac:dyDescent="0.25">
      <c r="A135" s="10">
        <v>1</v>
      </c>
      <c r="B135" s="13">
        <v>13.041666666666666</v>
      </c>
      <c r="C135" s="10">
        <v>-2.3294570999999999</v>
      </c>
      <c r="D135" s="10">
        <v>18.471797059</v>
      </c>
      <c r="E135" s="10">
        <v>0.13414147030000001</v>
      </c>
      <c r="F135" s="10">
        <v>15.146833067999999</v>
      </c>
      <c r="G135" s="10">
        <v>15.459182503999999</v>
      </c>
      <c r="H135" s="10">
        <v>15.98519864</v>
      </c>
      <c r="I135" s="10">
        <v>17.015833728</v>
      </c>
      <c r="J135" s="10">
        <v>18.471797059</v>
      </c>
      <c r="K135" s="10">
        <v>20.447314090999999</v>
      </c>
      <c r="L135" s="10">
        <v>23.008423904000001</v>
      </c>
      <c r="M135" s="10">
        <v>25.17811163</v>
      </c>
      <c r="N135" s="10">
        <v>27.020544975</v>
      </c>
    </row>
    <row r="136" spans="1:14" x14ac:dyDescent="0.25">
      <c r="A136" s="10">
        <v>1</v>
      </c>
      <c r="B136" s="13">
        <v>13.125</v>
      </c>
      <c r="C136" s="10">
        <v>-2.320474586</v>
      </c>
      <c r="D136" s="10">
        <v>18.528052549000002</v>
      </c>
      <c r="E136" s="10">
        <v>0.1342920051</v>
      </c>
      <c r="F136" s="10">
        <v>15.1879314</v>
      </c>
      <c r="G136" s="10">
        <v>15.501791587</v>
      </c>
      <c r="H136" s="10">
        <v>16.030320143000001</v>
      </c>
      <c r="I136" s="10">
        <v>17.065737613</v>
      </c>
      <c r="J136" s="10">
        <v>18.528052549000002</v>
      </c>
      <c r="K136" s="10">
        <v>20.511192282</v>
      </c>
      <c r="L136" s="10">
        <v>23.079942282000001</v>
      </c>
      <c r="M136" s="10">
        <v>25.253601076999999</v>
      </c>
      <c r="N136" s="10">
        <v>27.097241492999999</v>
      </c>
    </row>
    <row r="137" spans="1:14" x14ac:dyDescent="0.25">
      <c r="A137" s="10">
        <v>1</v>
      </c>
      <c r="B137" s="13">
        <v>13.208333333333334</v>
      </c>
      <c r="C137" s="10">
        <v>-2.3115964459999998</v>
      </c>
      <c r="D137" s="10">
        <v>18.584498198999999</v>
      </c>
      <c r="E137" s="10">
        <v>0.13443125550000001</v>
      </c>
      <c r="F137" s="10">
        <v>15.229376584000001</v>
      </c>
      <c r="G137" s="10">
        <v>15.544738227</v>
      </c>
      <c r="H137" s="10">
        <v>16.075761148000002</v>
      </c>
      <c r="I137" s="10">
        <v>17.115916491</v>
      </c>
      <c r="J137" s="10">
        <v>18.584498198999999</v>
      </c>
      <c r="K137" s="10">
        <v>20.575101530000001</v>
      </c>
      <c r="L137" s="10">
        <v>23.151206617</v>
      </c>
      <c r="M137" s="10">
        <v>25.328526411999999</v>
      </c>
      <c r="N137" s="10">
        <v>27.173065997999998</v>
      </c>
    </row>
    <row r="138" spans="1:14" x14ac:dyDescent="0.25">
      <c r="A138" s="10">
        <v>1</v>
      </c>
      <c r="B138" s="13">
        <v>13.291666666666666</v>
      </c>
      <c r="C138" s="10">
        <v>-2.3028171240000002</v>
      </c>
      <c r="D138" s="10">
        <v>18.641125665000001</v>
      </c>
      <c r="E138" s="10">
        <v>0.13455942700000001</v>
      </c>
      <c r="F138" s="10">
        <v>15.271159133999999</v>
      </c>
      <c r="G138" s="10">
        <v>15.588013052000001</v>
      </c>
      <c r="H138" s="10">
        <v>16.121512474999999</v>
      </c>
      <c r="I138" s="10">
        <v>17.166361531</v>
      </c>
      <c r="J138" s="10">
        <v>18.641125665000001</v>
      </c>
      <c r="K138" s="10">
        <v>20.639034336999998</v>
      </c>
      <c r="L138" s="10">
        <v>23.222211446999999</v>
      </c>
      <c r="M138" s="10">
        <v>25.402885595000001</v>
      </c>
      <c r="N138" s="10">
        <v>27.248021315999999</v>
      </c>
    </row>
    <row r="139" spans="1:14" x14ac:dyDescent="0.25">
      <c r="A139" s="10">
        <v>1</v>
      </c>
      <c r="B139" s="13">
        <v>13.375</v>
      </c>
      <c r="C139" s="10">
        <v>-2.2941311070000001</v>
      </c>
      <c r="D139" s="10">
        <v>18.697926627000001</v>
      </c>
      <c r="E139" s="10">
        <v>0.1346767311</v>
      </c>
      <c r="F139" s="10">
        <v>15.313269432</v>
      </c>
      <c r="G139" s="10">
        <v>15.631606574999999</v>
      </c>
      <c r="H139" s="10">
        <v>16.167564844000001</v>
      </c>
      <c r="I139" s="10">
        <v>17.217063843999998</v>
      </c>
      <c r="J139" s="10">
        <v>18.697926627000001</v>
      </c>
      <c r="K139" s="10">
        <v>20.702983356000001</v>
      </c>
      <c r="L139" s="10">
        <v>23.292951696999999</v>
      </c>
      <c r="M139" s="10">
        <v>25.476677222999999</v>
      </c>
      <c r="N139" s="10">
        <v>27.322111154000002</v>
      </c>
    </row>
    <row r="140" spans="1:14" x14ac:dyDescent="0.25">
      <c r="A140" s="10">
        <v>1</v>
      </c>
      <c r="B140" s="13">
        <v>13.458333333333334</v>
      </c>
      <c r="C140" s="10">
        <v>-2.2855329329999998</v>
      </c>
      <c r="D140" s="10">
        <v>18.754892780999999</v>
      </c>
      <c r="E140" s="10">
        <v>0.1347833849</v>
      </c>
      <c r="F140" s="10">
        <v>15.355697735</v>
      </c>
      <c r="G140" s="10">
        <v>15.67550919</v>
      </c>
      <c r="H140" s="10">
        <v>16.213908876000001</v>
      </c>
      <c r="I140" s="10">
        <v>17.268014488999999</v>
      </c>
      <c r="J140" s="10">
        <v>18.754892780999999</v>
      </c>
      <c r="K140" s="10">
        <v>20.766941388999999</v>
      </c>
      <c r="L140" s="10">
        <v>23.363422677999999</v>
      </c>
      <c r="M140" s="10">
        <v>25.549900537999999</v>
      </c>
      <c r="N140" s="10">
        <v>27.395340109999999</v>
      </c>
    </row>
    <row r="141" spans="1:14" x14ac:dyDescent="0.25">
      <c r="A141" s="10">
        <v>1</v>
      </c>
      <c r="B141" s="13">
        <v>13.541666666666666</v>
      </c>
      <c r="C141" s="10">
        <v>-2.277017201</v>
      </c>
      <c r="D141" s="10">
        <v>18.812015839000001</v>
      </c>
      <c r="E141" s="10">
        <v>0.13487961070000001</v>
      </c>
      <c r="F141" s="10">
        <v>15.398434176</v>
      </c>
      <c r="G141" s="10">
        <v>15.719711177000001</v>
      </c>
      <c r="H141" s="10">
        <v>16.260535097999998</v>
      </c>
      <c r="I141" s="10">
        <v>17.319204465999999</v>
      </c>
      <c r="J141" s="10">
        <v>18.812015839000001</v>
      </c>
      <c r="K141" s="10">
        <v>20.830901390000001</v>
      </c>
      <c r="L141" s="10">
        <v>23.433620084000001</v>
      </c>
      <c r="M141" s="10">
        <v>25.622555420000001</v>
      </c>
      <c r="N141" s="10">
        <v>27.467713664000001</v>
      </c>
    </row>
    <row r="142" spans="1:14" x14ac:dyDescent="0.25">
      <c r="A142" s="10">
        <v>1</v>
      </c>
      <c r="B142" s="13">
        <v>13.625</v>
      </c>
      <c r="C142" s="10">
        <v>-2.2685785840000001</v>
      </c>
      <c r="D142" s="10">
        <v>18.869287528000001</v>
      </c>
      <c r="E142" s="10">
        <v>0.13496563650000001</v>
      </c>
      <c r="F142" s="10">
        <v>15.441468765</v>
      </c>
      <c r="G142" s="10">
        <v>15.764202704000001</v>
      </c>
      <c r="H142" s="10">
        <v>16.307433936999999</v>
      </c>
      <c r="I142" s="10">
        <v>17.370624721999999</v>
      </c>
      <c r="J142" s="10">
        <v>18.869287528000001</v>
      </c>
      <c r="K142" s="10">
        <v>20.894856454999999</v>
      </c>
      <c r="L142" s="10">
        <v>23.503539993</v>
      </c>
      <c r="M142" s="10">
        <v>25.694642394999999</v>
      </c>
      <c r="N142" s="10">
        <v>27.539238187999999</v>
      </c>
    </row>
    <row r="143" spans="1:14" x14ac:dyDescent="0.25">
      <c r="A143" s="10">
        <v>1</v>
      </c>
      <c r="B143" s="13">
        <v>13.708333333333334</v>
      </c>
      <c r="C143" s="10">
        <v>-2.2602118369999999</v>
      </c>
      <c r="D143" s="10">
        <v>18.926699589999998</v>
      </c>
      <c r="E143" s="10">
        <v>0.1350416951</v>
      </c>
      <c r="F143" s="10">
        <v>15.484791389</v>
      </c>
      <c r="G143" s="10">
        <v>15.808973823000001</v>
      </c>
      <c r="H143" s="10">
        <v>16.354595727</v>
      </c>
      <c r="I143" s="10">
        <v>17.422266142000002</v>
      </c>
      <c r="J143" s="10">
        <v>18.926699589999998</v>
      </c>
      <c r="K143" s="10">
        <v>20.958799828</v>
      </c>
      <c r="L143" s="10">
        <v>23.57317887</v>
      </c>
      <c r="M143" s="10">
        <v>25.766162632</v>
      </c>
      <c r="N143" s="10">
        <v>27.609920940999999</v>
      </c>
    </row>
    <row r="144" spans="1:14" x14ac:dyDescent="0.25">
      <c r="A144" s="10">
        <v>1</v>
      </c>
      <c r="B144" s="13">
        <v>13.791666666666666</v>
      </c>
      <c r="C144" s="10">
        <v>-2.2519118090000001</v>
      </c>
      <c r="D144" s="10">
        <v>18.984243774999999</v>
      </c>
      <c r="E144" s="10">
        <v>0.13510802429999999</v>
      </c>
      <c r="F144" s="10">
        <v>15.52839182</v>
      </c>
      <c r="G144" s="10">
        <v>15.854014479</v>
      </c>
      <c r="H144" s="10">
        <v>16.402010706999999</v>
      </c>
      <c r="I144" s="10">
        <v>17.474119556000002</v>
      </c>
      <c r="J144" s="10">
        <v>18.984243774999999</v>
      </c>
      <c r="K144" s="10">
        <v>21.022724892999999</v>
      </c>
      <c r="L144" s="10">
        <v>23.64253356</v>
      </c>
      <c r="M144" s="10">
        <v>25.837117942999999</v>
      </c>
      <c r="N144" s="10">
        <v>27.679770074</v>
      </c>
    </row>
    <row r="145" spans="1:14" x14ac:dyDescent="0.25">
      <c r="A145" s="10">
        <v>1</v>
      </c>
      <c r="B145" s="13">
        <v>13.875</v>
      </c>
      <c r="C145" s="10">
        <v>-2.243673453</v>
      </c>
      <c r="D145" s="10">
        <v>19.041911845000001</v>
      </c>
      <c r="E145" s="10">
        <v>0.13516486659999999</v>
      </c>
      <c r="F145" s="10">
        <v>15.572259709000001</v>
      </c>
      <c r="G145" s="10">
        <v>15.899314507</v>
      </c>
      <c r="H145" s="10">
        <v>16.449669019000002</v>
      </c>
      <c r="I145" s="10">
        <v>17.526175733999999</v>
      </c>
      <c r="J145" s="10">
        <v>19.041911845000001</v>
      </c>
      <c r="K145" s="10">
        <v>21.086625175999998</v>
      </c>
      <c r="L145" s="10">
        <v>23.711601294000001</v>
      </c>
      <c r="M145" s="10">
        <v>25.90751079</v>
      </c>
      <c r="N145" s="10">
        <v>27.748794626999999</v>
      </c>
    </row>
    <row r="146" spans="1:14" x14ac:dyDescent="0.25">
      <c r="A146" s="10">
        <v>1</v>
      </c>
      <c r="B146" s="13">
        <v>13.958333333333334</v>
      </c>
      <c r="C146" s="10">
        <v>-2.2354918420000001</v>
      </c>
      <c r="D146" s="10">
        <v>19.099695568000001</v>
      </c>
      <c r="E146" s="10">
        <v>0.13521246880000001</v>
      </c>
      <c r="F146" s="10">
        <v>15.616384596</v>
      </c>
      <c r="G146" s="10">
        <v>15.944863634000001</v>
      </c>
      <c r="H146" s="10">
        <v>16.497560712999999</v>
      </c>
      <c r="I146" s="10">
        <v>17.578425384999999</v>
      </c>
      <c r="J146" s="10">
        <v>19.099695568000001</v>
      </c>
      <c r="K146" s="10">
        <v>21.150494340000002</v>
      </c>
      <c r="L146" s="10">
        <v>23.780379685</v>
      </c>
      <c r="M146" s="10">
        <v>25.977344281000001</v>
      </c>
      <c r="N146" s="10">
        <v>27.817004533999999</v>
      </c>
    </row>
    <row r="147" spans="1:14" x14ac:dyDescent="0.25">
      <c r="A147" s="10">
        <v>1</v>
      </c>
      <c r="B147" s="13">
        <v>14.041666666666666</v>
      </c>
      <c r="C147" s="10">
        <v>-2.2273621729999999</v>
      </c>
      <c r="D147" s="10">
        <v>19.157586716000001</v>
      </c>
      <c r="E147" s="10">
        <v>0.13525108250000001</v>
      </c>
      <c r="F147" s="10">
        <v>15.660755908000001</v>
      </c>
      <c r="G147" s="10">
        <v>15.990651482000001</v>
      </c>
      <c r="H147" s="10">
        <v>16.545675744</v>
      </c>
      <c r="I147" s="10">
        <v>17.63085916</v>
      </c>
      <c r="J147" s="10">
        <v>19.157586716000001</v>
      </c>
      <c r="K147" s="10">
        <v>21.214326186000001</v>
      </c>
      <c r="L147" s="10">
        <v>23.848866729000001</v>
      </c>
      <c r="M147" s="10">
        <v>26.046622171999999</v>
      </c>
      <c r="N147" s="10">
        <v>27.884410623000001</v>
      </c>
    </row>
    <row r="148" spans="1:14" x14ac:dyDescent="0.25">
      <c r="A148" s="10">
        <v>1</v>
      </c>
      <c r="B148" s="13">
        <v>14.125</v>
      </c>
      <c r="C148" s="10">
        <v>-2.2192797899999999</v>
      </c>
      <c r="D148" s="10">
        <v>19.215577065000002</v>
      </c>
      <c r="E148" s="10">
        <v>0.1352809633</v>
      </c>
      <c r="F148" s="10">
        <v>15.70536296</v>
      </c>
      <c r="G148" s="10">
        <v>16.036667566999999</v>
      </c>
      <c r="H148" s="10">
        <v>16.594003977</v>
      </c>
      <c r="I148" s="10">
        <v>17.683467644</v>
      </c>
      <c r="J148" s="10">
        <v>19.215577065000002</v>
      </c>
      <c r="K148" s="10">
        <v>21.278114647999999</v>
      </c>
      <c r="L148" s="10">
        <v>23.917060805999999</v>
      </c>
      <c r="M148" s="10">
        <v>26.115348871999998</v>
      </c>
      <c r="N148" s="10">
        <v>27.951024616000002</v>
      </c>
    </row>
    <row r="149" spans="1:14" x14ac:dyDescent="0.25">
      <c r="A149" s="10">
        <v>1</v>
      </c>
      <c r="B149" s="13">
        <v>14.208333333333334</v>
      </c>
      <c r="C149" s="10">
        <v>-2.211240187</v>
      </c>
      <c r="D149" s="10">
        <v>19.273658390000001</v>
      </c>
      <c r="E149" s="10">
        <v>0.13530237070000001</v>
      </c>
      <c r="F149" s="10">
        <v>15.750194963</v>
      </c>
      <c r="G149" s="10">
        <v>16.082901303</v>
      </c>
      <c r="H149" s="10">
        <v>16.642535182</v>
      </c>
      <c r="I149" s="10">
        <v>17.736241363000001</v>
      </c>
      <c r="J149" s="10">
        <v>19.273658390000001</v>
      </c>
      <c r="K149" s="10">
        <v>21.341853791999998</v>
      </c>
      <c r="L149" s="10">
        <v>23.984960677</v>
      </c>
      <c r="M149" s="10">
        <v>26.183529439000001</v>
      </c>
      <c r="N149" s="10">
        <v>28.016859129</v>
      </c>
    </row>
    <row r="150" spans="1:14" x14ac:dyDescent="0.25">
      <c r="A150" s="10">
        <v>1</v>
      </c>
      <c r="B150" s="13">
        <v>14.291666666666666</v>
      </c>
      <c r="C150" s="10">
        <v>-2.2032390290000001</v>
      </c>
      <c r="D150" s="10">
        <v>19.331822465999998</v>
      </c>
      <c r="E150" s="10">
        <v>0.1353155684</v>
      </c>
      <c r="F150" s="10">
        <v>15.795241019000001</v>
      </c>
      <c r="G150" s="10">
        <v>16.129342004000002</v>
      </c>
      <c r="H150" s="10">
        <v>16.691259038999998</v>
      </c>
      <c r="I150" s="10">
        <v>17.789170775999999</v>
      </c>
      <c r="J150" s="10">
        <v>19.331822465999998</v>
      </c>
      <c r="K150" s="10">
        <v>21.405537812999999</v>
      </c>
      <c r="L150" s="10">
        <v>24.052565485999999</v>
      </c>
      <c r="M150" s="10">
        <v>26.251169587</v>
      </c>
      <c r="N150" s="10">
        <v>28.081927676999999</v>
      </c>
    </row>
    <row r="151" spans="1:14" x14ac:dyDescent="0.25">
      <c r="A151" s="10">
        <v>1</v>
      </c>
      <c r="B151" s="13">
        <v>14.375</v>
      </c>
      <c r="C151" s="10">
        <v>-2.1952721610000001</v>
      </c>
      <c r="D151" s="10">
        <v>19.390061061000001</v>
      </c>
      <c r="E151" s="10">
        <v>0.13532082370000001</v>
      </c>
      <c r="F151" s="10">
        <v>15.840490130999999</v>
      </c>
      <c r="G151" s="10">
        <v>16.175978883999999</v>
      </c>
      <c r="H151" s="10">
        <v>16.740165136000002</v>
      </c>
      <c r="I151" s="10">
        <v>17.842246280000001</v>
      </c>
      <c r="J151" s="10">
        <v>19.390061061000001</v>
      </c>
      <c r="K151" s="10">
        <v>21.469161035999999</v>
      </c>
      <c r="L151" s="10">
        <v>24.119874761999998</v>
      </c>
      <c r="M151" s="10">
        <v>26.318275685</v>
      </c>
      <c r="N151" s="10">
        <v>28.146244670000002</v>
      </c>
    </row>
    <row r="152" spans="1:14" x14ac:dyDescent="0.25">
      <c r="A152" s="10">
        <v>1</v>
      </c>
      <c r="B152" s="13">
        <v>14.458333333333334</v>
      </c>
      <c r="C152" s="10">
        <v>-2.1873356249999998</v>
      </c>
      <c r="D152" s="10">
        <v>19.448365937999998</v>
      </c>
      <c r="E152" s="10">
        <v>0.13531840740000001</v>
      </c>
      <c r="F152" s="10">
        <v>15.885931199</v>
      </c>
      <c r="G152" s="10">
        <v>16.222801058999998</v>
      </c>
      <c r="H152" s="10">
        <v>16.789242971</v>
      </c>
      <c r="I152" s="10">
        <v>17.895458202</v>
      </c>
      <c r="J152" s="10">
        <v>19.448365937999998</v>
      </c>
      <c r="K152" s="10">
        <v>21.532717906999999</v>
      </c>
      <c r="L152" s="10">
        <v>24.186888412999998</v>
      </c>
      <c r="M152" s="10">
        <v>26.384854754999999</v>
      </c>
      <c r="N152" s="10">
        <v>28.209825418000001</v>
      </c>
    </row>
    <row r="153" spans="1:14" x14ac:dyDescent="0.25">
      <c r="A153" s="10">
        <v>1</v>
      </c>
      <c r="B153" s="13">
        <v>14.541666666666666</v>
      </c>
      <c r="C153" s="10">
        <v>-2.179425674</v>
      </c>
      <c r="D153" s="10">
        <v>19.506728848000002</v>
      </c>
      <c r="E153" s="10">
        <v>0.13530859419999999</v>
      </c>
      <c r="F153" s="10">
        <v>15.931553027</v>
      </c>
      <c r="G153" s="10">
        <v>16.26979755</v>
      </c>
      <c r="H153" s="10">
        <v>16.838481951999999</v>
      </c>
      <c r="I153" s="10">
        <v>17.948796804000001</v>
      </c>
      <c r="J153" s="10">
        <v>19.506728848000002</v>
      </c>
      <c r="K153" s="10">
        <v>21.596202998999999</v>
      </c>
      <c r="L153" s="10">
        <v>24.253606735000002</v>
      </c>
      <c r="M153" s="10">
        <v>26.450914482000002</v>
      </c>
      <c r="N153" s="10">
        <v>28.27268613</v>
      </c>
    </row>
    <row r="154" spans="1:14" x14ac:dyDescent="0.25">
      <c r="A154" s="10">
        <v>1</v>
      </c>
      <c r="B154" s="13">
        <v>14.625</v>
      </c>
      <c r="C154" s="10">
        <v>-2.171538789</v>
      </c>
      <c r="D154" s="10">
        <v>19.565141531999998</v>
      </c>
      <c r="E154" s="10">
        <v>0.13529166170000001</v>
      </c>
      <c r="F154" s="10">
        <v>15.977344323000001</v>
      </c>
      <c r="G154" s="10">
        <v>16.316957284000001</v>
      </c>
      <c r="H154" s="10">
        <v>16.887871397000001</v>
      </c>
      <c r="I154" s="10">
        <v>18.002252276</v>
      </c>
      <c r="J154" s="10">
        <v>19.565141531999998</v>
      </c>
      <c r="K154" s="10">
        <v>21.659611003999999</v>
      </c>
      <c r="L154" s="10">
        <v>24.320030402</v>
      </c>
      <c r="M154" s="10">
        <v>26.516463208000001</v>
      </c>
      <c r="N154" s="10">
        <v>28.334843913</v>
      </c>
    </row>
    <row r="155" spans="1:14" x14ac:dyDescent="0.25">
      <c r="A155" s="10">
        <v>1</v>
      </c>
      <c r="B155" s="13">
        <v>14.708333333333334</v>
      </c>
      <c r="C155" s="10">
        <v>-2.1636716890000001</v>
      </c>
      <c r="D155" s="10">
        <v>19.623595714</v>
      </c>
      <c r="E155" s="10">
        <v>0.13526789110000001</v>
      </c>
      <c r="F155" s="10">
        <v>16.023293705</v>
      </c>
      <c r="G155" s="10">
        <v>16.364269095000001</v>
      </c>
      <c r="H155" s="10">
        <v>16.937400534999998</v>
      </c>
      <c r="I155" s="10">
        <v>18.055814738999999</v>
      </c>
      <c r="J155" s="10">
        <v>19.623595714</v>
      </c>
      <c r="K155" s="10">
        <v>21.722936731000001</v>
      </c>
      <c r="L155" s="10">
        <v>24.386160475000001</v>
      </c>
      <c r="M155" s="10">
        <v>26.581509939</v>
      </c>
      <c r="N155" s="10">
        <v>28.396316775999999</v>
      </c>
    </row>
    <row r="156" spans="1:14" x14ac:dyDescent="0.25">
      <c r="A156" s="10">
        <v>1</v>
      </c>
      <c r="B156" s="13">
        <v>14.791666666666666</v>
      </c>
      <c r="C156" s="10">
        <v>-2.1558213570000002</v>
      </c>
      <c r="D156" s="10">
        <v>19.682083101</v>
      </c>
      <c r="E156" s="10">
        <v>0.13523756670000001</v>
      </c>
      <c r="F156" s="10">
        <v>16.069389697999998</v>
      </c>
      <c r="G156" s="10">
        <v>16.411721727</v>
      </c>
      <c r="H156" s="10">
        <v>16.987058507</v>
      </c>
      <c r="I156" s="10">
        <v>18.109474241000001</v>
      </c>
      <c r="J156" s="10">
        <v>19.682083101</v>
      </c>
      <c r="K156" s="10">
        <v>21.786175106999998</v>
      </c>
      <c r="L156" s="10">
        <v>24.451998399000001</v>
      </c>
      <c r="M156" s="10">
        <v>26.646064341999999</v>
      </c>
      <c r="N156" s="10">
        <v>28.457123629000002</v>
      </c>
    </row>
    <row r="157" spans="1:14" x14ac:dyDescent="0.25">
      <c r="A157" s="10">
        <v>1</v>
      </c>
      <c r="B157" s="13">
        <v>14.875</v>
      </c>
      <c r="C157" s="10">
        <v>-2.1479850460000001</v>
      </c>
      <c r="D157" s="10">
        <v>19.740595376000002</v>
      </c>
      <c r="E157" s="10">
        <v>0.13520097589999999</v>
      </c>
      <c r="F157" s="10">
        <v>16.115620744000001</v>
      </c>
      <c r="G157" s="10">
        <v>16.459303836</v>
      </c>
      <c r="H157" s="10">
        <v>17.036834365000001</v>
      </c>
      <c r="I157" s="10">
        <v>18.163220756000001</v>
      </c>
      <c r="J157" s="10">
        <v>19.740595376000002</v>
      </c>
      <c r="K157" s="10">
        <v>21.849321171</v>
      </c>
      <c r="L157" s="10">
        <v>24.517546003</v>
      </c>
      <c r="M157" s="10">
        <v>26.71013675</v>
      </c>
      <c r="N157" s="10">
        <v>28.517284283999999</v>
      </c>
    </row>
    <row r="158" spans="1:14" x14ac:dyDescent="0.25">
      <c r="A158" s="10">
        <v>1</v>
      </c>
      <c r="B158" s="13">
        <v>14.958333333333334</v>
      </c>
      <c r="C158" s="10">
        <v>-2.1401603050000002</v>
      </c>
      <c r="D158" s="10">
        <v>19.799124201000001</v>
      </c>
      <c r="E158" s="10">
        <v>0.13515840879999999</v>
      </c>
      <c r="F158" s="10">
        <v>16.161975197</v>
      </c>
      <c r="G158" s="10">
        <v>16.507003989000001</v>
      </c>
      <c r="H158" s="10">
        <v>17.086717071999999</v>
      </c>
      <c r="I158" s="10">
        <v>18.217044181999999</v>
      </c>
      <c r="J158" s="10">
        <v>19.799124201000001</v>
      </c>
      <c r="K158" s="10">
        <v>21.912370074999998</v>
      </c>
      <c r="L158" s="10">
        <v>24.582805500999999</v>
      </c>
      <c r="M158" s="10">
        <v>26.773738166000001</v>
      </c>
      <c r="N158" s="10">
        <v>28.576819454999999</v>
      </c>
    </row>
    <row r="159" spans="1:14" x14ac:dyDescent="0.25">
      <c r="A159" s="10">
        <v>1</v>
      </c>
      <c r="B159" s="13">
        <v>15.041666666666666</v>
      </c>
      <c r="C159" s="10">
        <v>-2.1323449889999999</v>
      </c>
      <c r="D159" s="10">
        <v>19.857661209</v>
      </c>
      <c r="E159" s="10">
        <v>0.13511015879999999</v>
      </c>
      <c r="F159" s="10">
        <v>16.208441335</v>
      </c>
      <c r="G159" s="10">
        <v>16.554810669999998</v>
      </c>
      <c r="H159" s="10">
        <v>17.136695504999999</v>
      </c>
      <c r="I159" s="10">
        <v>18.270934339</v>
      </c>
      <c r="J159" s="10">
        <v>19.857661209</v>
      </c>
      <c r="K159" s="10">
        <v>21.975317079</v>
      </c>
      <c r="L159" s="10">
        <v>24.647779492000002</v>
      </c>
      <c r="M159" s="10">
        <v>26.836880260000001</v>
      </c>
      <c r="N159" s="10">
        <v>28.635750759</v>
      </c>
    </row>
    <row r="160" spans="1:14" x14ac:dyDescent="0.25">
      <c r="A160" s="10">
        <v>1</v>
      </c>
      <c r="B160" s="13">
        <v>15.125</v>
      </c>
      <c r="C160" s="10">
        <v>-2.1245372819999999</v>
      </c>
      <c r="D160" s="10">
        <v>19.916198004000002</v>
      </c>
      <c r="E160" s="10">
        <v>0.1350565219</v>
      </c>
      <c r="F160" s="10">
        <v>16.255007353</v>
      </c>
      <c r="G160" s="10">
        <v>16.602712279999999</v>
      </c>
      <c r="H160" s="10">
        <v>17.186758452999999</v>
      </c>
      <c r="I160" s="10">
        <v>18.324880968999999</v>
      </c>
      <c r="J160" s="10">
        <v>19.916198004000002</v>
      </c>
      <c r="K160" s="10">
        <v>22.038157551000001</v>
      </c>
      <c r="L160" s="10">
        <v>24.712470965000001</v>
      </c>
      <c r="M160" s="10">
        <v>26.899575372000001</v>
      </c>
      <c r="N160" s="10">
        <v>28.694100716000001</v>
      </c>
    </row>
    <row r="161" spans="1:14" x14ac:dyDescent="0.25">
      <c r="A161" s="10">
        <v>1</v>
      </c>
      <c r="B161" s="13">
        <v>15.208333333333334</v>
      </c>
      <c r="C161" s="10">
        <v>-2.1167357120000001</v>
      </c>
      <c r="D161" s="10">
        <v>19.974726153999999</v>
      </c>
      <c r="E161" s="10">
        <v>0.13499779679999999</v>
      </c>
      <c r="F161" s="10">
        <v>16.301661372000002</v>
      </c>
      <c r="G161" s="10">
        <v>16.650697137000002</v>
      </c>
      <c r="H161" s="10">
        <v>17.236894617000001</v>
      </c>
      <c r="I161" s="10">
        <v>18.378873730999999</v>
      </c>
      <c r="J161" s="10">
        <v>19.974726153999999</v>
      </c>
      <c r="K161" s="10">
        <v>22.100886964000001</v>
      </c>
      <c r="L161" s="10">
        <v>24.776883292000001</v>
      </c>
      <c r="M161" s="10">
        <v>26.961836517999998</v>
      </c>
      <c r="N161" s="10">
        <v>28.751892748</v>
      </c>
    </row>
    <row r="162" spans="1:14" x14ac:dyDescent="0.25">
      <c r="A162" s="10">
        <v>1</v>
      </c>
      <c r="B162" s="13">
        <v>15.291666666666666</v>
      </c>
      <c r="C162" s="10">
        <v>-2.1089391669999999</v>
      </c>
      <c r="D162" s="10">
        <v>20.033237194000002</v>
      </c>
      <c r="E162" s="10">
        <v>0.13493428499999999</v>
      </c>
      <c r="F162" s="10">
        <v>16.348391441</v>
      </c>
      <c r="G162" s="10">
        <v>16.698753478</v>
      </c>
      <c r="H162" s="10">
        <v>17.287092612999999</v>
      </c>
      <c r="I162" s="10">
        <v>18.432902201000001</v>
      </c>
      <c r="J162" s="10">
        <v>20.033237194000002</v>
      </c>
      <c r="K162" s="10">
        <v>22.163500891999998</v>
      </c>
      <c r="L162" s="10">
        <v>24.841020236999999</v>
      </c>
      <c r="M162" s="10">
        <v>27.023677385999999</v>
      </c>
      <c r="N162" s="10">
        <v>28.809151183000001</v>
      </c>
    </row>
    <row r="163" spans="1:14" x14ac:dyDescent="0.25">
      <c r="A163" s="10">
        <v>1</v>
      </c>
      <c r="B163" s="13">
        <v>15.375</v>
      </c>
      <c r="C163" s="10">
        <v>-2.1011469200000001</v>
      </c>
      <c r="D163" s="10">
        <v>20.091722614999998</v>
      </c>
      <c r="E163" s="10">
        <v>0.13486629080000001</v>
      </c>
      <c r="F163" s="10">
        <v>16.395185538</v>
      </c>
      <c r="G163" s="10">
        <v>16.746869466</v>
      </c>
      <c r="H163" s="10">
        <v>17.337340966999999</v>
      </c>
      <c r="I163" s="10">
        <v>18.486955868999999</v>
      </c>
      <c r="J163" s="10">
        <v>20.091722614999998</v>
      </c>
      <c r="K163" s="10">
        <v>22.225995011999998</v>
      </c>
      <c r="L163" s="10">
        <v>24.904885952000001</v>
      </c>
      <c r="M163" s="10">
        <v>27.085112341999999</v>
      </c>
      <c r="N163" s="10">
        <v>28.86590125</v>
      </c>
    </row>
    <row r="164" spans="1:14" x14ac:dyDescent="0.25">
      <c r="A164" s="10">
        <v>1</v>
      </c>
      <c r="B164" s="13">
        <v>15.458333333333334</v>
      </c>
      <c r="C164" s="10">
        <v>-2.0933586370000001</v>
      </c>
      <c r="D164" s="10">
        <v>20.15017387</v>
      </c>
      <c r="E164" s="10">
        <v>0.1347941208</v>
      </c>
      <c r="F164" s="10">
        <v>16.442031574000001</v>
      </c>
      <c r="G164" s="10">
        <v>16.795033183000001</v>
      </c>
      <c r="H164" s="10">
        <v>17.387628118999999</v>
      </c>
      <c r="I164" s="10">
        <v>18.541024138000001</v>
      </c>
      <c r="J164" s="10">
        <v>20.15017387</v>
      </c>
      <c r="K164" s="10">
        <v>22.288365099</v>
      </c>
      <c r="L164" s="10">
        <v>24.968484979999999</v>
      </c>
      <c r="M164" s="10">
        <v>27.146156433000002</v>
      </c>
      <c r="N164" s="10">
        <v>28.922169082</v>
      </c>
    </row>
    <row r="165" spans="1:14" x14ac:dyDescent="0.25">
      <c r="A165" s="10">
        <v>1</v>
      </c>
      <c r="B165" s="13">
        <v>15.541666666666666</v>
      </c>
      <c r="C165" s="10">
        <v>-2.0855744029999999</v>
      </c>
      <c r="D165" s="10">
        <v>20.208582361000001</v>
      </c>
      <c r="E165" s="10">
        <v>0.1347180845</v>
      </c>
      <c r="F165" s="10">
        <v>16.488917395000001</v>
      </c>
      <c r="G165" s="10">
        <v>16.843232639</v>
      </c>
      <c r="H165" s="10">
        <v>17.437942423999999</v>
      </c>
      <c r="I165" s="10">
        <v>18.595096322</v>
      </c>
      <c r="J165" s="10">
        <v>20.208582361000001</v>
      </c>
      <c r="K165" s="10">
        <v>22.350607026999999</v>
      </c>
      <c r="L165" s="10">
        <v>25.031822257999998</v>
      </c>
      <c r="M165" s="10">
        <v>27.206825382000002</v>
      </c>
      <c r="N165" s="10">
        <v>28.977981715999999</v>
      </c>
    </row>
    <row r="166" spans="1:14" x14ac:dyDescent="0.25">
      <c r="A166" s="10">
        <v>1</v>
      </c>
      <c r="B166" s="13">
        <v>15.625</v>
      </c>
      <c r="C166" s="10">
        <v>-2.0777947349999999</v>
      </c>
      <c r="D166" s="10">
        <v>20.266939443999998</v>
      </c>
      <c r="E166" s="10">
        <v>0.13463849380000001</v>
      </c>
      <c r="F166" s="10">
        <v>16.535830786999998</v>
      </c>
      <c r="G166" s="10">
        <v>16.891455767</v>
      </c>
      <c r="H166" s="10">
        <v>17.488272148</v>
      </c>
      <c r="I166" s="10">
        <v>18.649161640999999</v>
      </c>
      <c r="J166" s="10">
        <v>20.266939443999998</v>
      </c>
      <c r="K166" s="10">
        <v>22.412716763999999</v>
      </c>
      <c r="L166" s="10">
        <v>25.094903112000001</v>
      </c>
      <c r="M166" s="10">
        <v>27.267135597999999</v>
      </c>
      <c r="N166" s="10">
        <v>29.033367088999999</v>
      </c>
    </row>
    <row r="167" spans="1:14" x14ac:dyDescent="0.25">
      <c r="A167" s="10">
        <v>1</v>
      </c>
      <c r="B167" s="13">
        <v>15.708333333333334</v>
      </c>
      <c r="C167" s="10">
        <v>-2.0700205989999998</v>
      </c>
      <c r="D167" s="10">
        <v>20.325236424</v>
      </c>
      <c r="E167" s="10">
        <v>0.13455566320000001</v>
      </c>
      <c r="F167" s="10">
        <v>16.582759471999999</v>
      </c>
      <c r="G167" s="10">
        <v>16.939690431999999</v>
      </c>
      <c r="H167" s="10">
        <v>17.538605469</v>
      </c>
      <c r="I167" s="10">
        <v>18.703209223000002</v>
      </c>
      <c r="J167" s="10">
        <v>20.325236424</v>
      </c>
      <c r="K167" s="10">
        <v>22.474690373000001</v>
      </c>
      <c r="L167" s="10">
        <v>25.157733267000001</v>
      </c>
      <c r="M167" s="10">
        <v>27.327104172999999</v>
      </c>
      <c r="N167" s="10">
        <v>29.088354043999999</v>
      </c>
    </row>
    <row r="168" spans="1:14" x14ac:dyDescent="0.25">
      <c r="A168" s="10">
        <v>1</v>
      </c>
      <c r="B168" s="13">
        <v>15.791666666666666</v>
      </c>
      <c r="C168" s="10">
        <v>-2.0622534309999998</v>
      </c>
      <c r="D168" s="10">
        <v>20.383464547999999</v>
      </c>
      <c r="E168" s="10">
        <v>0.13446990980000001</v>
      </c>
      <c r="F168" s="10">
        <v>16.62969112</v>
      </c>
      <c r="G168" s="10">
        <v>16.987924424999999</v>
      </c>
      <c r="H168" s="10">
        <v>17.588930478999998</v>
      </c>
      <c r="I168" s="10">
        <v>18.757228098999999</v>
      </c>
      <c r="J168" s="10">
        <v>20.383464547999999</v>
      </c>
      <c r="K168" s="10">
        <v>22.536524010000001</v>
      </c>
      <c r="L168" s="10">
        <v>25.220318842000001</v>
      </c>
      <c r="M168" s="10">
        <v>27.386748883999999</v>
      </c>
      <c r="N168" s="10">
        <v>29.142972320999998</v>
      </c>
    </row>
    <row r="169" spans="1:14" x14ac:dyDescent="0.25">
      <c r="A169" s="10">
        <v>1</v>
      </c>
      <c r="B169" s="13">
        <v>15.875</v>
      </c>
      <c r="C169" s="10">
        <v>-2.0544951450000002</v>
      </c>
      <c r="D169" s="10">
        <v>20.441615007999999</v>
      </c>
      <c r="E169" s="10">
        <v>0.13438155330000001</v>
      </c>
      <c r="F169" s="10">
        <v>16.676613339999999</v>
      </c>
      <c r="G169" s="10">
        <v>17.036145468000001</v>
      </c>
      <c r="H169" s="10">
        <v>17.639235182</v>
      </c>
      <c r="I169" s="10">
        <v>18.811207201999999</v>
      </c>
      <c r="J169" s="10">
        <v>20.441615007999999</v>
      </c>
      <c r="K169" s="10">
        <v>22.598213922999999</v>
      </c>
      <c r="L169" s="10">
        <v>25.282666355</v>
      </c>
      <c r="M169" s="10">
        <v>27.446088197000002</v>
      </c>
      <c r="N169" s="10">
        <v>29.197252562999999</v>
      </c>
    </row>
    <row r="170" spans="1:14" x14ac:dyDescent="0.25">
      <c r="A170" s="10">
        <v>1</v>
      </c>
      <c r="B170" s="13">
        <v>15.958333333333334</v>
      </c>
      <c r="C170" s="10">
        <v>-2.046748156</v>
      </c>
      <c r="D170" s="10">
        <v>20.499678934999999</v>
      </c>
      <c r="E170" s="10">
        <v>0.1342909159</v>
      </c>
      <c r="F170" s="10">
        <v>16.723513693000001</v>
      </c>
      <c r="G170" s="10">
        <v>17.084341214999998</v>
      </c>
      <c r="H170" s="10">
        <v>17.689507494000001</v>
      </c>
      <c r="I170" s="10">
        <v>18.865135365</v>
      </c>
      <c r="J170" s="10">
        <v>20.499678934999999</v>
      </c>
      <c r="K170" s="10">
        <v>22.659756452</v>
      </c>
      <c r="L170" s="10">
        <v>25.344782724000002</v>
      </c>
      <c r="M170" s="10">
        <v>27.505141263999999</v>
      </c>
      <c r="N170" s="10">
        <v>29.251226312</v>
      </c>
    </row>
    <row r="171" spans="1:14" x14ac:dyDescent="0.25">
      <c r="A171" s="10">
        <v>1</v>
      </c>
      <c r="B171" s="13">
        <v>16.041666666666668</v>
      </c>
      <c r="C171" s="10">
        <v>-2.0390153849999999</v>
      </c>
      <c r="D171" s="10">
        <v>20.557647399</v>
      </c>
      <c r="E171" s="10">
        <v>0.13419832249999999</v>
      </c>
      <c r="F171" s="10">
        <v>16.770379685999998</v>
      </c>
      <c r="G171" s="10">
        <v>17.132499250999999</v>
      </c>
      <c r="H171" s="10">
        <v>17.739735240000002</v>
      </c>
      <c r="I171" s="10">
        <v>18.919001315999999</v>
      </c>
      <c r="J171" s="10">
        <v>20.557647399</v>
      </c>
      <c r="K171" s="10">
        <v>22.721148026000002</v>
      </c>
      <c r="L171" s="10">
        <v>25.406675267000001</v>
      </c>
      <c r="M171" s="10">
        <v>27.563927928999998</v>
      </c>
      <c r="N171" s="10">
        <v>29.304926007999999</v>
      </c>
    </row>
    <row r="172" spans="1:14" x14ac:dyDescent="0.25">
      <c r="A172" s="10">
        <v>1</v>
      </c>
      <c r="B172" s="13">
        <v>16.125</v>
      </c>
      <c r="C172" s="10">
        <v>-2.0313002820000001</v>
      </c>
      <c r="D172" s="10">
        <v>20.615511403999999</v>
      </c>
      <c r="E172" s="10">
        <v>0.1341041006</v>
      </c>
      <c r="F172" s="10">
        <v>16.817198778000002</v>
      </c>
      <c r="G172" s="10">
        <v>17.180607092999999</v>
      </c>
      <c r="H172" s="10">
        <v>17.789906158000001</v>
      </c>
      <c r="I172" s="10">
        <v>18.972793681999999</v>
      </c>
      <c r="J172" s="10">
        <v>20.615511403999999</v>
      </c>
      <c r="K172" s="10">
        <v>22.782385166000001</v>
      </c>
      <c r="L172" s="10">
        <v>25.468351706</v>
      </c>
      <c r="M172" s="10">
        <v>27.622468728000001</v>
      </c>
      <c r="N172" s="10">
        <v>29.358384987000001</v>
      </c>
    </row>
    <row r="173" spans="1:14" x14ac:dyDescent="0.25">
      <c r="A173" s="10">
        <v>1</v>
      </c>
      <c r="B173" s="13">
        <v>16.208333333333332</v>
      </c>
      <c r="C173" s="10">
        <v>-2.0236068280000001</v>
      </c>
      <c r="D173" s="10">
        <v>20.673261888999999</v>
      </c>
      <c r="E173" s="10">
        <v>0.13400858060000001</v>
      </c>
      <c r="F173" s="10">
        <v>16.863958376999999</v>
      </c>
      <c r="G173" s="10">
        <v>17.228652192999999</v>
      </c>
      <c r="H173" s="10">
        <v>17.840007895999999</v>
      </c>
      <c r="I173" s="10">
        <v>19.026500982000002</v>
      </c>
      <c r="J173" s="10">
        <v>20.673261888999999</v>
      </c>
      <c r="K173" s="10">
        <v>22.843464482000002</v>
      </c>
      <c r="L173" s="10">
        <v>25.529820168000001</v>
      </c>
      <c r="M173" s="10">
        <v>27.680784887000002</v>
      </c>
      <c r="N173" s="10">
        <v>29.411637482</v>
      </c>
    </row>
    <row r="174" spans="1:14" x14ac:dyDescent="0.25">
      <c r="A174" s="10">
        <v>1</v>
      </c>
      <c r="B174" s="13">
        <v>16.291666666666668</v>
      </c>
      <c r="C174" s="10">
        <v>-2.0159420130000001</v>
      </c>
      <c r="D174" s="10">
        <v>20.730889050999998</v>
      </c>
      <c r="E174" s="10">
        <v>0.1339120657</v>
      </c>
      <c r="F174" s="10">
        <v>16.910646681999999</v>
      </c>
      <c r="G174" s="10">
        <v>17.276622588999999</v>
      </c>
      <c r="H174" s="10">
        <v>17.890028371</v>
      </c>
      <c r="I174" s="10">
        <v>19.080111485</v>
      </c>
      <c r="J174" s="10">
        <v>20.730889050999998</v>
      </c>
      <c r="K174" s="10">
        <v>22.904381667999999</v>
      </c>
      <c r="L174" s="10">
        <v>25.591088482</v>
      </c>
      <c r="M174" s="10">
        <v>27.738898541000001</v>
      </c>
      <c r="N174" s="10">
        <v>29.464720073999999</v>
      </c>
    </row>
    <row r="175" spans="1:14" x14ac:dyDescent="0.25">
      <c r="A175" s="10">
        <v>1</v>
      </c>
      <c r="B175" s="13">
        <v>16.375</v>
      </c>
      <c r="C175" s="10">
        <v>-2.0083057449999999</v>
      </c>
      <c r="D175" s="10">
        <v>20.788385101999999</v>
      </c>
      <c r="E175" s="10">
        <v>0.1338149542</v>
      </c>
      <c r="F175" s="10">
        <v>16.957249256000001</v>
      </c>
      <c r="G175" s="10">
        <v>17.324504230999999</v>
      </c>
      <c r="H175" s="10">
        <v>17.939954291999999</v>
      </c>
      <c r="I175" s="10">
        <v>19.133613789000002</v>
      </c>
      <c r="J175" s="10">
        <v>20.788385101999999</v>
      </c>
      <c r="K175" s="10">
        <v>22.965135627999999</v>
      </c>
      <c r="L175" s="10">
        <v>25.652167072000001</v>
      </c>
      <c r="M175" s="10">
        <v>27.796831854000001</v>
      </c>
      <c r="N175" s="10">
        <v>29.517665722</v>
      </c>
    </row>
    <row r="176" spans="1:14" x14ac:dyDescent="0.25">
      <c r="A176" s="10">
        <v>1</v>
      </c>
      <c r="B176" s="13">
        <v>16.458333333333332</v>
      </c>
      <c r="C176" s="10">
        <v>-2.0007063889999999</v>
      </c>
      <c r="D176" s="10">
        <v>20.845740029000002</v>
      </c>
      <c r="E176" s="10">
        <v>0.1337175518</v>
      </c>
      <c r="F176" s="10">
        <v>17.003754296</v>
      </c>
      <c r="G176" s="10">
        <v>17.372285092999999</v>
      </c>
      <c r="H176" s="10">
        <v>17.989773433</v>
      </c>
      <c r="I176" s="10">
        <v>19.186995928999998</v>
      </c>
      <c r="J176" s="10">
        <v>20.845740029000002</v>
      </c>
      <c r="K176" s="10">
        <v>23.025722128000002</v>
      </c>
      <c r="L176" s="10">
        <v>25.713064506999999</v>
      </c>
      <c r="M176" s="10">
        <v>27.854608369000001</v>
      </c>
      <c r="N176" s="10">
        <v>29.570512949000001</v>
      </c>
    </row>
    <row r="177" spans="1:14" x14ac:dyDescent="0.25">
      <c r="A177" s="10">
        <v>1</v>
      </c>
      <c r="B177" s="13">
        <v>16.541666666666668</v>
      </c>
      <c r="C177" s="10">
        <v>-1.993150137</v>
      </c>
      <c r="D177" s="10">
        <v>20.902944494</v>
      </c>
      <c r="E177" s="10">
        <v>0.13362020020000001</v>
      </c>
      <c r="F177" s="10">
        <v>17.050149022999999</v>
      </c>
      <c r="G177" s="10">
        <v>17.41995236</v>
      </c>
      <c r="H177" s="10">
        <v>18.039473074</v>
      </c>
      <c r="I177" s="10">
        <v>19.240245984000001</v>
      </c>
      <c r="J177" s="10">
        <v>20.902944494</v>
      </c>
      <c r="K177" s="10">
        <v>23.086138147</v>
      </c>
      <c r="L177" s="10">
        <v>25.773790554000001</v>
      </c>
      <c r="M177" s="10">
        <v>27.912252087999999</v>
      </c>
      <c r="N177" s="10">
        <v>29.623299546999998</v>
      </c>
    </row>
    <row r="178" spans="1:14" x14ac:dyDescent="0.25">
      <c r="A178" s="10">
        <v>1</v>
      </c>
      <c r="B178" s="13">
        <v>16.625</v>
      </c>
      <c r="C178" s="10">
        <v>-1.9856437410000001</v>
      </c>
      <c r="D178" s="10">
        <v>20.959989088</v>
      </c>
      <c r="E178" s="10">
        <v>0.13352324409999999</v>
      </c>
      <c r="F178" s="10">
        <v>17.096420616</v>
      </c>
      <c r="G178" s="10">
        <v>17.467493149999999</v>
      </c>
      <c r="H178" s="10">
        <v>18.089040400999998</v>
      </c>
      <c r="I178" s="10">
        <v>19.293351917999999</v>
      </c>
      <c r="J178" s="10">
        <v>20.959989088</v>
      </c>
      <c r="K178" s="10">
        <v>23.146380754999999</v>
      </c>
      <c r="L178" s="10">
        <v>25.834355393999999</v>
      </c>
      <c r="M178" s="10">
        <v>27.969787706000002</v>
      </c>
      <c r="N178" s="10">
        <v>29.676064192999998</v>
      </c>
    </row>
    <row r="179" spans="1:14" x14ac:dyDescent="0.25">
      <c r="A179" s="10">
        <v>1</v>
      </c>
      <c r="B179" s="13">
        <v>16.708333333333332</v>
      </c>
      <c r="C179" s="10">
        <v>-1.97819451</v>
      </c>
      <c r="D179" s="10">
        <v>21.016864330000001</v>
      </c>
      <c r="E179" s="10">
        <v>0.1334270316</v>
      </c>
      <c r="F179" s="10">
        <v>17.142556204000002</v>
      </c>
      <c r="G179" s="10">
        <v>17.514894512000001</v>
      </c>
      <c r="H179" s="10">
        <v>18.138462504</v>
      </c>
      <c r="I179" s="10">
        <v>19.346301582999999</v>
      </c>
      <c r="J179" s="10">
        <v>21.016864330000001</v>
      </c>
      <c r="K179" s="10">
        <v>23.206447122</v>
      </c>
      <c r="L179" s="10">
        <v>25.894769624999999</v>
      </c>
      <c r="M179" s="10">
        <v>28.027240611</v>
      </c>
      <c r="N179" s="10">
        <v>29.728846442999998</v>
      </c>
    </row>
    <row r="180" spans="1:14" x14ac:dyDescent="0.25">
      <c r="A180" s="10">
        <v>1</v>
      </c>
      <c r="B180" s="13">
        <v>16.791666666666668</v>
      </c>
      <c r="C180" s="10">
        <v>-1.9708103079999999</v>
      </c>
      <c r="D180" s="10">
        <v>21.073560673999999</v>
      </c>
      <c r="E180" s="10">
        <v>0.1333319137</v>
      </c>
      <c r="F180" s="10">
        <v>17.188542868999999</v>
      </c>
      <c r="G180" s="10">
        <v>17.562143422999998</v>
      </c>
      <c r="H180" s="10">
        <v>18.187726378000001</v>
      </c>
      <c r="I180" s="10">
        <v>19.399082714999999</v>
      </c>
      <c r="J180" s="10">
        <v>21.073560673999999</v>
      </c>
      <c r="K180" s="10">
        <v>23.266334514</v>
      </c>
      <c r="L180" s="10">
        <v>25.955044263000001</v>
      </c>
      <c r="M180" s="10">
        <v>28.084636884999998</v>
      </c>
      <c r="N180" s="10">
        <v>29.781686736000001</v>
      </c>
    </row>
    <row r="181" spans="1:14" x14ac:dyDescent="0.25">
      <c r="A181" s="10">
        <v>1</v>
      </c>
      <c r="B181" s="13">
        <v>16.875</v>
      </c>
      <c r="C181" s="10">
        <v>-1.9634995399999999</v>
      </c>
      <c r="D181" s="10">
        <v>21.130068501</v>
      </c>
      <c r="E181" s="10">
        <v>0.1332382449</v>
      </c>
      <c r="F181" s="10">
        <v>17.234367641999999</v>
      </c>
      <c r="G181" s="10">
        <v>17.609226793000001</v>
      </c>
      <c r="H181" s="10">
        <v>18.236818921000001</v>
      </c>
      <c r="I181" s="10">
        <v>19.451682936000001</v>
      </c>
      <c r="J181" s="10">
        <v>21.130068501</v>
      </c>
      <c r="K181" s="10">
        <v>23.326040300999999</v>
      </c>
      <c r="L181" s="10">
        <v>26.015190744000002</v>
      </c>
      <c r="M181" s="10">
        <v>28.142003299999999</v>
      </c>
      <c r="N181" s="10">
        <v>29.834626382</v>
      </c>
    </row>
    <row r="182" spans="1:14" x14ac:dyDescent="0.25">
      <c r="A182" s="10">
        <v>1</v>
      </c>
      <c r="B182" s="13">
        <v>16.958333333333332</v>
      </c>
      <c r="C182" s="10">
        <v>-1.956271141</v>
      </c>
      <c r="D182" s="10">
        <v>21.186378131000001</v>
      </c>
      <c r="E182" s="10">
        <v>0.1331463832</v>
      </c>
      <c r="F182" s="10">
        <v>17.280017501</v>
      </c>
      <c r="G182" s="10">
        <v>17.656131455000001</v>
      </c>
      <c r="H182" s="10">
        <v>18.285726929999999</v>
      </c>
      <c r="I182" s="10">
        <v>19.504089752999999</v>
      </c>
      <c r="J182" s="10">
        <v>21.186378131000001</v>
      </c>
      <c r="K182" s="10">
        <v>23.385561957</v>
      </c>
      <c r="L182" s="10">
        <v>26.075220925</v>
      </c>
      <c r="M182" s="10">
        <v>28.199367319</v>
      </c>
      <c r="N182" s="10">
        <v>29.887707567</v>
      </c>
    </row>
    <row r="183" spans="1:14" x14ac:dyDescent="0.25">
      <c r="A183" s="10">
        <v>1</v>
      </c>
      <c r="B183" s="13">
        <v>17.041666666666668</v>
      </c>
      <c r="C183" s="10">
        <v>-1.9491345609999999</v>
      </c>
      <c r="D183" s="10">
        <v>21.242479819</v>
      </c>
      <c r="E183" s="10">
        <v>0.13305669010000001</v>
      </c>
      <c r="F183" s="10">
        <v>17.325479371</v>
      </c>
      <c r="G183" s="10">
        <v>17.702844167999999</v>
      </c>
      <c r="H183" s="10">
        <v>18.334437102999999</v>
      </c>
      <c r="I183" s="10">
        <v>19.556290562000001</v>
      </c>
      <c r="J183" s="10">
        <v>21.242479819</v>
      </c>
      <c r="K183" s="10">
        <v>23.444897062999999</v>
      </c>
      <c r="L183" s="10">
        <v>26.135147086</v>
      </c>
      <c r="M183" s="10">
        <v>28.256757094000001</v>
      </c>
      <c r="N183" s="10">
        <v>29.940973346</v>
      </c>
    </row>
    <row r="184" spans="1:14" x14ac:dyDescent="0.25">
      <c r="A184" s="10">
        <v>1</v>
      </c>
      <c r="B184" s="13">
        <v>17.125</v>
      </c>
      <c r="C184" s="10">
        <v>-1.9420997440000001</v>
      </c>
      <c r="D184" s="10">
        <v>21.298363759000001</v>
      </c>
      <c r="E184" s="10">
        <v>0.13296953049999999</v>
      </c>
      <c r="F184" s="10">
        <v>17.370740117</v>
      </c>
      <c r="G184" s="10">
        <v>17.749351612000002</v>
      </c>
      <c r="H184" s="10">
        <v>18.382936039000001</v>
      </c>
      <c r="I184" s="10">
        <v>19.608272641999999</v>
      </c>
      <c r="J184" s="10">
        <v>21.298363759000001</v>
      </c>
      <c r="K184" s="10">
        <v>23.504043317000001</v>
      </c>
      <c r="L184" s="10">
        <v>26.194981933000001</v>
      </c>
      <c r="M184" s="10">
        <v>28.314201462</v>
      </c>
      <c r="N184" s="10">
        <v>29.994467636</v>
      </c>
    </row>
    <row r="185" spans="1:14" x14ac:dyDescent="0.25">
      <c r="A185" s="10">
        <v>1</v>
      </c>
      <c r="B185" s="13">
        <v>17.208333333333332</v>
      </c>
      <c r="C185" s="10">
        <v>-1.9351771010000001</v>
      </c>
      <c r="D185" s="10">
        <v>21.354020093999999</v>
      </c>
      <c r="E185" s="10">
        <v>0.13288527350000001</v>
      </c>
      <c r="F185" s="10">
        <v>17.415786537999999</v>
      </c>
      <c r="G185" s="10">
        <v>17.795640387999999</v>
      </c>
      <c r="H185" s="10">
        <v>18.431210231000001</v>
      </c>
      <c r="I185" s="10">
        <v>19.660023163000002</v>
      </c>
      <c r="J185" s="10">
        <v>21.354020093999999</v>
      </c>
      <c r="K185" s="10">
        <v>23.562998531000002</v>
      </c>
      <c r="L185" s="10">
        <v>26.254738596999999</v>
      </c>
      <c r="M185" s="10">
        <v>28.371729944999998</v>
      </c>
      <c r="N185" s="10">
        <v>30.048235217999999</v>
      </c>
    </row>
    <row r="186" spans="1:14" x14ac:dyDescent="0.25">
      <c r="A186" s="10">
        <v>1</v>
      </c>
      <c r="B186" s="13">
        <v>17.291666666666668</v>
      </c>
      <c r="C186" s="10">
        <v>-1.92837748</v>
      </c>
      <c r="D186" s="10">
        <v>21.409438910999999</v>
      </c>
      <c r="E186" s="10">
        <v>0.13280429160000001</v>
      </c>
      <c r="F186" s="10">
        <v>17.46060537</v>
      </c>
      <c r="G186" s="10">
        <v>17.841697008000001</v>
      </c>
      <c r="H186" s="10">
        <v>18.479246069999999</v>
      </c>
      <c r="I186" s="10">
        <v>19.711529188</v>
      </c>
      <c r="J186" s="10">
        <v>21.409438910999999</v>
      </c>
      <c r="K186" s="10">
        <v>23.621760642000002</v>
      </c>
      <c r="L186" s="10">
        <v>26.314430634000001</v>
      </c>
      <c r="M186" s="10">
        <v>28.429372743999998</v>
      </c>
      <c r="N186" s="10">
        <v>30.102321732</v>
      </c>
    </row>
    <row r="187" spans="1:14" x14ac:dyDescent="0.25">
      <c r="A187" s="10">
        <v>1</v>
      </c>
      <c r="B187" s="13">
        <v>17.375</v>
      </c>
      <c r="C187" s="10">
        <v>-1.921712136</v>
      </c>
      <c r="D187" s="10">
        <v>21.464610257</v>
      </c>
      <c r="E187" s="10">
        <v>0.13272696149999999</v>
      </c>
      <c r="F187" s="10">
        <v>17.505183272</v>
      </c>
      <c r="G187" s="10">
        <v>17.887507899999999</v>
      </c>
      <c r="H187" s="10">
        <v>18.527029841000001</v>
      </c>
      <c r="I187" s="10">
        <v>19.762777668999998</v>
      </c>
      <c r="J187" s="10">
        <v>21.464610257</v>
      </c>
      <c r="K187" s="10">
        <v>23.680327713000001</v>
      </c>
      <c r="L187" s="10">
        <v>26.374072030000001</v>
      </c>
      <c r="M187" s="10">
        <v>28.487160738</v>
      </c>
      <c r="N187" s="10">
        <v>30.156773669</v>
      </c>
    </row>
    <row r="188" spans="1:14" x14ac:dyDescent="0.25">
      <c r="A188" s="10">
        <v>1</v>
      </c>
      <c r="B188" s="13">
        <v>17.458333333333332</v>
      </c>
      <c r="C188" s="10">
        <v>-1.9151926850000001</v>
      </c>
      <c r="D188" s="10">
        <v>21.519524136000001</v>
      </c>
      <c r="E188" s="10">
        <v>0.13265366410000001</v>
      </c>
      <c r="F188" s="10">
        <v>17.549506825000002</v>
      </c>
      <c r="G188" s="10">
        <v>17.933059395000001</v>
      </c>
      <c r="H188" s="10">
        <v>18.574547720999998</v>
      </c>
      <c r="I188" s="10">
        <v>19.813755455999999</v>
      </c>
      <c r="J188" s="10">
        <v>21.519524136000001</v>
      </c>
      <c r="K188" s="10">
        <v>23.738697943999998</v>
      </c>
      <c r="L188" s="10">
        <v>26.433677198000002</v>
      </c>
      <c r="M188" s="10">
        <v>28.545125478999999</v>
      </c>
      <c r="N188" s="10">
        <v>30.211638370999999</v>
      </c>
    </row>
    <row r="189" spans="1:14" x14ac:dyDescent="0.25">
      <c r="A189" s="10">
        <v>1</v>
      </c>
      <c r="B189" s="13">
        <v>17.541666666666668</v>
      </c>
      <c r="C189" s="10">
        <v>-1.908831065</v>
      </c>
      <c r="D189" s="10">
        <v>21.574170525</v>
      </c>
      <c r="E189" s="10">
        <v>0.13258478409999999</v>
      </c>
      <c r="F189" s="10">
        <v>17.593562521999999</v>
      </c>
      <c r="G189" s="10">
        <v>17.978337728</v>
      </c>
      <c r="H189" s="10">
        <v>18.62178578</v>
      </c>
      <c r="I189" s="10">
        <v>19.864449301000001</v>
      </c>
      <c r="J189" s="10">
        <v>21.574170525</v>
      </c>
      <c r="K189" s="10">
        <v>23.796869674</v>
      </c>
      <c r="L189" s="10">
        <v>26.493260979999999</v>
      </c>
      <c r="M189" s="10">
        <v>28.603299190000001</v>
      </c>
      <c r="N189" s="10">
        <v>30.266964025</v>
      </c>
    </row>
    <row r="190" spans="1:14" x14ac:dyDescent="0.25">
      <c r="A190" s="10">
        <v>1</v>
      </c>
      <c r="B190" s="13">
        <v>17.625</v>
      </c>
      <c r="C190" s="10">
        <v>-1.9026394820000001</v>
      </c>
      <c r="D190" s="10">
        <v>21.628539372999999</v>
      </c>
      <c r="E190" s="10">
        <v>0.1325207109</v>
      </c>
      <c r="F190" s="10">
        <v>17.637336764</v>
      </c>
      <c r="G190" s="10">
        <v>18.023329031999999</v>
      </c>
      <c r="H190" s="10">
        <v>18.668729978999998</v>
      </c>
      <c r="I190" s="10">
        <v>19.914845857</v>
      </c>
      <c r="J190" s="10">
        <v>21.628539372999999</v>
      </c>
      <c r="K190" s="10">
        <v>23.854841392000001</v>
      </c>
      <c r="L190" s="10">
        <v>26.552838649000002</v>
      </c>
      <c r="M190" s="10">
        <v>28.661714755999999</v>
      </c>
      <c r="N190" s="10">
        <v>30.322799658000001</v>
      </c>
    </row>
    <row r="191" spans="1:14" x14ac:dyDescent="0.25">
      <c r="A191" s="10">
        <v>1</v>
      </c>
      <c r="B191" s="13">
        <v>17.708333333333332</v>
      </c>
      <c r="C191" s="10">
        <v>-1.8966303579999999</v>
      </c>
      <c r="D191" s="10">
        <v>21.682620618000001</v>
      </c>
      <c r="E191" s="10">
        <v>0.13246183780000001</v>
      </c>
      <c r="F191" s="10">
        <v>17.680815846000002</v>
      </c>
      <c r="G191" s="10">
        <v>18.068019328999998</v>
      </c>
      <c r="H191" s="10">
        <v>18.715366165999999</v>
      </c>
      <c r="I191" s="10">
        <v>19.964931686</v>
      </c>
      <c r="J191" s="10">
        <v>21.682620618000001</v>
      </c>
      <c r="K191" s="10">
        <v>23.912611741999999</v>
      </c>
      <c r="L191" s="10">
        <v>26.612425902999998</v>
      </c>
      <c r="M191" s="10">
        <v>28.720405722999999</v>
      </c>
      <c r="N191" s="10">
        <v>30.379195135</v>
      </c>
    </row>
    <row r="192" spans="1:14" x14ac:dyDescent="0.25">
      <c r="A192" s="10">
        <v>1</v>
      </c>
      <c r="B192" s="13">
        <v>17.791666666666668</v>
      </c>
      <c r="C192" s="10">
        <v>-1.890816268</v>
      </c>
      <c r="D192" s="10">
        <v>21.736404190999998</v>
      </c>
      <c r="E192" s="10">
        <v>0.1324085629</v>
      </c>
      <c r="F192" s="10">
        <v>17.723985953</v>
      </c>
      <c r="G192" s="10">
        <v>18.112394527999999</v>
      </c>
      <c r="H192" s="10">
        <v>18.761680078000001</v>
      </c>
      <c r="I192" s="10">
        <v>20.014693264999998</v>
      </c>
      <c r="J192" s="10">
        <v>21.736404190999998</v>
      </c>
      <c r="K192" s="10">
        <v>23.970179529999999</v>
      </c>
      <c r="L192" s="10">
        <v>26.672038872000002</v>
      </c>
      <c r="M192" s="10">
        <v>28.779406289000001</v>
      </c>
      <c r="N192" s="10">
        <v>30.436201151999999</v>
      </c>
    </row>
    <row r="193" spans="1:14" x14ac:dyDescent="0.25">
      <c r="A193" s="10">
        <v>1</v>
      </c>
      <c r="B193" s="13">
        <v>17.875</v>
      </c>
      <c r="C193" s="10">
        <v>-1.885209876</v>
      </c>
      <c r="D193" s="10">
        <v>21.789880028999999</v>
      </c>
      <c r="E193" s="10">
        <v>0.1323612888</v>
      </c>
      <c r="F193" s="10">
        <v>17.766833147</v>
      </c>
      <c r="G193" s="10">
        <v>18.156440414999999</v>
      </c>
      <c r="H193" s="10">
        <v>18.807657335999998</v>
      </c>
      <c r="I193" s="10">
        <v>20.064116991999999</v>
      </c>
      <c r="J193" s="10">
        <v>21.789880028999999</v>
      </c>
      <c r="K193" s="10">
        <v>24.027543735999998</v>
      </c>
      <c r="L193" s="10">
        <v>26.731694113</v>
      </c>
      <c r="M193" s="10">
        <v>28.838751301999999</v>
      </c>
      <c r="N193" s="10">
        <v>30.493869233000002</v>
      </c>
    </row>
    <row r="194" spans="1:14" x14ac:dyDescent="0.25">
      <c r="A194" s="10">
        <v>1</v>
      </c>
      <c r="B194" s="13">
        <v>17.958333333333332</v>
      </c>
      <c r="C194" s="10">
        <v>-1.8798235050000001</v>
      </c>
      <c r="D194" s="10">
        <v>21.843038191000002</v>
      </c>
      <c r="E194" s="10">
        <v>0.1323204265</v>
      </c>
      <c r="F194" s="10">
        <v>17.809343234</v>
      </c>
      <c r="G194" s="10">
        <v>18.200142555999999</v>
      </c>
      <c r="H194" s="10">
        <v>18.853283397999999</v>
      </c>
      <c r="I194" s="10">
        <v>20.113189212999998</v>
      </c>
      <c r="J194" s="10">
        <v>21.843038191000002</v>
      </c>
      <c r="K194" s="10">
        <v>24.084703666999999</v>
      </c>
      <c r="L194" s="10">
        <v>26.791408704999998</v>
      </c>
      <c r="M194" s="10">
        <v>28.898476210999998</v>
      </c>
      <c r="N194" s="10">
        <v>30.552251517999998</v>
      </c>
    </row>
    <row r="195" spans="1:14" x14ac:dyDescent="0.25">
      <c r="A195" s="10">
        <v>1</v>
      </c>
      <c r="B195" s="13">
        <v>18.041666666666668</v>
      </c>
      <c r="C195" s="10">
        <v>-1.874670324</v>
      </c>
      <c r="D195" s="10">
        <v>21.895868500999999</v>
      </c>
      <c r="E195" s="10">
        <v>0.13228638179999999</v>
      </c>
      <c r="F195" s="10">
        <v>17.851502186000001</v>
      </c>
      <c r="G195" s="10">
        <v>18.243486616999999</v>
      </c>
      <c r="H195" s="10">
        <v>18.898543729</v>
      </c>
      <c r="I195" s="10">
        <v>20.161896146</v>
      </c>
      <c r="J195" s="10">
        <v>21.895868500999999</v>
      </c>
      <c r="K195" s="10">
        <v>24.141658453000002</v>
      </c>
      <c r="L195" s="10">
        <v>26.851199912999999</v>
      </c>
      <c r="M195" s="10">
        <v>28.958617196999999</v>
      </c>
      <c r="N195" s="10">
        <v>30.611401484000002</v>
      </c>
    </row>
    <row r="196" spans="1:14" x14ac:dyDescent="0.25">
      <c r="A196" s="10">
        <v>1</v>
      </c>
      <c r="B196" s="13">
        <v>18.125</v>
      </c>
      <c r="C196" s="10">
        <v>-1.869760299</v>
      </c>
      <c r="D196" s="10">
        <v>21.948361684000002</v>
      </c>
      <c r="E196" s="10">
        <v>0.1322595999</v>
      </c>
      <c r="F196" s="10">
        <v>17.893294718</v>
      </c>
      <c r="G196" s="10">
        <v>18.286457267999999</v>
      </c>
      <c r="H196" s="10">
        <v>18.943423208999999</v>
      </c>
      <c r="I196" s="10">
        <v>20.210224137000001</v>
      </c>
      <c r="J196" s="10">
        <v>21.948361684000002</v>
      </c>
      <c r="K196" s="10">
        <v>24.198408661999999</v>
      </c>
      <c r="L196" s="10">
        <v>26.911086259000001</v>
      </c>
      <c r="M196" s="10">
        <v>29.019210795999999</v>
      </c>
      <c r="N196" s="10">
        <v>30.671371758999999</v>
      </c>
    </row>
    <row r="197" spans="1:14" x14ac:dyDescent="0.25">
      <c r="A197" s="10">
        <v>1</v>
      </c>
      <c r="B197" s="13">
        <v>18.208333333333332</v>
      </c>
      <c r="C197" s="10">
        <v>-1.8651132450000001</v>
      </c>
      <c r="D197" s="10">
        <v>22.000505690000001</v>
      </c>
      <c r="E197" s="10">
        <v>0.13224041759999999</v>
      </c>
      <c r="F197" s="10">
        <v>17.934708987</v>
      </c>
      <c r="G197" s="10">
        <v>18.329041829000001</v>
      </c>
      <c r="H197" s="10">
        <v>18.987908130000001</v>
      </c>
      <c r="I197" s="10">
        <v>20.258158849000001</v>
      </c>
      <c r="J197" s="10">
        <v>22.000505690000001</v>
      </c>
      <c r="K197" s="10">
        <v>24.254950982</v>
      </c>
      <c r="L197" s="10">
        <v>26.971083943</v>
      </c>
      <c r="M197" s="10">
        <v>29.080295026000002</v>
      </c>
      <c r="N197" s="10">
        <v>30.732221215999999</v>
      </c>
    </row>
    <row r="198" spans="1:14" x14ac:dyDescent="0.25">
      <c r="A198" s="10">
        <v>1</v>
      </c>
      <c r="B198" s="13">
        <v>18.291666666666668</v>
      </c>
      <c r="C198" s="10">
        <v>-1.8607349440000001</v>
      </c>
      <c r="D198" s="10">
        <v>22.052292423000001</v>
      </c>
      <c r="E198" s="10">
        <v>0.13222933009999999</v>
      </c>
      <c r="F198" s="10">
        <v>17.975728091000001</v>
      </c>
      <c r="G198" s="10">
        <v>18.371223685</v>
      </c>
      <c r="H198" s="10">
        <v>19.031982616000001</v>
      </c>
      <c r="I198" s="10">
        <v>20.305686799</v>
      </c>
      <c r="J198" s="10">
        <v>22.052292423000001</v>
      </c>
      <c r="K198" s="10">
        <v>24.311287915000001</v>
      </c>
      <c r="L198" s="10">
        <v>27.031213333</v>
      </c>
      <c r="M198" s="10">
        <v>29.141907344</v>
      </c>
      <c r="N198" s="10">
        <v>30.794002112000001</v>
      </c>
    </row>
    <row r="199" spans="1:14" x14ac:dyDescent="0.25">
      <c r="A199" s="10">
        <v>1</v>
      </c>
      <c r="B199" s="13">
        <v>18.375</v>
      </c>
      <c r="C199" s="10">
        <v>-1.85663384</v>
      </c>
      <c r="D199" s="10">
        <v>22.103713047999999</v>
      </c>
      <c r="E199" s="10">
        <v>0.132226801</v>
      </c>
      <c r="F199" s="10">
        <v>18.016336079999999</v>
      </c>
      <c r="G199" s="10">
        <v>18.412986957000001</v>
      </c>
      <c r="H199" s="10">
        <v>19.075631189999999</v>
      </c>
      <c r="I199" s="10">
        <v>20.352794329000002</v>
      </c>
      <c r="J199" s="10">
        <v>22.103713047999999</v>
      </c>
      <c r="K199" s="10">
        <v>24.367420965000001</v>
      </c>
      <c r="L199" s="10">
        <v>27.091494342000001</v>
      </c>
      <c r="M199" s="10">
        <v>29.204085990999999</v>
      </c>
      <c r="N199" s="10">
        <v>30.856769055000001</v>
      </c>
    </row>
    <row r="200" spans="1:14" x14ac:dyDescent="0.25">
      <c r="A200" s="10">
        <v>1</v>
      </c>
      <c r="B200" s="13">
        <v>18.458333333333332</v>
      </c>
      <c r="C200" s="10">
        <v>-1.8528271860000001</v>
      </c>
      <c r="D200" s="10">
        <v>22.154756029000001</v>
      </c>
      <c r="E200" s="10">
        <v>0.13223320050000001</v>
      </c>
      <c r="F200" s="10">
        <v>18.056519892000001</v>
      </c>
      <c r="G200" s="10">
        <v>18.454317937999999</v>
      </c>
      <c r="H200" s="10">
        <v>19.118839426000001</v>
      </c>
      <c r="I200" s="10">
        <v>20.399466948000001</v>
      </c>
      <c r="J200" s="10">
        <v>22.154756029000001</v>
      </c>
      <c r="K200" s="10">
        <v>24.42334799</v>
      </c>
      <c r="L200" s="10">
        <v>27.151944818</v>
      </c>
      <c r="M200" s="10">
        <v>29.266870787999999</v>
      </c>
      <c r="N200" s="10">
        <v>30.920582776</v>
      </c>
    </row>
    <row r="201" spans="1:14" x14ac:dyDescent="0.25">
      <c r="A201" s="10">
        <v>1</v>
      </c>
      <c r="B201" s="13">
        <v>18.541666666666668</v>
      </c>
      <c r="C201" s="10">
        <v>-1.8493232040000001</v>
      </c>
      <c r="D201" s="10">
        <v>22.205412485</v>
      </c>
      <c r="E201" s="10">
        <v>0.13224899309999999</v>
      </c>
      <c r="F201" s="10">
        <v>18.096263440000001</v>
      </c>
      <c r="G201" s="10">
        <v>18.495200616000002</v>
      </c>
      <c r="H201" s="10">
        <v>19.161591719</v>
      </c>
      <c r="I201" s="10">
        <v>20.445690891000002</v>
      </c>
      <c r="J201" s="10">
        <v>22.205412485</v>
      </c>
      <c r="K201" s="10">
        <v>24.479070624999999</v>
      </c>
      <c r="L201" s="10">
        <v>27.212585281999999</v>
      </c>
      <c r="M201" s="10">
        <v>29.330301267999999</v>
      </c>
      <c r="N201" s="10">
        <v>30.985499998000002</v>
      </c>
    </row>
    <row r="202" spans="1:14" x14ac:dyDescent="0.25">
      <c r="A202" s="10">
        <v>1</v>
      </c>
      <c r="B202" s="13">
        <v>18.625</v>
      </c>
      <c r="C202" s="10">
        <v>-1.846131607</v>
      </c>
      <c r="D202" s="10">
        <v>22.255673000000002</v>
      </c>
      <c r="E202" s="10">
        <v>0.13227462540000001</v>
      </c>
      <c r="F202" s="10">
        <v>18.135551116999999</v>
      </c>
      <c r="G202" s="10">
        <v>18.535619322999999</v>
      </c>
      <c r="H202" s="10">
        <v>19.203872602000001</v>
      </c>
      <c r="I202" s="10">
        <v>20.491452188</v>
      </c>
      <c r="J202" s="10">
        <v>22.255673000000002</v>
      </c>
      <c r="K202" s="10">
        <v>24.534589849</v>
      </c>
      <c r="L202" s="10">
        <v>27.273436078</v>
      </c>
      <c r="M202" s="10">
        <v>29.394417774000001</v>
      </c>
      <c r="N202" s="10">
        <v>31.051579489000002</v>
      </c>
    </row>
    <row r="203" spans="1:14" x14ac:dyDescent="0.25">
      <c r="A203" s="10">
        <v>1</v>
      </c>
      <c r="B203" s="13">
        <v>18.708333333333332</v>
      </c>
      <c r="C203" s="10">
        <v>-1.8432612939999999</v>
      </c>
      <c r="D203" s="10">
        <v>22.305528305999999</v>
      </c>
      <c r="E203" s="10">
        <v>0.132310549</v>
      </c>
      <c r="F203" s="10">
        <v>18.174367057000001</v>
      </c>
      <c r="G203" s="10">
        <v>18.575558185999999</v>
      </c>
      <c r="H203" s="10">
        <v>19.245666485000001</v>
      </c>
      <c r="I203" s="10">
        <v>20.536736873999999</v>
      </c>
      <c r="J203" s="10">
        <v>22.305528305999999</v>
      </c>
      <c r="K203" s="10">
        <v>24.589906919000001</v>
      </c>
      <c r="L203" s="10">
        <v>27.334517957999999</v>
      </c>
      <c r="M203" s="10">
        <v>29.459261215000001</v>
      </c>
      <c r="N203" s="10">
        <v>31.118880803</v>
      </c>
    </row>
    <row r="204" spans="1:14" x14ac:dyDescent="0.25">
      <c r="A204" s="10">
        <v>1</v>
      </c>
      <c r="B204" s="13">
        <v>18.791666666666668</v>
      </c>
      <c r="C204" s="10">
        <v>-1.840720248</v>
      </c>
      <c r="D204" s="10">
        <v>22.354969299</v>
      </c>
      <c r="E204" s="10">
        <v>0.13235722080000001</v>
      </c>
      <c r="F204" s="10">
        <v>18.212695115999999</v>
      </c>
      <c r="G204" s="10">
        <v>18.615001112000002</v>
      </c>
      <c r="H204" s="10">
        <v>19.286957644000001</v>
      </c>
      <c r="I204" s="10">
        <v>20.581531002999998</v>
      </c>
      <c r="J204" s="10">
        <v>22.354969299</v>
      </c>
      <c r="K204" s="10">
        <v>24.645023377000001</v>
      </c>
      <c r="L204" s="10">
        <v>27.395852082000001</v>
      </c>
      <c r="M204" s="10">
        <v>29.524873058000001</v>
      </c>
      <c r="N204" s="10">
        <v>31.187464273</v>
      </c>
    </row>
    <row r="205" spans="1:14" x14ac:dyDescent="0.25">
      <c r="A205" s="10">
        <v>1</v>
      </c>
      <c r="B205" s="13">
        <v>18.875</v>
      </c>
      <c r="C205" s="10">
        <v>-1.8385154399999999</v>
      </c>
      <c r="D205" s="10">
        <v>22.403987056999998</v>
      </c>
      <c r="E205" s="10">
        <v>0.13241510300000001</v>
      </c>
      <c r="F205" s="10">
        <v>18.250518862</v>
      </c>
      <c r="G205" s="10">
        <v>18.653931783000001</v>
      </c>
      <c r="H205" s="10">
        <v>19.327730231</v>
      </c>
      <c r="I205" s="10">
        <v>20.625820656999998</v>
      </c>
      <c r="J205" s="10">
        <v>22.403987056999998</v>
      </c>
      <c r="K205" s="10">
        <v>24.699941066000001</v>
      </c>
      <c r="L205" s="10">
        <v>27.457460008999998</v>
      </c>
      <c r="M205" s="10">
        <v>29.591295323000001</v>
      </c>
      <c r="N205" s="10">
        <v>31.257391016</v>
      </c>
    </row>
    <row r="206" spans="1:14" x14ac:dyDescent="0.25">
      <c r="A206" s="10">
        <v>1</v>
      </c>
      <c r="B206" s="13">
        <v>18.958333333333332</v>
      </c>
      <c r="C206" s="10">
        <v>-1.83665586</v>
      </c>
      <c r="D206" s="10">
        <v>22.452571817999999</v>
      </c>
      <c r="E206" s="10">
        <v>0.13248463099999999</v>
      </c>
      <c r="F206" s="10">
        <v>18.287822536</v>
      </c>
      <c r="G206" s="10">
        <v>18.692334366000001</v>
      </c>
      <c r="H206" s="10">
        <v>19.367968582</v>
      </c>
      <c r="I206" s="10">
        <v>20.669591593</v>
      </c>
      <c r="J206" s="10">
        <v>22.452571817999999</v>
      </c>
      <c r="K206" s="10">
        <v>24.754660754</v>
      </c>
      <c r="L206" s="10">
        <v>27.519362827999998</v>
      </c>
      <c r="M206" s="10">
        <v>29.658570911999998</v>
      </c>
      <c r="N206" s="10">
        <v>31.328724775000001</v>
      </c>
    </row>
    <row r="207" spans="1:14" x14ac:dyDescent="0.25">
      <c r="A207" s="10">
        <v>1</v>
      </c>
      <c r="B207" s="13">
        <v>19.041666666666668</v>
      </c>
      <c r="C207" s="10">
        <v>-1.835138046</v>
      </c>
      <c r="D207" s="10">
        <v>22.500717780999999</v>
      </c>
      <c r="E207" s="10">
        <v>0.13256635920000001</v>
      </c>
      <c r="F207" s="10">
        <v>18.3245866</v>
      </c>
      <c r="G207" s="10">
        <v>18.730190244999999</v>
      </c>
      <c r="H207" s="10">
        <v>19.407655808000001</v>
      </c>
      <c r="I207" s="10">
        <v>20.712830948000001</v>
      </c>
      <c r="J207" s="10">
        <v>22.500717780999999</v>
      </c>
      <c r="K207" s="10">
        <v>24.809188520999999</v>
      </c>
      <c r="L207" s="10">
        <v>27.581585158999999</v>
      </c>
      <c r="M207" s="10">
        <v>29.726742037000001</v>
      </c>
      <c r="N207" s="10">
        <v>31.401523440999998</v>
      </c>
    </row>
    <row r="208" spans="1:14" x14ac:dyDescent="0.25">
      <c r="A208" s="10">
        <v>1</v>
      </c>
      <c r="B208" s="13">
        <v>19.125</v>
      </c>
      <c r="C208" s="10">
        <v>-1.833972004</v>
      </c>
      <c r="D208" s="10">
        <v>22.548414372</v>
      </c>
      <c r="E208" s="10">
        <v>0.13266069899999999</v>
      </c>
      <c r="F208" s="10">
        <v>18.360795645</v>
      </c>
      <c r="G208" s="10">
        <v>18.767483802000001</v>
      </c>
      <c r="H208" s="10">
        <v>19.446776243999999</v>
      </c>
      <c r="I208" s="10">
        <v>20.755524086000001</v>
      </c>
      <c r="J208" s="10">
        <v>22.548414372</v>
      </c>
      <c r="K208" s="10">
        <v>24.863524151</v>
      </c>
      <c r="L208" s="10">
        <v>27.644147851</v>
      </c>
      <c r="M208" s="10">
        <v>29.79585303</v>
      </c>
      <c r="N208" s="10">
        <v>31.475854413</v>
      </c>
    </row>
    <row r="209" spans="1:15" x14ac:dyDescent="0.25">
      <c r="A209" s="10">
        <v>1</v>
      </c>
      <c r="B209" s="13">
        <v>19.208333333333332</v>
      </c>
      <c r="C209" s="10">
        <v>-1.8331577509999999</v>
      </c>
      <c r="D209" s="10">
        <v>22.595654215</v>
      </c>
      <c r="E209" s="10">
        <v>0.1327681527</v>
      </c>
      <c r="F209" s="10">
        <v>18.396431372999999</v>
      </c>
      <c r="G209" s="10">
        <v>18.804197322</v>
      </c>
      <c r="H209" s="10">
        <v>19.485313358999999</v>
      </c>
      <c r="I209" s="10">
        <v>20.797657557000001</v>
      </c>
      <c r="J209" s="10">
        <v>22.595654215</v>
      </c>
      <c r="K209" s="10">
        <v>24.917671662</v>
      </c>
      <c r="L209" s="10">
        <v>27.707074586000001</v>
      </c>
      <c r="M209" s="10">
        <v>29.865947818999999</v>
      </c>
      <c r="N209" s="10">
        <v>31.551780780000001</v>
      </c>
    </row>
    <row r="210" spans="1:15" x14ac:dyDescent="0.25">
      <c r="A210" s="10">
        <v>1</v>
      </c>
      <c r="B210" s="13">
        <v>19.291666666666668</v>
      </c>
      <c r="C210" s="10">
        <v>-1.83269562</v>
      </c>
      <c r="D210" s="10">
        <v>22.642429557</v>
      </c>
      <c r="E210" s="10">
        <v>0.13288921049999999</v>
      </c>
      <c r="F210" s="10">
        <v>18.431475638999999</v>
      </c>
      <c r="G210" s="10">
        <v>18.840313183999999</v>
      </c>
      <c r="H210" s="10">
        <v>19.523250620999999</v>
      </c>
      <c r="I210" s="10">
        <v>20.839217729000001</v>
      </c>
      <c r="J210" s="10">
        <v>22.642429557</v>
      </c>
      <c r="K210" s="10">
        <v>24.971634592000001</v>
      </c>
      <c r="L210" s="10">
        <v>27.770388909000001</v>
      </c>
      <c r="M210" s="10">
        <v>29.937071029999998</v>
      </c>
      <c r="N210" s="10">
        <v>31.629367478999999</v>
      </c>
    </row>
    <row r="211" spans="1:15" x14ac:dyDescent="0.25">
      <c r="A211" s="10">
        <v>1</v>
      </c>
      <c r="B211" s="13">
        <v>19.375</v>
      </c>
      <c r="C211" s="10">
        <v>-1.8325843420000001</v>
      </c>
      <c r="D211" s="10">
        <v>22.688732921</v>
      </c>
      <c r="E211" s="10">
        <v>0.13302436840000001</v>
      </c>
      <c r="F211" s="10">
        <v>18.465909907</v>
      </c>
      <c r="G211" s="10">
        <v>18.875813476000001</v>
      </c>
      <c r="H211" s="10">
        <v>19.560571356000001</v>
      </c>
      <c r="I211" s="10">
        <v>20.880191060000001</v>
      </c>
      <c r="J211" s="10">
        <v>22.688732921</v>
      </c>
      <c r="K211" s="10">
        <v>25.025416851999999</v>
      </c>
      <c r="L211" s="10">
        <v>27.834114754000002</v>
      </c>
      <c r="M211" s="10">
        <v>30.009267782999999</v>
      </c>
      <c r="N211" s="10">
        <v>31.708680201</v>
      </c>
    </row>
    <row r="212" spans="1:15" x14ac:dyDescent="0.25">
      <c r="A212" s="10">
        <v>1</v>
      </c>
      <c r="B212" s="13">
        <v>19.458333333333332</v>
      </c>
      <c r="C212" s="10">
        <v>-1.8328209740000001</v>
      </c>
      <c r="D212" s="10">
        <v>22.734557125999999</v>
      </c>
      <c r="E212" s="10">
        <v>0.13317412849999999</v>
      </c>
      <c r="F212" s="10">
        <v>18.499715238</v>
      </c>
      <c r="G212" s="10">
        <v>18.910679987000002</v>
      </c>
      <c r="H212" s="10">
        <v>19.597258745000001</v>
      </c>
      <c r="I212" s="10">
        <v>20.920564098</v>
      </c>
      <c r="J212" s="10">
        <v>22.734557125999999</v>
      </c>
      <c r="K212" s="10">
        <v>25.079022734999999</v>
      </c>
      <c r="L212" s="10">
        <v>27.898276446000001</v>
      </c>
      <c r="M212" s="10">
        <v>30.082583688</v>
      </c>
      <c r="N212" s="10">
        <v>31.789785391999999</v>
      </c>
    </row>
    <row r="213" spans="1:15" x14ac:dyDescent="0.25">
      <c r="A213" s="10">
        <v>1</v>
      </c>
      <c r="B213" s="13">
        <v>19.541666666666668</v>
      </c>
      <c r="C213" s="10">
        <v>-1.833400825</v>
      </c>
      <c r="D213" s="10">
        <v>22.779895294999999</v>
      </c>
      <c r="E213" s="10">
        <v>0.13333899939999999</v>
      </c>
      <c r="F213" s="10">
        <v>18.532872276999999</v>
      </c>
      <c r="G213" s="10">
        <v>18.944894195</v>
      </c>
      <c r="H213" s="10">
        <v>19.633295823000001</v>
      </c>
      <c r="I213" s="10">
        <v>20.960323489</v>
      </c>
      <c r="J213" s="10">
        <v>22.779895294999999</v>
      </c>
      <c r="K213" s="10">
        <v>25.132456931</v>
      </c>
      <c r="L213" s="10">
        <v>27.962898694</v>
      </c>
      <c r="M213" s="10">
        <v>30.157064835</v>
      </c>
      <c r="N213" s="10">
        <v>31.872750248999999</v>
      </c>
    </row>
    <row r="214" spans="1:15" x14ac:dyDescent="0.25">
      <c r="A214" s="10">
        <v>1</v>
      </c>
      <c r="B214" s="13">
        <v>19.625</v>
      </c>
      <c r="C214" s="10">
        <v>-1.834317405</v>
      </c>
      <c r="D214" s="10">
        <v>22.824740867999999</v>
      </c>
      <c r="E214" s="10">
        <v>0.13351949590000001</v>
      </c>
      <c r="F214" s="10">
        <v>18.565361241000002</v>
      </c>
      <c r="G214" s="10">
        <v>18.978437264</v>
      </c>
      <c r="H214" s="10">
        <v>19.668665474000001</v>
      </c>
      <c r="I214" s="10">
        <v>20.999455987000001</v>
      </c>
      <c r="J214" s="10">
        <v>22.824740867999999</v>
      </c>
      <c r="K214" s="10">
        <v>25.185724533999998</v>
      </c>
      <c r="L214" s="10">
        <v>28.028006597000001</v>
      </c>
      <c r="M214" s="10">
        <v>30.232757788000001</v>
      </c>
      <c r="N214" s="10">
        <v>31.957642717999999</v>
      </c>
    </row>
    <row r="215" spans="1:15" x14ac:dyDescent="0.25">
      <c r="A215" s="10">
        <v>1</v>
      </c>
      <c r="B215" s="13">
        <v>19.708333333333332</v>
      </c>
      <c r="C215" s="10">
        <v>-1.8355575200000001</v>
      </c>
      <c r="D215" s="10">
        <v>22.869089116000001</v>
      </c>
      <c r="E215" s="10">
        <v>0.13371619230000001</v>
      </c>
      <c r="F215" s="10">
        <v>18.597160159000001</v>
      </c>
      <c r="G215" s="10">
        <v>19.011288695000001</v>
      </c>
      <c r="H215" s="10">
        <v>19.703349738</v>
      </c>
      <c r="I215" s="10">
        <v>21.037948850999999</v>
      </c>
      <c r="J215" s="10">
        <v>22.869089116000001</v>
      </c>
      <c r="K215" s="10">
        <v>25.238833149000001</v>
      </c>
      <c r="L215" s="10">
        <v>28.093626973999999</v>
      </c>
      <c r="M215" s="10">
        <v>30.309709008999999</v>
      </c>
      <c r="N215" s="10">
        <v>32.044528528999997</v>
      </c>
    </row>
    <row r="216" spans="1:15" x14ac:dyDescent="0.25">
      <c r="A216" s="10">
        <v>1</v>
      </c>
      <c r="B216" s="13">
        <v>19.791666666666668</v>
      </c>
      <c r="C216" s="10">
        <v>-1.8371194660000001</v>
      </c>
      <c r="D216" s="10">
        <v>22.912931508</v>
      </c>
      <c r="E216" s="10">
        <v>0.13392952490000001</v>
      </c>
      <c r="F216" s="10">
        <v>18.628251422000002</v>
      </c>
      <c r="G216" s="10">
        <v>19.043431335000001</v>
      </c>
      <c r="H216" s="10">
        <v>19.7373324</v>
      </c>
      <c r="I216" s="10">
        <v>21.075788351</v>
      </c>
      <c r="J216" s="10">
        <v>22.912931508</v>
      </c>
      <c r="K216" s="10">
        <v>25.291785021999999</v>
      </c>
      <c r="L216" s="10">
        <v>28.159783362999999</v>
      </c>
      <c r="M216" s="10">
        <v>30.387967</v>
      </c>
      <c r="N216" s="10">
        <v>32.133482319999999</v>
      </c>
    </row>
    <row r="217" spans="1:15" x14ac:dyDescent="0.25">
      <c r="A217" s="10">
        <v>1</v>
      </c>
      <c r="B217" s="13">
        <v>19.875</v>
      </c>
      <c r="C217" s="10">
        <v>-1.838987063</v>
      </c>
      <c r="D217" s="10">
        <v>22.956263733</v>
      </c>
      <c r="E217" s="10">
        <v>0.13416007290000001</v>
      </c>
      <c r="F217" s="10">
        <v>18.658612451</v>
      </c>
      <c r="G217" s="10">
        <v>19.074844245000001</v>
      </c>
      <c r="H217" s="10">
        <v>19.770595302</v>
      </c>
      <c r="I217" s="10">
        <v>21.112961906999999</v>
      </c>
      <c r="J217" s="10">
        <v>22.956263733</v>
      </c>
      <c r="K217" s="10">
        <v>25.344588250000001</v>
      </c>
      <c r="L217" s="10">
        <v>28.226503126000001</v>
      </c>
      <c r="M217" s="10">
        <v>30.467579242999999</v>
      </c>
      <c r="N217" s="10">
        <v>32.224571824000002</v>
      </c>
    </row>
    <row r="218" spans="1:15" x14ac:dyDescent="0.25">
      <c r="A218" s="10">
        <v>1</v>
      </c>
      <c r="B218" s="13">
        <v>19.958333333333332</v>
      </c>
      <c r="C218" s="10">
        <v>-1.8411461389999999</v>
      </c>
      <c r="D218" s="10">
        <v>22.999080616000001</v>
      </c>
      <c r="E218" s="10">
        <v>0.13440838090000001</v>
      </c>
      <c r="F218" s="10">
        <v>18.688221612</v>
      </c>
      <c r="G218" s="10">
        <v>19.105507218</v>
      </c>
      <c r="H218" s="10">
        <v>19.803120681999999</v>
      </c>
      <c r="I218" s="10">
        <v>21.149456727</v>
      </c>
      <c r="J218" s="10">
        <v>22.999080616000001</v>
      </c>
      <c r="K218" s="10">
        <v>25.397249669000001</v>
      </c>
      <c r="L218" s="10">
        <v>28.293812943999999</v>
      </c>
      <c r="M218" s="10">
        <v>30.548594138999999</v>
      </c>
      <c r="N218" s="10">
        <v>32.317867911</v>
      </c>
    </row>
    <row r="219" spans="1:15" x14ac:dyDescent="0.25">
      <c r="A219" s="10">
        <v>1</v>
      </c>
      <c r="B219" s="13">
        <v>20</v>
      </c>
      <c r="C219" s="10">
        <v>-1.8423301599999999</v>
      </c>
      <c r="D219" s="10">
        <v>23.020294238000002</v>
      </c>
      <c r="E219" s="10">
        <v>0.13453936499999999</v>
      </c>
      <c r="F219" s="10">
        <v>18.702737405000001</v>
      </c>
      <c r="G219" s="10">
        <v>19.120551107000001</v>
      </c>
      <c r="H219" s="10">
        <v>19.819101225000001</v>
      </c>
      <c r="I219" s="10">
        <v>21.167445634</v>
      </c>
      <c r="J219" s="10">
        <v>23.020294238000002</v>
      </c>
      <c r="K219" s="10">
        <v>25.423529395999999</v>
      </c>
      <c r="L219" s="10">
        <v>28.327697528000002</v>
      </c>
      <c r="M219" s="10">
        <v>30.589642847</v>
      </c>
      <c r="N219" s="10">
        <v>32.365365859999997</v>
      </c>
    </row>
    <row r="220" spans="1:15" x14ac:dyDescent="0.25">
      <c r="A220" s="10">
        <v>1</v>
      </c>
      <c r="B220" s="13">
        <v>20.041666666666668</v>
      </c>
      <c r="C220" s="10">
        <v>-1.8435805750000001</v>
      </c>
      <c r="D220" s="10">
        <v>23.041377338</v>
      </c>
      <c r="E220" s="10">
        <v>0.13467500139999999</v>
      </c>
      <c r="F220" s="10">
        <v>18.717056794000001</v>
      </c>
      <c r="G220" s="10">
        <v>19.13539969</v>
      </c>
      <c r="H220" s="10">
        <v>19.834890605999998</v>
      </c>
      <c r="I220" s="10">
        <v>21.185260137</v>
      </c>
      <c r="J220" s="10">
        <v>23.041377338</v>
      </c>
      <c r="K220" s="10">
        <v>25.449776571000001</v>
      </c>
      <c r="L220" s="10">
        <v>28.361739896</v>
      </c>
      <c r="M220" s="10">
        <v>30.631060541</v>
      </c>
      <c r="N220" s="10">
        <v>32.413442177999997</v>
      </c>
    </row>
    <row r="221" spans="1:15" x14ac:dyDescent="0.25">
      <c r="O221" s="13"/>
    </row>
    <row r="222" spans="1:15" x14ac:dyDescent="0.25">
      <c r="A222" s="10" t="s">
        <v>2</v>
      </c>
      <c r="B222" s="13" t="s">
        <v>32</v>
      </c>
      <c r="C222" s="10" t="s">
        <v>3</v>
      </c>
      <c r="D222" s="10" t="s">
        <v>4</v>
      </c>
      <c r="E222" s="10" t="s">
        <v>5</v>
      </c>
      <c r="F222" s="10" t="s">
        <v>6</v>
      </c>
      <c r="G222" s="10" t="s">
        <v>7</v>
      </c>
      <c r="H222" s="10" t="s">
        <v>8</v>
      </c>
      <c r="I222" s="10" t="s">
        <v>9</v>
      </c>
      <c r="J222" s="10" t="s">
        <v>10</v>
      </c>
      <c r="K222" s="10" t="s">
        <v>11</v>
      </c>
      <c r="L222" s="10" t="s">
        <v>12</v>
      </c>
      <c r="M222" s="10" t="s">
        <v>13</v>
      </c>
      <c r="N222" s="10" t="s">
        <v>14</v>
      </c>
    </row>
    <row r="223" spans="1:15" x14ac:dyDescent="0.25">
      <c r="A223" s="10">
        <v>2</v>
      </c>
      <c r="B223" s="13">
        <v>2</v>
      </c>
      <c r="C223" s="10">
        <v>-0.98660853000000004</v>
      </c>
      <c r="D223" s="10">
        <v>16.423396643</v>
      </c>
      <c r="E223" s="10">
        <v>8.5451785000000002E-2</v>
      </c>
      <c r="F223" s="10">
        <v>14.147346696</v>
      </c>
      <c r="G223" s="10">
        <v>14.397870893</v>
      </c>
      <c r="H223" s="10">
        <v>14.801340537</v>
      </c>
      <c r="I223" s="10">
        <v>15.528075872000001</v>
      </c>
      <c r="J223" s="10">
        <v>16.423396643</v>
      </c>
      <c r="K223" s="10">
        <v>17.427456588999998</v>
      </c>
      <c r="L223" s="10">
        <v>18.441393172000001</v>
      </c>
      <c r="M223" s="10">
        <v>19.106235219999999</v>
      </c>
      <c r="N223" s="10">
        <v>19.564109584000001</v>
      </c>
    </row>
    <row r="224" spans="1:15" x14ac:dyDescent="0.25">
      <c r="A224" s="10">
        <v>2</v>
      </c>
      <c r="B224" s="13">
        <v>2.0416666666666665</v>
      </c>
      <c r="C224" s="10">
        <v>-1.0244968270000001</v>
      </c>
      <c r="D224" s="10">
        <v>16.388040561</v>
      </c>
      <c r="E224" s="10">
        <v>8.5025838000000006E-2</v>
      </c>
      <c r="F224" s="10">
        <v>14.132262709000001</v>
      </c>
      <c r="G224" s="10">
        <v>14.380186596</v>
      </c>
      <c r="H224" s="10">
        <v>14.77964811</v>
      </c>
      <c r="I224" s="10">
        <v>15.49975639</v>
      </c>
      <c r="J224" s="10">
        <v>16.388040561</v>
      </c>
      <c r="K224" s="10">
        <v>17.385815520000001</v>
      </c>
      <c r="L224" s="10">
        <v>18.395263723999999</v>
      </c>
      <c r="M224" s="10">
        <v>19.058238445000001</v>
      </c>
      <c r="N224" s="10">
        <v>19.515343333000001</v>
      </c>
    </row>
    <row r="225" spans="1:14" x14ac:dyDescent="0.25">
      <c r="A225" s="10">
        <v>2</v>
      </c>
      <c r="B225" s="13">
        <v>2.125</v>
      </c>
      <c r="C225" s="10">
        <v>-1.1026983530000001</v>
      </c>
      <c r="D225" s="10">
        <v>16.318971901000001</v>
      </c>
      <c r="E225" s="10">
        <v>8.42140522E-2</v>
      </c>
      <c r="F225" s="10">
        <v>14.102408137999999</v>
      </c>
      <c r="G225" s="10">
        <v>14.345272624</v>
      </c>
      <c r="H225" s="10">
        <v>14.736946276999999</v>
      </c>
      <c r="I225" s="10">
        <v>15.444219008999999</v>
      </c>
      <c r="J225" s="10">
        <v>16.318971901000001</v>
      </c>
      <c r="K225" s="10">
        <v>17.304848110999998</v>
      </c>
      <c r="L225" s="10">
        <v>18.306107823000001</v>
      </c>
      <c r="M225" s="10">
        <v>18.965949897000002</v>
      </c>
      <c r="N225" s="10">
        <v>19.421979886999999</v>
      </c>
    </row>
    <row r="226" spans="1:14" x14ac:dyDescent="0.25">
      <c r="A226" s="10">
        <v>2</v>
      </c>
      <c r="B226" s="13">
        <v>2.2083333333333335</v>
      </c>
      <c r="C226" s="10">
        <v>-1.1839663499999999</v>
      </c>
      <c r="D226" s="10">
        <v>16.252079845000001</v>
      </c>
      <c r="E226" s="10">
        <v>8.3455124000000006E-2</v>
      </c>
      <c r="F226" s="10">
        <v>14.072973937</v>
      </c>
      <c r="G226" s="10">
        <v>14.310968062000001</v>
      </c>
      <c r="H226" s="10">
        <v>14.695158096</v>
      </c>
      <c r="I226" s="10">
        <v>15.390148458000001</v>
      </c>
      <c r="J226" s="10">
        <v>16.252079845000001</v>
      </c>
      <c r="K226" s="10">
        <v>17.226931896</v>
      </c>
      <c r="L226" s="10">
        <v>18.221032529999999</v>
      </c>
      <c r="M226" s="10">
        <v>18.878533883999999</v>
      </c>
      <c r="N226" s="10">
        <v>19.334103823</v>
      </c>
    </row>
    <row r="227" spans="1:14" x14ac:dyDescent="0.25">
      <c r="A227" s="10">
        <v>2</v>
      </c>
      <c r="B227" s="13">
        <v>2.2916666666666665</v>
      </c>
      <c r="C227" s="10">
        <v>-1.268071036</v>
      </c>
      <c r="D227" s="10">
        <v>16.187346686000001</v>
      </c>
      <c r="E227" s="10">
        <v>8.2748284199999994E-2</v>
      </c>
      <c r="F227" s="10">
        <v>14.043963369</v>
      </c>
      <c r="G227" s="10">
        <v>14.277276856</v>
      </c>
      <c r="H227" s="10">
        <v>14.65428696</v>
      </c>
      <c r="I227" s="10">
        <v>15.337542177</v>
      </c>
      <c r="J227" s="10">
        <v>16.187346686000001</v>
      </c>
      <c r="K227" s="10">
        <v>17.152024977</v>
      </c>
      <c r="L227" s="10">
        <v>18.139970156</v>
      </c>
      <c r="M227" s="10">
        <v>18.795909991999999</v>
      </c>
      <c r="N227" s="10">
        <v>19.251630385999999</v>
      </c>
    </row>
    <row r="228" spans="1:14" x14ac:dyDescent="0.25">
      <c r="A228" s="10">
        <v>2</v>
      </c>
      <c r="B228" s="13">
        <v>2.375</v>
      </c>
      <c r="C228" s="10">
        <v>-1.354751525</v>
      </c>
      <c r="D228" s="10">
        <v>16.124754481</v>
      </c>
      <c r="E228" s="10">
        <v>8.2092737099999993E-2</v>
      </c>
      <c r="F228" s="10">
        <v>14.015380079</v>
      </c>
      <c r="G228" s="10">
        <v>14.244203025999999</v>
      </c>
      <c r="H228" s="10">
        <v>14.614336009000001</v>
      </c>
      <c r="I228" s="10">
        <v>15.286397170000001</v>
      </c>
      <c r="J228" s="10">
        <v>16.124754481</v>
      </c>
      <c r="K228" s="10">
        <v>17.080085563000001</v>
      </c>
      <c r="L228" s="10">
        <v>18.062853342</v>
      </c>
      <c r="M228" s="10">
        <v>18.717998385000001</v>
      </c>
      <c r="N228" s="10">
        <v>19.174475820000001</v>
      </c>
    </row>
    <row r="229" spans="1:14" x14ac:dyDescent="0.25">
      <c r="A229" s="10">
        <v>2</v>
      </c>
      <c r="B229" s="13">
        <v>2.4583333333333335</v>
      </c>
      <c r="C229" s="10">
        <v>-1.443689692</v>
      </c>
      <c r="D229" s="10">
        <v>16.064287622999998</v>
      </c>
      <c r="E229" s="10">
        <v>8.1487717200000004E-2</v>
      </c>
      <c r="F229" s="10">
        <v>13.987225686</v>
      </c>
      <c r="G229" s="10">
        <v>14.211749089</v>
      </c>
      <c r="H229" s="10">
        <v>14.57530775</v>
      </c>
      <c r="I229" s="10">
        <v>15.236711338999999</v>
      </c>
      <c r="J229" s="10">
        <v>16.064287622999998</v>
      </c>
      <c r="K229" s="10">
        <v>17.011074569000002</v>
      </c>
      <c r="L229" s="10">
        <v>17.989615950000001</v>
      </c>
      <c r="M229" s="10">
        <v>18.644718453999999</v>
      </c>
      <c r="N229" s="10">
        <v>19.102553916000002</v>
      </c>
    </row>
    <row r="230" spans="1:14" x14ac:dyDescent="0.25">
      <c r="A230" s="10">
        <v>2</v>
      </c>
      <c r="B230" s="13">
        <v>2.5416666666666665</v>
      </c>
      <c r="C230" s="10">
        <v>-1.5345419199999999</v>
      </c>
      <c r="D230" s="10">
        <v>16.005930007</v>
      </c>
      <c r="E230" s="10">
        <v>8.0932448200000007E-2</v>
      </c>
      <c r="F230" s="10">
        <v>13.959502455999999</v>
      </c>
      <c r="G230" s="10">
        <v>14.179917754</v>
      </c>
      <c r="H230" s="10">
        <v>14.537204367999999</v>
      </c>
      <c r="I230" s="10">
        <v>15.188481892</v>
      </c>
      <c r="J230" s="10">
        <v>16.005930007</v>
      </c>
      <c r="K230" s="10">
        <v>16.944952957000002</v>
      </c>
      <c r="L230" s="10">
        <v>17.920192311000001</v>
      </c>
      <c r="M230" s="10">
        <v>18.575990295</v>
      </c>
      <c r="N230" s="10">
        <v>19.035779478999999</v>
      </c>
    </row>
    <row r="231" spans="1:14" x14ac:dyDescent="0.25">
      <c r="A231" s="10">
        <v>2</v>
      </c>
      <c r="B231" s="13">
        <v>2.625</v>
      </c>
      <c r="C231" s="10">
        <v>-1.6269280930000001</v>
      </c>
      <c r="D231" s="10">
        <v>15.94966631</v>
      </c>
      <c r="E231" s="10">
        <v>8.0426175399999994E-2</v>
      </c>
      <c r="F231" s="10">
        <v>13.932212067</v>
      </c>
      <c r="G231" s="10">
        <v>14.148711113999999</v>
      </c>
      <c r="H231" s="10">
        <v>14.500027518</v>
      </c>
      <c r="I231" s="10">
        <v>15.141705982</v>
      </c>
      <c r="J231" s="10">
        <v>15.94966631</v>
      </c>
      <c r="K231" s="10">
        <v>16.881683081999999</v>
      </c>
      <c r="L231" s="10">
        <v>17.854517726000001</v>
      </c>
      <c r="M231" s="10">
        <v>18.511734022999999</v>
      </c>
      <c r="N231" s="10">
        <v>18.974066505</v>
      </c>
    </row>
    <row r="232" spans="1:14" x14ac:dyDescent="0.25">
      <c r="A232" s="10">
        <v>2</v>
      </c>
      <c r="B232" s="13">
        <v>2.7083333333333335</v>
      </c>
      <c r="C232" s="10">
        <v>-1.720434829</v>
      </c>
      <c r="D232" s="10">
        <v>15.895481969</v>
      </c>
      <c r="E232" s="10">
        <v>7.9968175799999999E-2</v>
      </c>
      <c r="F232" s="10">
        <v>13.905355619</v>
      </c>
      <c r="G232" s="10">
        <v>14.118130621000001</v>
      </c>
      <c r="H232" s="10">
        <v>14.463778266</v>
      </c>
      <c r="I232" s="10">
        <v>15.09638064</v>
      </c>
      <c r="J232" s="10">
        <v>15.895481969</v>
      </c>
      <c r="K232" s="10">
        <v>16.821228771000001</v>
      </c>
      <c r="L232" s="10">
        <v>17.79252859</v>
      </c>
      <c r="M232" s="10">
        <v>18.451869783999999</v>
      </c>
      <c r="N232" s="10">
        <v>18.917328006000002</v>
      </c>
    </row>
    <row r="233" spans="1:14" x14ac:dyDescent="0.25">
      <c r="A233" s="10">
        <v>2</v>
      </c>
      <c r="B233" s="13">
        <v>2.7916666666666665</v>
      </c>
      <c r="C233" s="10">
        <v>-1.8146352619999999</v>
      </c>
      <c r="D233" s="10">
        <v>15.843361791</v>
      </c>
      <c r="E233" s="10">
        <v>7.9557734800000002E-2</v>
      </c>
      <c r="F233" s="10">
        <v>13.878934916</v>
      </c>
      <c r="G233" s="10">
        <v>14.088177926</v>
      </c>
      <c r="H233" s="10">
        <v>14.428457281</v>
      </c>
      <c r="I233" s="10">
        <v>15.052502026000001</v>
      </c>
      <c r="J233" s="10">
        <v>15.843361791</v>
      </c>
      <c r="K233" s="10">
        <v>16.763553998999999</v>
      </c>
      <c r="L233" s="10">
        <v>17.734162012999999</v>
      </c>
      <c r="M233" s="10">
        <v>18.396318479000001</v>
      </c>
      <c r="N233" s="10">
        <v>18.865477706</v>
      </c>
    </row>
    <row r="234" spans="1:14" x14ac:dyDescent="0.25">
      <c r="A234" s="10">
        <v>2</v>
      </c>
      <c r="B234" s="13">
        <v>2.875</v>
      </c>
      <c r="C234" s="10">
        <v>-1.9090762619999999</v>
      </c>
      <c r="D234" s="10">
        <v>15.793291456</v>
      </c>
      <c r="E234" s="10">
        <v>7.9194186700000002E-2</v>
      </c>
      <c r="F234" s="10">
        <v>13.852950999999999</v>
      </c>
      <c r="G234" s="10">
        <v>14.058853901999999</v>
      </c>
      <c r="H234" s="10">
        <v>14.394064562000001</v>
      </c>
      <c r="I234" s="10">
        <v>15.01006617</v>
      </c>
      <c r="J234" s="10">
        <v>15.793291456</v>
      </c>
      <c r="K234" s="10">
        <v>16.708624489000002</v>
      </c>
      <c r="L234" s="10">
        <v>17.679356461000001</v>
      </c>
      <c r="M234" s="10">
        <v>18.345000986999999</v>
      </c>
      <c r="N234" s="10">
        <v>18.818427839000002</v>
      </c>
    </row>
    <row r="235" spans="1:14" x14ac:dyDescent="0.25">
      <c r="A235" s="10">
        <v>2</v>
      </c>
      <c r="B235" s="13">
        <v>2.9583333333333335</v>
      </c>
      <c r="C235" s="10">
        <v>-2.0032961020000002</v>
      </c>
      <c r="D235" s="10">
        <v>15.745256400000001</v>
      </c>
      <c r="E235" s="10">
        <v>7.8876894599999997E-2</v>
      </c>
      <c r="F235" s="10">
        <v>13.827405171000001</v>
      </c>
      <c r="G235" s="10">
        <v>14.030159316000001</v>
      </c>
      <c r="H235" s="10">
        <v>14.360599593</v>
      </c>
      <c r="I235" s="10">
        <v>14.969068383</v>
      </c>
      <c r="J235" s="10">
        <v>15.745256400000001</v>
      </c>
      <c r="K235" s="10">
        <v>16.656406634</v>
      </c>
      <c r="L235" s="10">
        <v>17.628051459999998</v>
      </c>
      <c r="M235" s="10">
        <v>18.297838760000001</v>
      </c>
      <c r="N235" s="10">
        <v>18.776090500999999</v>
      </c>
    </row>
    <row r="236" spans="1:14" x14ac:dyDescent="0.25">
      <c r="A236" s="10">
        <v>2</v>
      </c>
      <c r="B236" s="13">
        <v>3.0416666666666665</v>
      </c>
      <c r="C236" s="10">
        <v>-2.0968289370000002</v>
      </c>
      <c r="D236" s="10">
        <v>15.699241878</v>
      </c>
      <c r="E236" s="10">
        <v>7.8605255099999993E-2</v>
      </c>
      <c r="F236" s="10">
        <v>13.80229888</v>
      </c>
      <c r="G236" s="10">
        <v>14.002094761</v>
      </c>
      <c r="H236" s="10">
        <v>14.328061331000001</v>
      </c>
      <c r="I236" s="10">
        <v>14.929503293</v>
      </c>
      <c r="J236" s="10">
        <v>15.699241878</v>
      </c>
      <c r="K236" s="10">
        <v>16.606867606000002</v>
      </c>
      <c r="L236" s="10">
        <v>17.580187701</v>
      </c>
      <c r="M236" s="10">
        <v>18.254753806</v>
      </c>
      <c r="N236" s="10">
        <v>18.738377432</v>
      </c>
    </row>
    <row r="237" spans="1:14" x14ac:dyDescent="0.25">
      <c r="A237" s="10">
        <v>2</v>
      </c>
      <c r="B237" s="13">
        <v>3.125</v>
      </c>
      <c r="C237" s="10">
        <v>-2.189211877</v>
      </c>
      <c r="D237" s="10">
        <v>15.655232823</v>
      </c>
      <c r="E237" s="10">
        <v>7.8378696400000003E-2</v>
      </c>
      <c r="F237" s="10">
        <v>13.777633819</v>
      </c>
      <c r="G237" s="10">
        <v>13.974660728</v>
      </c>
      <c r="H237" s="10">
        <v>14.296448227999999</v>
      </c>
      <c r="I237" s="10">
        <v>14.891364776</v>
      </c>
      <c r="J237" s="10">
        <v>15.655232823</v>
      </c>
      <c r="K237" s="10">
        <v>16.559975225999999</v>
      </c>
      <c r="L237" s="10">
        <v>17.535707052999999</v>
      </c>
      <c r="M237" s="10">
        <v>18.215668785999998</v>
      </c>
      <c r="N237" s="10">
        <v>18.705200107</v>
      </c>
    </row>
    <row r="238" spans="1:14" x14ac:dyDescent="0.25">
      <c r="A238" s="10">
        <v>2</v>
      </c>
      <c r="B238" s="13">
        <v>3.2083333333333335</v>
      </c>
      <c r="C238" s="10">
        <v>-2.2799919819999999</v>
      </c>
      <c r="D238" s="10">
        <v>15.613213709</v>
      </c>
      <c r="E238" s="10">
        <v>7.8196674300000005E-2</v>
      </c>
      <c r="F238" s="10">
        <v>13.753412006</v>
      </c>
      <c r="G238" s="10">
        <v>13.947857672</v>
      </c>
      <c r="H238" s="10">
        <v>14.265758269999999</v>
      </c>
      <c r="I238" s="10">
        <v>14.854645913000001</v>
      </c>
      <c r="J238" s="10">
        <v>15.613213709</v>
      </c>
      <c r="K238" s="10">
        <v>16.515697825</v>
      </c>
      <c r="L238" s="10">
        <v>17.494552558999999</v>
      </c>
      <c r="M238" s="10">
        <v>18.180507113000001</v>
      </c>
      <c r="N238" s="10">
        <v>18.67646985</v>
      </c>
    </row>
    <row r="239" spans="1:14" x14ac:dyDescent="0.25">
      <c r="A239" s="10">
        <v>2</v>
      </c>
      <c r="B239" s="13">
        <v>3.2916666666666665</v>
      </c>
      <c r="C239" s="10">
        <v>-2.368732949</v>
      </c>
      <c r="D239" s="10">
        <v>15.573168427000001</v>
      </c>
      <c r="E239" s="10">
        <v>7.8058666999999998E-2</v>
      </c>
      <c r="F239" s="10">
        <v>13.729635856</v>
      </c>
      <c r="G239" s="10">
        <v>13.921686083999999</v>
      </c>
      <c r="H239" s="10">
        <v>14.235989016</v>
      </c>
      <c r="I239" s="10">
        <v>14.819338961</v>
      </c>
      <c r="J239" s="10">
        <v>15.573168427000001</v>
      </c>
      <c r="K239" s="10">
        <v>16.474004102999999</v>
      </c>
      <c r="L239" s="10">
        <v>17.456668414999999</v>
      </c>
      <c r="M239" s="10">
        <v>18.149193044</v>
      </c>
      <c r="N239" s="10">
        <v>18.652097959999999</v>
      </c>
    </row>
    <row r="240" spans="1:14" x14ac:dyDescent="0.25">
      <c r="A240" s="10">
        <v>2</v>
      </c>
      <c r="B240" s="13">
        <v>3.375</v>
      </c>
      <c r="C240" s="10">
        <v>-2.4550213140000001</v>
      </c>
      <c r="D240" s="10">
        <v>15.53508019</v>
      </c>
      <c r="E240" s="10">
        <v>7.7964169E-2</v>
      </c>
      <c r="F240" s="10">
        <v>13.706308243000001</v>
      </c>
      <c r="G240" s="10">
        <v>13.896146549999999</v>
      </c>
      <c r="H240" s="10">
        <v>14.207137655</v>
      </c>
      <c r="I240" s="10">
        <v>14.785435347</v>
      </c>
      <c r="J240" s="10">
        <v>15.53508019</v>
      </c>
      <c r="K240" s="10">
        <v>16.434862979999998</v>
      </c>
      <c r="L240" s="10">
        <v>17.421999927000002</v>
      </c>
      <c r="M240" s="10">
        <v>18.121651761999999</v>
      </c>
      <c r="N240" s="10">
        <v>18.631995847999999</v>
      </c>
    </row>
    <row r="241" spans="1:14" x14ac:dyDescent="0.25">
      <c r="A241" s="10">
        <v>2</v>
      </c>
      <c r="B241" s="13">
        <v>3.4583333333333335</v>
      </c>
      <c r="C241" s="10">
        <v>-2.538471972</v>
      </c>
      <c r="D241" s="10">
        <v>15.498931449000001</v>
      </c>
      <c r="E241" s="10">
        <v>7.7912683699999999E-2</v>
      </c>
      <c r="F241" s="10">
        <v>13.683432543</v>
      </c>
      <c r="G241" s="10">
        <v>13.871239805</v>
      </c>
      <c r="H241" s="10">
        <v>14.179201053</v>
      </c>
      <c r="I241" s="10">
        <v>14.752925677</v>
      </c>
      <c r="J241" s="10">
        <v>15.498931449000001</v>
      </c>
      <c r="K241" s="10">
        <v>16.398243466</v>
      </c>
      <c r="L241" s="10">
        <v>17.390493464999999</v>
      </c>
      <c r="M241" s="10">
        <v>18.097809453</v>
      </c>
      <c r="N241" s="10">
        <v>18.616075181999999</v>
      </c>
    </row>
    <row r="242" spans="1:14" x14ac:dyDescent="0.25">
      <c r="A242" s="10">
        <v>2</v>
      </c>
      <c r="B242" s="13">
        <v>3.5416666666666665</v>
      </c>
      <c r="C242" s="10">
        <v>-2.618732901</v>
      </c>
      <c r="D242" s="10">
        <v>15.464703844000001</v>
      </c>
      <c r="E242" s="10">
        <v>7.7903715600000006E-2</v>
      </c>
      <c r="F242" s="10">
        <v>13.661012662999999</v>
      </c>
      <c r="G242" s="10">
        <v>13.846966782000001</v>
      </c>
      <c r="H242" s="10">
        <v>14.152175814</v>
      </c>
      <c r="I242" s="10">
        <v>14.721799767</v>
      </c>
      <c r="J242" s="10">
        <v>15.464703844000001</v>
      </c>
      <c r="K242" s="10">
        <v>16.364114526000002</v>
      </c>
      <c r="L242" s="10">
        <v>17.362096391000001</v>
      </c>
      <c r="M242" s="10">
        <v>18.077593361000002</v>
      </c>
      <c r="N242" s="10">
        <v>18.604248022</v>
      </c>
    </row>
    <row r="243" spans="1:14" x14ac:dyDescent="0.25">
      <c r="A243" s="10">
        <v>2</v>
      </c>
      <c r="B243" s="13">
        <v>3.625</v>
      </c>
      <c r="C243" s="10">
        <v>-2.6954889729999998</v>
      </c>
      <c r="D243" s="10">
        <v>15.432378168</v>
      </c>
      <c r="E243" s="10">
        <v>7.7936762800000003E-2</v>
      </c>
      <c r="F243" s="10">
        <v>13.639053056</v>
      </c>
      <c r="G243" s="10">
        <v>13.823328646</v>
      </c>
      <c r="H243" s="10">
        <v>14.126058333</v>
      </c>
      <c r="I243" s="10">
        <v>14.692046682000001</v>
      </c>
      <c r="J243" s="10">
        <v>15.432378168</v>
      </c>
      <c r="K243" s="10">
        <v>16.332444970000001</v>
      </c>
      <c r="L243" s="10">
        <v>17.336756988000001</v>
      </c>
      <c r="M243" s="10">
        <v>18.060931839999999</v>
      </c>
      <c r="N243" s="10">
        <v>18.596426961999999</v>
      </c>
    </row>
    <row r="244" spans="1:14" x14ac:dyDescent="0.25">
      <c r="A244" s="10">
        <v>2</v>
      </c>
      <c r="B244" s="13">
        <v>3.7083333333333335</v>
      </c>
      <c r="C244" s="10">
        <v>-2.7684648159999998</v>
      </c>
      <c r="D244" s="10">
        <v>15.401934364000001</v>
      </c>
      <c r="E244" s="10">
        <v>7.8011309000000001E-2</v>
      </c>
      <c r="F244" s="10">
        <v>13.61755872</v>
      </c>
      <c r="G244" s="10">
        <v>13.800326818</v>
      </c>
      <c r="H244" s="10">
        <v>14.100844852</v>
      </c>
      <c r="I244" s="10">
        <v>14.663654798</v>
      </c>
      <c r="J244" s="10">
        <v>15.401934364000001</v>
      </c>
      <c r="K244" s="10">
        <v>16.303203361000001</v>
      </c>
      <c r="L244" s="10">
        <v>17.314424377000002</v>
      </c>
      <c r="M244" s="10">
        <v>18.047754376</v>
      </c>
      <c r="N244" s="10">
        <v>18.592525256999998</v>
      </c>
    </row>
    <row r="245" spans="1:14" x14ac:dyDescent="0.25">
      <c r="A245" s="10">
        <v>2</v>
      </c>
      <c r="B245" s="13">
        <v>3.7916666666666665</v>
      </c>
      <c r="C245" s="10">
        <v>-2.8374266929999998</v>
      </c>
      <c r="D245" s="10">
        <v>15.373351541</v>
      </c>
      <c r="E245" s="10">
        <v>7.8126817200000004E-2</v>
      </c>
      <c r="F245" s="10">
        <v>13.596535179</v>
      </c>
      <c r="G245" s="10">
        <v>13.777962993999999</v>
      </c>
      <c r="H245" s="10">
        <v>14.076531506</v>
      </c>
      <c r="I245" s="10">
        <v>14.636611864000001</v>
      </c>
      <c r="J245" s="10">
        <v>15.373351541</v>
      </c>
      <c r="K245" s="10">
        <v>16.276357932</v>
      </c>
      <c r="L245" s="10">
        <v>17.295048432000002</v>
      </c>
      <c r="M245" s="10">
        <v>18.037991606999999</v>
      </c>
      <c r="N245" s="10">
        <v>18.592456940999998</v>
      </c>
    </row>
    <row r="246" spans="1:14" x14ac:dyDescent="0.25">
      <c r="A246" s="10">
        <v>2</v>
      </c>
      <c r="B246" s="13">
        <v>3.875</v>
      </c>
      <c r="C246" s="10">
        <v>-2.9021782049999998</v>
      </c>
      <c r="D246" s="10">
        <v>15.346608415</v>
      </c>
      <c r="E246" s="10">
        <v>7.8282739300000001E-2</v>
      </c>
      <c r="F246" s="10">
        <v>13.575988043000001</v>
      </c>
      <c r="G246" s="10">
        <v>13.756238848000001</v>
      </c>
      <c r="H246" s="10">
        <v>14.053114249</v>
      </c>
      <c r="I246" s="10">
        <v>14.610905234000001</v>
      </c>
      <c r="J246" s="10">
        <v>15.346608415</v>
      </c>
      <c r="K246" s="10">
        <v>16.251877026999999</v>
      </c>
      <c r="L246" s="10">
        <v>17.278579949000001</v>
      </c>
      <c r="M246" s="10">
        <v>18.03157513</v>
      </c>
      <c r="N246" s="10">
        <v>18.596136244</v>
      </c>
    </row>
    <row r="247" spans="1:14" x14ac:dyDescent="0.25">
      <c r="A247" s="10">
        <v>2</v>
      </c>
      <c r="B247" s="13">
        <v>3.9583333333333335</v>
      </c>
      <c r="C247" s="10">
        <v>-2.962580386</v>
      </c>
      <c r="D247" s="10">
        <v>15.321681814</v>
      </c>
      <c r="E247" s="10">
        <v>7.8478448500000006E-2</v>
      </c>
      <c r="F247" s="10">
        <v>13.555924551</v>
      </c>
      <c r="G247" s="10">
        <v>13.735157169000001</v>
      </c>
      <c r="H247" s="10">
        <v>14.030589356</v>
      </c>
      <c r="I247" s="10">
        <v>14.586521342999999</v>
      </c>
      <c r="J247" s="10">
        <v>15.321681814</v>
      </c>
      <c r="K247" s="10">
        <v>16.229727186000002</v>
      </c>
      <c r="L247" s="10">
        <v>17.264969598</v>
      </c>
      <c r="M247" s="10">
        <v>18.028438215000001</v>
      </c>
      <c r="N247" s="10">
        <v>18.603480298000001</v>
      </c>
    </row>
    <row r="248" spans="1:14" x14ac:dyDescent="0.25">
      <c r="A248" s="10">
        <v>2</v>
      </c>
      <c r="B248" s="13">
        <v>4.041666666666667</v>
      </c>
      <c r="C248" s="10">
        <v>-3.0185219870000002</v>
      </c>
      <c r="D248" s="10">
        <v>15.298548972000001</v>
      </c>
      <c r="E248" s="10">
        <v>7.8713324599999995E-2</v>
      </c>
      <c r="F248" s="10">
        <v>13.536351244</v>
      </c>
      <c r="G248" s="10">
        <v>13.714720206999999</v>
      </c>
      <c r="H248" s="10">
        <v>14.008952792000001</v>
      </c>
      <c r="I248" s="10">
        <v>14.563446653</v>
      </c>
      <c r="J248" s="10">
        <v>15.298548972000001</v>
      </c>
      <c r="K248" s="10">
        <v>16.209875826000001</v>
      </c>
      <c r="L248" s="10">
        <v>17.254169220000001</v>
      </c>
      <c r="M248" s="10">
        <v>18.028514727000001</v>
      </c>
      <c r="N248" s="10">
        <v>18.614405448999999</v>
      </c>
    </row>
    <row r="249" spans="1:14" x14ac:dyDescent="0.25">
      <c r="A249" s="10">
        <v>2</v>
      </c>
      <c r="B249" s="13">
        <v>4.125</v>
      </c>
      <c r="C249" s="10">
        <v>-3.069936555</v>
      </c>
      <c r="D249" s="10">
        <v>15.277186178999999</v>
      </c>
      <c r="E249" s="10">
        <v>7.8986693799999994E-2</v>
      </c>
      <c r="F249" s="10">
        <v>13.517275373</v>
      </c>
      <c r="G249" s="10">
        <v>13.694930704000001</v>
      </c>
      <c r="H249" s="10">
        <v>13.988200661</v>
      </c>
      <c r="I249" s="10">
        <v>14.541667175000001</v>
      </c>
      <c r="J249" s="10">
        <v>15.277186178999999</v>
      </c>
      <c r="K249" s="10">
        <v>16.192289514999999</v>
      </c>
      <c r="L249" s="10">
        <v>17.246130879999999</v>
      </c>
      <c r="M249" s="10">
        <v>18.031739765000001</v>
      </c>
      <c r="N249" s="10">
        <v>18.628829713999998</v>
      </c>
    </row>
    <row r="250" spans="1:14" x14ac:dyDescent="0.25">
      <c r="A250" s="10">
        <v>2</v>
      </c>
      <c r="B250" s="13">
        <v>4.208333333333333</v>
      </c>
      <c r="C250" s="10">
        <v>-3.1167958640000002</v>
      </c>
      <c r="D250" s="10">
        <v>15.257569203999999</v>
      </c>
      <c r="E250" s="10">
        <v>7.9297840499999994E-2</v>
      </c>
      <c r="F250" s="10">
        <v>13.498704485999999</v>
      </c>
      <c r="G250" s="10">
        <v>13.675791616</v>
      </c>
      <c r="H250" s="10">
        <v>13.968329123</v>
      </c>
      <c r="I250" s="10">
        <v>14.521168674</v>
      </c>
      <c r="J250" s="10">
        <v>15.257569203999999</v>
      </c>
      <c r="K250" s="10">
        <v>16.176934406000001</v>
      </c>
      <c r="L250" s="10">
        <v>17.240807008000001</v>
      </c>
      <c r="M250" s="10">
        <v>18.038049459</v>
      </c>
      <c r="N250" s="10">
        <v>18.646672251999998</v>
      </c>
    </row>
    <row r="251" spans="1:14" x14ac:dyDescent="0.25">
      <c r="A251" s="10">
        <v>2</v>
      </c>
      <c r="B251" s="13">
        <v>4.291666666666667</v>
      </c>
      <c r="C251" s="10">
        <v>-3.159107331</v>
      </c>
      <c r="D251" s="10">
        <v>15.239673384</v>
      </c>
      <c r="E251" s="10">
        <v>7.9646006000000005E-2</v>
      </c>
      <c r="F251" s="10">
        <v>13.480646369</v>
      </c>
      <c r="G251" s="10">
        <v>13.657306081</v>
      </c>
      <c r="H251" s="10">
        <v>13.949334411000001</v>
      </c>
      <c r="I251" s="10">
        <v>14.501936743</v>
      </c>
      <c r="J251" s="10">
        <v>15.239673384</v>
      </c>
      <c r="K251" s="10">
        <v>16.163776260999999</v>
      </c>
      <c r="L251" s="10">
        <v>17.238150343000001</v>
      </c>
      <c r="M251" s="10">
        <v>18.047380913000001</v>
      </c>
      <c r="N251" s="10">
        <v>18.667853383000001</v>
      </c>
    </row>
    <row r="252" spans="1:14" x14ac:dyDescent="0.25">
      <c r="A252" s="10">
        <v>2</v>
      </c>
      <c r="B252" s="13">
        <v>4.375</v>
      </c>
      <c r="C252" s="10">
        <v>-3.1969110829999998</v>
      </c>
      <c r="D252" s="10">
        <v>15.22347371</v>
      </c>
      <c r="E252" s="10">
        <v>8.0030388699999996E-2</v>
      </c>
      <c r="F252" s="10">
        <v>13.463108985</v>
      </c>
      <c r="G252" s="10">
        <v>13.639477386999999</v>
      </c>
      <c r="H252" s="10">
        <v>13.931212834</v>
      </c>
      <c r="I252" s="10">
        <v>14.483956859999999</v>
      </c>
      <c r="J252" s="10">
        <v>15.22347371</v>
      </c>
      <c r="K252" s="10">
        <v>16.152780494000002</v>
      </c>
      <c r="L252" s="10">
        <v>17.238113886000001</v>
      </c>
      <c r="M252" s="10">
        <v>18.059672159000002</v>
      </c>
      <c r="N252" s="10">
        <v>18.692294602</v>
      </c>
    </row>
    <row r="253" spans="1:14" x14ac:dyDescent="0.25">
      <c r="A253" s="10">
        <v>2</v>
      </c>
      <c r="B253" s="13">
        <v>4.458333333333333</v>
      </c>
      <c r="C253" s="10">
        <v>-3.2302767590000001</v>
      </c>
      <c r="D253" s="10">
        <v>15.208944906999999</v>
      </c>
      <c r="E253" s="10">
        <v>8.0450144900000006E-2</v>
      </c>
      <c r="F253" s="10">
        <v>13.446100408</v>
      </c>
      <c r="G253" s="10">
        <v>13.622308935</v>
      </c>
      <c r="H253" s="10">
        <v>13.913960785</v>
      </c>
      <c r="I253" s="10">
        <v>14.467214453</v>
      </c>
      <c r="J253" s="10">
        <v>15.208944906999999</v>
      </c>
      <c r="K253" s="10">
        <v>16.143912214</v>
      </c>
      <c r="L253" s="10">
        <v>17.240650858999999</v>
      </c>
      <c r="M253" s="10">
        <v>18.074862097</v>
      </c>
      <c r="N253" s="10">
        <v>18.719918587999999</v>
      </c>
    </row>
    <row r="254" spans="1:14" x14ac:dyDescent="0.25">
      <c r="A254" s="10">
        <v>2</v>
      </c>
      <c r="B254" s="13">
        <v>4.541666666666667</v>
      </c>
      <c r="C254" s="10">
        <v>-3.259300182</v>
      </c>
      <c r="D254" s="10">
        <v>15.196061520000001</v>
      </c>
      <c r="E254" s="10">
        <v>8.0904390500000006E-2</v>
      </c>
      <c r="F254" s="10">
        <v>13.429628772999999</v>
      </c>
      <c r="G254" s="10">
        <v>13.605804206</v>
      </c>
      <c r="H254" s="10">
        <v>13.897574734999999</v>
      </c>
      <c r="I254" s="10">
        <v>14.451694946</v>
      </c>
      <c r="J254" s="10">
        <v>15.196061520000001</v>
      </c>
      <c r="K254" s="10">
        <v>16.137136281</v>
      </c>
      <c r="L254" s="10">
        <v>17.245714672999998</v>
      </c>
      <c r="M254" s="10">
        <v>18.092890444999998</v>
      </c>
      <c r="N254" s="10">
        <v>18.750649190000001</v>
      </c>
    </row>
    <row r="255" spans="1:14" x14ac:dyDescent="0.25">
      <c r="A255" s="10">
        <v>2</v>
      </c>
      <c r="B255" s="13">
        <v>4.625</v>
      </c>
      <c r="C255" s="10">
        <v>-3.2840999630000001</v>
      </c>
      <c r="D255" s="10">
        <v>15.184797987</v>
      </c>
      <c r="E255" s="10">
        <v>8.1392202699999999E-2</v>
      </c>
      <c r="F255" s="10">
        <v>13.413702215000001</v>
      </c>
      <c r="G255" s="10">
        <v>13.589966725</v>
      </c>
      <c r="H255" s="10">
        <v>13.882051234</v>
      </c>
      <c r="I255" s="10">
        <v>14.437383800999999</v>
      </c>
      <c r="J255" s="10">
        <v>15.184797987</v>
      </c>
      <c r="K255" s="10">
        <v>16.132417356000001</v>
      </c>
      <c r="L255" s="10">
        <v>17.25325891</v>
      </c>
      <c r="M255" s="10">
        <v>18.113697680000001</v>
      </c>
      <c r="N255" s="10">
        <v>18.784411416000001</v>
      </c>
    </row>
    <row r="256" spans="1:14" x14ac:dyDescent="0.25">
      <c r="A256" s="10">
        <v>2</v>
      </c>
      <c r="B256" s="13">
        <v>4.708333333333333</v>
      </c>
      <c r="C256" s="10">
        <v>-3.3048141499999999</v>
      </c>
      <c r="D256" s="10">
        <v>15.175128708000001</v>
      </c>
      <c r="E256" s="10">
        <v>8.1912623200000007E-2</v>
      </c>
      <c r="F256" s="10">
        <v>13.39832882</v>
      </c>
      <c r="G256" s="10">
        <v>13.574800023</v>
      </c>
      <c r="H256" s="10">
        <v>13.867386897999999</v>
      </c>
      <c r="I256" s="10">
        <v>14.424266555999999</v>
      </c>
      <c r="J256" s="10">
        <v>15.175128708000001</v>
      </c>
      <c r="K256" s="10">
        <v>16.129719962999999</v>
      </c>
      <c r="L256" s="10">
        <v>17.263237299</v>
      </c>
      <c r="M256" s="10">
        <v>18.137224989</v>
      </c>
      <c r="N256" s="10">
        <v>18.821131412</v>
      </c>
    </row>
    <row r="257" spans="1:14" x14ac:dyDescent="0.25">
      <c r="A257" s="10">
        <v>2</v>
      </c>
      <c r="B257" s="13">
        <v>4.791666666666667</v>
      </c>
      <c r="C257" s="10">
        <v>-3.3215969539999999</v>
      </c>
      <c r="D257" s="10">
        <v>15.167028107</v>
      </c>
      <c r="E257" s="10">
        <v>8.2464660800000006E-2</v>
      </c>
      <c r="F257" s="10">
        <v>13.383516577</v>
      </c>
      <c r="G257" s="10">
        <v>13.560307612000001</v>
      </c>
      <c r="H257" s="10">
        <v>13.853578403</v>
      </c>
      <c r="I257" s="10">
        <v>14.412328855</v>
      </c>
      <c r="J257" s="10">
        <v>15.167028107</v>
      </c>
      <c r="K257" s="10">
        <v>16.129008536000001</v>
      </c>
      <c r="L257" s="10">
        <v>17.275603716999999</v>
      </c>
      <c r="M257" s="10">
        <v>18.163414224</v>
      </c>
      <c r="N257" s="10">
        <v>18.86073644</v>
      </c>
    </row>
    <row r="258" spans="1:14" x14ac:dyDescent="0.25">
      <c r="A258" s="10">
        <v>2</v>
      </c>
      <c r="B258" s="13">
        <v>4.875</v>
      </c>
      <c r="C258" s="10">
        <v>-3.334615646</v>
      </c>
      <c r="D258" s="10">
        <v>15.160470684</v>
      </c>
      <c r="E258" s="10">
        <v>8.3047294600000002E-2</v>
      </c>
      <c r="F258" s="10">
        <v>13.369273339999999</v>
      </c>
      <c r="G258" s="10">
        <v>13.546492948999999</v>
      </c>
      <c r="H258" s="10">
        <v>13.840622473</v>
      </c>
      <c r="I258" s="10">
        <v>14.401556469999999</v>
      </c>
      <c r="J258" s="10">
        <v>15.160470684</v>
      </c>
      <c r="K258" s="10">
        <v>16.130247479000001</v>
      </c>
      <c r="L258" s="10">
        <v>17.290312174</v>
      </c>
      <c r="M258" s="10">
        <v>18.192207854999999</v>
      </c>
      <c r="N258" s="10">
        <v>18.903154848</v>
      </c>
    </row>
    <row r="259" spans="1:14" x14ac:dyDescent="0.25">
      <c r="A259" s="10">
        <v>2</v>
      </c>
      <c r="B259" s="13">
        <v>4.958333333333333</v>
      </c>
      <c r="C259" s="10">
        <v>-3.3440476220000002</v>
      </c>
      <c r="D259" s="10">
        <v>15.155431067</v>
      </c>
      <c r="E259" s="10">
        <v>8.3659477499999996E-2</v>
      </c>
      <c r="F259" s="10">
        <v>13.355606787999999</v>
      </c>
      <c r="G259" s="10">
        <v>13.533359409999999</v>
      </c>
      <c r="H259" s="10">
        <v>13.828515869</v>
      </c>
      <c r="I259" s="10">
        <v>14.391935319</v>
      </c>
      <c r="J259" s="10">
        <v>15.155431067</v>
      </c>
      <c r="K259" s="10">
        <v>16.133401213999999</v>
      </c>
      <c r="L259" s="10">
        <v>17.307316823000001</v>
      </c>
      <c r="M259" s="10">
        <v>18.223548932</v>
      </c>
      <c r="N259" s="10">
        <v>18.948316041000002</v>
      </c>
    </row>
    <row r="260" spans="1:14" x14ac:dyDescent="0.25">
      <c r="A260" s="10">
        <v>2</v>
      </c>
      <c r="B260" s="13">
        <v>5.041666666666667</v>
      </c>
      <c r="C260" s="10">
        <v>-3.3500777099999999</v>
      </c>
      <c r="D260" s="10">
        <v>15.15188405</v>
      </c>
      <c r="E260" s="10">
        <v>8.4300139400000001E-2</v>
      </c>
      <c r="F260" s="10">
        <v>13.342524394</v>
      </c>
      <c r="G260" s="10">
        <v>13.520910267</v>
      </c>
      <c r="H260" s="10">
        <v>13.817255378</v>
      </c>
      <c r="I260" s="10">
        <v>14.383451481</v>
      </c>
      <c r="J260" s="10">
        <v>15.15188405</v>
      </c>
      <c r="K260" s="10">
        <v>16.138434225000001</v>
      </c>
      <c r="L260" s="10">
        <v>17.326571960999999</v>
      </c>
      <c r="M260" s="10">
        <v>18.257381050999999</v>
      </c>
      <c r="N260" s="10">
        <v>18.996150454999999</v>
      </c>
    </row>
    <row r="261" spans="1:14" x14ac:dyDescent="0.25">
      <c r="A261" s="10">
        <v>2</v>
      </c>
      <c r="B261" s="13">
        <v>5.125</v>
      </c>
      <c r="C261" s="10">
        <v>-3.3528938049999999</v>
      </c>
      <c r="D261" s="10">
        <v>15.149804788000001</v>
      </c>
      <c r="E261" s="10">
        <v>8.4968199600000002E-2</v>
      </c>
      <c r="F261" s="10">
        <v>13.330033218000001</v>
      </c>
      <c r="G261" s="10">
        <v>13.509148527000001</v>
      </c>
      <c r="H261" s="10">
        <v>13.806837729</v>
      </c>
      <c r="I261" s="10">
        <v>14.376091247</v>
      </c>
      <c r="J261" s="10">
        <v>15.149804788000001</v>
      </c>
      <c r="K261" s="10">
        <v>16.145311330999998</v>
      </c>
      <c r="L261" s="10">
        <v>17.348032183000001</v>
      </c>
      <c r="M261" s="10">
        <v>18.293648259000001</v>
      </c>
      <c r="N261" s="10">
        <v>19.046589180000002</v>
      </c>
    </row>
    <row r="262" spans="1:14" x14ac:dyDescent="0.25">
      <c r="A262" s="10">
        <v>2</v>
      </c>
      <c r="B262" s="13">
        <v>5.208333333333333</v>
      </c>
      <c r="C262" s="10">
        <v>-3.3526913760000001</v>
      </c>
      <c r="D262" s="10">
        <v>15.149168250000001</v>
      </c>
      <c r="E262" s="10">
        <v>8.5662538999999996E-2</v>
      </c>
      <c r="F262" s="10">
        <v>13.318140526000001</v>
      </c>
      <c r="G262" s="10">
        <v>13.498077398</v>
      </c>
      <c r="H262" s="10">
        <v>13.797259823999999</v>
      </c>
      <c r="I262" s="10">
        <v>14.369840963</v>
      </c>
      <c r="J262" s="10">
        <v>15.149168250000001</v>
      </c>
      <c r="K262" s="10">
        <v>16.153996920000001</v>
      </c>
      <c r="L262" s="10">
        <v>17.371651874000001</v>
      </c>
      <c r="M262" s="10">
        <v>18.332295253000002</v>
      </c>
      <c r="N262" s="10">
        <v>19.099565141999999</v>
      </c>
    </row>
    <row r="263" spans="1:14" x14ac:dyDescent="0.25">
      <c r="A263" s="10">
        <v>2</v>
      </c>
      <c r="B263" s="13">
        <v>5.291666666666667</v>
      </c>
      <c r="C263" s="10">
        <v>-3.3496643800000001</v>
      </c>
      <c r="D263" s="10">
        <v>15.149949834999999</v>
      </c>
      <c r="E263" s="10">
        <v>8.6382034999999996E-2</v>
      </c>
      <c r="F263" s="10">
        <v>13.306853096999999</v>
      </c>
      <c r="G263" s="10">
        <v>13.487699767000001</v>
      </c>
      <c r="H263" s="10">
        <v>13.788518477</v>
      </c>
      <c r="I263" s="10">
        <v>14.364687203000001</v>
      </c>
      <c r="J263" s="10">
        <v>15.149949834999999</v>
      </c>
      <c r="K263" s="10">
        <v>16.164455811</v>
      </c>
      <c r="L263" s="10">
        <v>17.397385752999998</v>
      </c>
      <c r="M263" s="10">
        <v>18.373267125999998</v>
      </c>
      <c r="N263" s="10">
        <v>19.155011829999999</v>
      </c>
    </row>
    <row r="264" spans="1:14" x14ac:dyDescent="0.25">
      <c r="A264" s="10">
        <v>2</v>
      </c>
      <c r="B264" s="13">
        <v>5.375</v>
      </c>
      <c r="C264" s="10">
        <v>-3.3439988029999999</v>
      </c>
      <c r="D264" s="10">
        <v>15.152125851999999</v>
      </c>
      <c r="E264" s="10">
        <v>8.7125590899999994E-2</v>
      </c>
      <c r="F264" s="10">
        <v>13.296176730999999</v>
      </c>
      <c r="G264" s="10">
        <v>13.47801782</v>
      </c>
      <c r="H264" s="10">
        <v>13.78061022</v>
      </c>
      <c r="I264" s="10">
        <v>14.360616901</v>
      </c>
      <c r="J264" s="10">
        <v>15.152125851999999</v>
      </c>
      <c r="K264" s="10">
        <v>16.176653938000001</v>
      </c>
      <c r="L264" s="10">
        <v>17.425189324000002</v>
      </c>
      <c r="M264" s="10">
        <v>18.416509179999998</v>
      </c>
      <c r="N264" s="10">
        <v>19.212862288</v>
      </c>
    </row>
    <row r="265" spans="1:14" x14ac:dyDescent="0.25">
      <c r="A265" s="10">
        <v>2</v>
      </c>
      <c r="B265" s="13">
        <v>5.458333333333333</v>
      </c>
      <c r="C265" s="10">
        <v>-3.3358895739999999</v>
      </c>
      <c r="D265" s="10">
        <v>15.155671862</v>
      </c>
      <c r="E265" s="10">
        <v>8.7892046599999996E-2</v>
      </c>
      <c r="F265" s="10">
        <v>13.286118046</v>
      </c>
      <c r="G265" s="10">
        <v>13.469034401</v>
      </c>
      <c r="H265" s="10">
        <v>13.773531971000001</v>
      </c>
      <c r="I265" s="10">
        <v>14.357616867000001</v>
      </c>
      <c r="J265" s="10">
        <v>15.155671862</v>
      </c>
      <c r="K265" s="10">
        <v>16.190556027</v>
      </c>
      <c r="L265" s="10">
        <v>17.455017345000002</v>
      </c>
      <c r="M265" s="10">
        <v>18.461967542</v>
      </c>
      <c r="N265" s="10">
        <v>19.273052614000001</v>
      </c>
    </row>
    <row r="266" spans="1:14" x14ac:dyDescent="0.25">
      <c r="A266" s="10">
        <v>2</v>
      </c>
      <c r="B266" s="13">
        <v>5.541666666666667</v>
      </c>
      <c r="C266" s="10">
        <v>-3.3255224910000001</v>
      </c>
      <c r="D266" s="10">
        <v>15.160564192000001</v>
      </c>
      <c r="E266" s="10">
        <v>8.8680264300000006E-2</v>
      </c>
      <c r="F266" s="10">
        <v>13.276682823</v>
      </c>
      <c r="G266" s="10">
        <v>13.460751754</v>
      </c>
      <c r="H266" s="10">
        <v>13.76728041</v>
      </c>
      <c r="I266" s="10">
        <v>14.355674218000001</v>
      </c>
      <c r="J266" s="10">
        <v>15.160564192000001</v>
      </c>
      <c r="K266" s="10">
        <v>16.206127737999999</v>
      </c>
      <c r="L266" s="10">
        <v>17.486825227000001</v>
      </c>
      <c r="M266" s="10">
        <v>18.509588575999999</v>
      </c>
      <c r="N266" s="10">
        <v>19.335518753999999</v>
      </c>
    </row>
    <row r="267" spans="1:14" x14ac:dyDescent="0.25">
      <c r="A267" s="10">
        <v>2</v>
      </c>
      <c r="B267" s="13">
        <v>5.625</v>
      </c>
      <c r="C267" s="10">
        <v>-3.3130784599999998</v>
      </c>
      <c r="D267" s="10">
        <v>15.166779473</v>
      </c>
      <c r="E267" s="10">
        <v>8.9489105599999993E-2</v>
      </c>
      <c r="F267" s="10">
        <v>13.267876512000001</v>
      </c>
      <c r="G267" s="10">
        <v>13.453171909</v>
      </c>
      <c r="H267" s="10">
        <v>13.76185216</v>
      </c>
      <c r="I267" s="10">
        <v>14.354776232000001</v>
      </c>
      <c r="J267" s="10">
        <v>15.166779473</v>
      </c>
      <c r="K267" s="10">
        <v>16.223335021</v>
      </c>
      <c r="L267" s="10">
        <v>17.520568624999999</v>
      </c>
      <c r="M267" s="10">
        <v>18.559319065</v>
      </c>
      <c r="N267" s="10">
        <v>19.400197468999998</v>
      </c>
    </row>
    <row r="268" spans="1:14" x14ac:dyDescent="0.25">
      <c r="A268" s="10">
        <v>2</v>
      </c>
      <c r="B268" s="13">
        <v>5.708333333333333</v>
      </c>
      <c r="C268" s="10">
        <v>-3.2987326480000001</v>
      </c>
      <c r="D268" s="10">
        <v>15.174294640999999</v>
      </c>
      <c r="E268" s="10">
        <v>9.0317434000000002E-2</v>
      </c>
      <c r="F268" s="10">
        <v>13.259704231000001</v>
      </c>
      <c r="G268" s="10">
        <v>13.446296670000001</v>
      </c>
      <c r="H268" s="10">
        <v>13.757243776999999</v>
      </c>
      <c r="I268" s="10">
        <v>14.354910348000001</v>
      </c>
      <c r="J268" s="10">
        <v>15.174294640999999</v>
      </c>
      <c r="K268" s="10">
        <v>16.242144139000001</v>
      </c>
      <c r="L268" s="10">
        <v>17.556203453999998</v>
      </c>
      <c r="M268" s="10">
        <v>18.611106201999998</v>
      </c>
      <c r="N268" s="10">
        <v>19.467026319999999</v>
      </c>
    </row>
    <row r="269" spans="1:14" x14ac:dyDescent="0.25">
      <c r="A269" s="10">
        <v>2</v>
      </c>
      <c r="B269" s="13">
        <v>5.791666666666667</v>
      </c>
      <c r="C269" s="10">
        <v>-3.2826538310000002</v>
      </c>
      <c r="D269" s="10">
        <v>15.183086936</v>
      </c>
      <c r="E269" s="10">
        <v>9.11641168E-2</v>
      </c>
      <c r="F269" s="10">
        <v>13.252170761</v>
      </c>
      <c r="G269" s="10">
        <v>13.440127612</v>
      </c>
      <c r="H269" s="10">
        <v>13.753451746</v>
      </c>
      <c r="I269" s="10">
        <v>14.356064151</v>
      </c>
      <c r="J269" s="10">
        <v>15.183086936</v>
      </c>
      <c r="K269" s="10">
        <v>16.262521672999998</v>
      </c>
      <c r="L269" s="10">
        <v>17.593685902000001</v>
      </c>
      <c r="M269" s="10">
        <v>18.664897595999999</v>
      </c>
      <c r="N269" s="10">
        <v>19.535943651</v>
      </c>
    </row>
    <row r="270" spans="1:14" x14ac:dyDescent="0.25">
      <c r="A270" s="10">
        <v>2</v>
      </c>
      <c r="B270" s="13">
        <v>5.875</v>
      </c>
      <c r="C270" s="10">
        <v>-3.2650038960000001</v>
      </c>
      <c r="D270" s="10">
        <v>15.193133896000001</v>
      </c>
      <c r="E270" s="10">
        <v>9.2028027600000006E-2</v>
      </c>
      <c r="F270" s="10">
        <v>13.245280553000001</v>
      </c>
      <c r="G270" s="10">
        <v>13.434666084</v>
      </c>
      <c r="H270" s="10">
        <v>13.750472476000001</v>
      </c>
      <c r="I270" s="10">
        <v>14.358225366999999</v>
      </c>
      <c r="J270" s="10">
        <v>15.193133896000001</v>
      </c>
      <c r="K270" s="10">
        <v>16.284434530999999</v>
      </c>
      <c r="L270" s="10">
        <v>17.632972441</v>
      </c>
      <c r="M270" s="10">
        <v>18.720641270000002</v>
      </c>
      <c r="N270" s="10">
        <v>19.606888588</v>
      </c>
    </row>
    <row r="271" spans="1:14" x14ac:dyDescent="0.25">
      <c r="A271" s="10">
        <v>2</v>
      </c>
      <c r="B271" s="13">
        <v>5.958333333333333</v>
      </c>
      <c r="C271" s="10">
        <v>-3.2459375060000002</v>
      </c>
      <c r="D271" s="10">
        <v>15.204413347999999</v>
      </c>
      <c r="E271" s="10">
        <v>9.2908047600000002E-2</v>
      </c>
      <c r="F271" s="10">
        <v>13.239037732</v>
      </c>
      <c r="G271" s="10">
        <v>13.429913207</v>
      </c>
      <c r="H271" s="10">
        <v>13.748302292</v>
      </c>
      <c r="I271" s="10">
        <v>14.361381854999999</v>
      </c>
      <c r="J271" s="10">
        <v>15.204413347999999</v>
      </c>
      <c r="K271" s="10">
        <v>16.307849949000001</v>
      </c>
      <c r="L271" s="10">
        <v>17.674019838</v>
      </c>
      <c r="M271" s="10">
        <v>18.778285670999999</v>
      </c>
      <c r="N271" s="10">
        <v>19.679801033</v>
      </c>
    </row>
    <row r="272" spans="1:14" x14ac:dyDescent="0.25">
      <c r="A272" s="10">
        <v>2</v>
      </c>
      <c r="B272" s="13">
        <v>6.041666666666667</v>
      </c>
      <c r="C272" s="10">
        <v>-3.225606516</v>
      </c>
      <c r="D272" s="10">
        <v>15.216902957</v>
      </c>
      <c r="E272" s="10">
        <v>9.3803032800000005E-2</v>
      </c>
      <c r="F272" s="10">
        <v>13.233446775000001</v>
      </c>
      <c r="G272" s="10">
        <v>13.425870418000001</v>
      </c>
      <c r="H272" s="10">
        <v>13.746937764</v>
      </c>
      <c r="I272" s="10">
        <v>14.365521553000001</v>
      </c>
      <c r="J272" s="10">
        <v>15.216902957</v>
      </c>
      <c r="K272" s="10">
        <v>16.332734739999999</v>
      </c>
      <c r="L272" s="10">
        <v>17.716784497999999</v>
      </c>
      <c r="M272" s="10">
        <v>18.837779537999999</v>
      </c>
      <c r="N272" s="10">
        <v>19.754622335000001</v>
      </c>
    </row>
    <row r="273" spans="1:14" x14ac:dyDescent="0.25">
      <c r="A273" s="10">
        <v>2</v>
      </c>
      <c r="B273" s="13">
        <v>6.125</v>
      </c>
      <c r="C273" s="10">
        <v>-3.2041461149999999</v>
      </c>
      <c r="D273" s="10">
        <v>15.230581504</v>
      </c>
      <c r="E273" s="10">
        <v>9.4711916100000001E-2</v>
      </c>
      <c r="F273" s="10">
        <v>13.228510536</v>
      </c>
      <c r="G273" s="10">
        <v>13.422537877</v>
      </c>
      <c r="H273" s="10">
        <v>13.746374728999999</v>
      </c>
      <c r="I273" s="10">
        <v>14.370632576</v>
      </c>
      <c r="J273" s="10">
        <v>15.230581504</v>
      </c>
      <c r="K273" s="10">
        <v>16.35905747</v>
      </c>
      <c r="L273" s="10">
        <v>17.761224399</v>
      </c>
      <c r="M273" s="10">
        <v>18.899072287999999</v>
      </c>
      <c r="N273" s="10">
        <v>19.831293330000001</v>
      </c>
    </row>
    <row r="274" spans="1:14" x14ac:dyDescent="0.25">
      <c r="A274" s="10">
        <v>2</v>
      </c>
      <c r="B274" s="13">
        <v>6.208333333333333</v>
      </c>
      <c r="C274" s="10">
        <v>-3.1816902370000002</v>
      </c>
      <c r="D274" s="10">
        <v>15.245427447999999</v>
      </c>
      <c r="E274" s="10">
        <v>9.5633594700000005E-2</v>
      </c>
      <c r="F274" s="10">
        <v>13.22423251</v>
      </c>
      <c r="G274" s="10">
        <v>13.419916293</v>
      </c>
      <c r="H274" s="10">
        <v>13.746609412</v>
      </c>
      <c r="I274" s="10">
        <v>14.37670312</v>
      </c>
      <c r="J274" s="10">
        <v>15.245427447999999</v>
      </c>
      <c r="K274" s="10">
        <v>16.386786020999999</v>
      </c>
      <c r="L274" s="10">
        <v>17.807296916999999</v>
      </c>
      <c r="M274" s="10">
        <v>18.962113544000001</v>
      </c>
      <c r="N274" s="10">
        <v>19.909756439999999</v>
      </c>
    </row>
    <row r="275" spans="1:14" x14ac:dyDescent="0.25">
      <c r="A275" s="10">
        <v>2</v>
      </c>
      <c r="B275" s="13">
        <v>6.291666666666667</v>
      </c>
      <c r="C275" s="10">
        <v>-3.1583634749999998</v>
      </c>
      <c r="D275" s="10">
        <v>15.261419664</v>
      </c>
      <c r="E275" s="10">
        <v>9.6566992000000004E-2</v>
      </c>
      <c r="F275" s="10">
        <v>13.220615639</v>
      </c>
      <c r="G275" s="10">
        <v>13.41800595</v>
      </c>
      <c r="H275" s="10">
        <v>13.747637817999999</v>
      </c>
      <c r="I275" s="10">
        <v>14.383721483</v>
      </c>
      <c r="J275" s="10">
        <v>15.261419664</v>
      </c>
      <c r="K275" s="10">
        <v>16.415888868</v>
      </c>
      <c r="L275" s="10">
        <v>17.854959996000002</v>
      </c>
      <c r="M275" s="10">
        <v>19.026853412000001</v>
      </c>
      <c r="N275" s="10">
        <v>19.989954599000001</v>
      </c>
    </row>
    <row r="276" spans="1:14" x14ac:dyDescent="0.25">
      <c r="A276" s="10">
        <v>2</v>
      </c>
      <c r="B276" s="13">
        <v>6.375</v>
      </c>
      <c r="C276" s="10">
        <v>-3.1342828329999999</v>
      </c>
      <c r="D276" s="10">
        <v>15.278537278</v>
      </c>
      <c r="E276" s="10">
        <v>9.7511045899999996E-2</v>
      </c>
      <c r="F276" s="10">
        <v>13.217662563999999</v>
      </c>
      <c r="G276" s="10">
        <v>13.416806916000001</v>
      </c>
      <c r="H276" s="10">
        <v>13.749455856999999</v>
      </c>
      <c r="I276" s="10">
        <v>14.391676059</v>
      </c>
      <c r="J276" s="10">
        <v>15.278537278</v>
      </c>
      <c r="K276" s="10">
        <v>16.446334816</v>
      </c>
      <c r="L276" s="10">
        <v>17.904171911999999</v>
      </c>
      <c r="M276" s="10">
        <v>19.093242432</v>
      </c>
      <c r="N276" s="10">
        <v>20.071831456000002</v>
      </c>
    </row>
    <row r="277" spans="1:14" x14ac:dyDescent="0.25">
      <c r="A277" s="10">
        <v>2</v>
      </c>
      <c r="B277" s="13">
        <v>6.458333333333333</v>
      </c>
      <c r="C277" s="10">
        <v>-3.109557879</v>
      </c>
      <c r="D277" s="10">
        <v>15.296759667</v>
      </c>
      <c r="E277" s="10">
        <v>9.8464710100000005E-2</v>
      </c>
      <c r="F277" s="10">
        <v>13.215375632000001</v>
      </c>
      <c r="G277" s="10">
        <v>13.416319045</v>
      </c>
      <c r="H277" s="10">
        <v>13.752059342000001</v>
      </c>
      <c r="I277" s="10">
        <v>14.400555325999999</v>
      </c>
      <c r="J277" s="10">
        <v>15.296759667</v>
      </c>
      <c r="K277" s="10">
        <v>16.478093000000001</v>
      </c>
      <c r="L277" s="10">
        <v>17.954891281999998</v>
      </c>
      <c r="M277" s="10">
        <v>19.161231580999999</v>
      </c>
      <c r="N277" s="10">
        <v>20.155331370999999</v>
      </c>
    </row>
    <row r="278" spans="1:14" x14ac:dyDescent="0.25">
      <c r="A278" s="10">
        <v>2</v>
      </c>
      <c r="B278" s="13">
        <v>6.541666666666667</v>
      </c>
      <c r="C278" s="10">
        <v>-3.084290931</v>
      </c>
      <c r="D278" s="10">
        <v>15.316066442</v>
      </c>
      <c r="E278" s="10">
        <v>9.94269552E-2</v>
      </c>
      <c r="F278" s="10">
        <v>13.2137569</v>
      </c>
      <c r="G278" s="10">
        <v>13.416541974999999</v>
      </c>
      <c r="H278" s="10">
        <v>13.755443986</v>
      </c>
      <c r="I278" s="10">
        <v>14.410347841</v>
      </c>
      <c r="J278" s="10">
        <v>15.316066442</v>
      </c>
      <c r="K278" s="10">
        <v>16.511132880000002</v>
      </c>
      <c r="L278" s="10">
        <v>18.007077074000001</v>
      </c>
      <c r="M278" s="10">
        <v>19.230772276</v>
      </c>
      <c r="N278" s="10">
        <v>20.240399405000002</v>
      </c>
    </row>
    <row r="279" spans="1:14" x14ac:dyDescent="0.25">
      <c r="A279" s="10">
        <v>2</v>
      </c>
      <c r="B279" s="13">
        <v>6.625</v>
      </c>
      <c r="C279" s="10">
        <v>-3.0585772919999998</v>
      </c>
      <c r="D279" s="10">
        <v>15.336437447</v>
      </c>
      <c r="E279" s="10">
        <v>0.10039676929999999</v>
      </c>
      <c r="F279" s="10">
        <v>13.212808146</v>
      </c>
      <c r="G279" s="10">
        <v>13.417475136</v>
      </c>
      <c r="H279" s="10">
        <v>13.759605404</v>
      </c>
      <c r="I279" s="10">
        <v>14.421042230999999</v>
      </c>
      <c r="J279" s="10">
        <v>15.336437447</v>
      </c>
      <c r="K279" s="10">
        <v>16.545424241999999</v>
      </c>
      <c r="L279" s="10">
        <v>18.06068861</v>
      </c>
      <c r="M279" s="10">
        <v>19.301816385999999</v>
      </c>
      <c r="N279" s="10">
        <v>20.326981320000002</v>
      </c>
    </row>
    <row r="280" spans="1:14" x14ac:dyDescent="0.25">
      <c r="A280" s="10">
        <v>2</v>
      </c>
      <c r="B280" s="13">
        <v>6.708333333333333</v>
      </c>
      <c r="C280" s="10">
        <v>-3.032505499</v>
      </c>
      <c r="D280" s="10">
        <v>15.357852744000001</v>
      </c>
      <c r="E280" s="10">
        <v>0.1013731591</v>
      </c>
      <c r="F280" s="10">
        <v>13.21253087</v>
      </c>
      <c r="G280" s="10">
        <v>13.419117751</v>
      </c>
      <c r="H280" s="10">
        <v>13.764539106000001</v>
      </c>
      <c r="I280" s="10">
        <v>14.432627193</v>
      </c>
      <c r="J280" s="10">
        <v>15.357852744000001</v>
      </c>
      <c r="K280" s="10">
        <v>16.580937187</v>
      </c>
      <c r="L280" s="10">
        <v>18.115685573</v>
      </c>
      <c r="M280" s="10">
        <v>19.374316235999999</v>
      </c>
      <c r="N280" s="10">
        <v>20.415023569999999</v>
      </c>
    </row>
    <row r="281" spans="1:14" x14ac:dyDescent="0.25">
      <c r="A281" s="10">
        <v>2</v>
      </c>
      <c r="B281" s="13">
        <v>6.791666666666667</v>
      </c>
      <c r="C281" s="10">
        <v>-3.0061575999999999</v>
      </c>
      <c r="D281" s="10">
        <v>15.380292613</v>
      </c>
      <c r="E281" s="10">
        <v>0.1023551503</v>
      </c>
      <c r="F281" s="10">
        <v>13.212926303</v>
      </c>
      <c r="G281" s="10">
        <v>13.421468838999999</v>
      </c>
      <c r="H281" s="10">
        <v>13.770240504</v>
      </c>
      <c r="I281" s="10">
        <v>14.445091478</v>
      </c>
      <c r="J281" s="10">
        <v>15.380292613</v>
      </c>
      <c r="K281" s="10">
        <v>16.617642137000001</v>
      </c>
      <c r="L281" s="10">
        <v>18.172028012999998</v>
      </c>
      <c r="M281" s="10">
        <v>19.448224611000001</v>
      </c>
      <c r="N281" s="10">
        <v>20.504473299000001</v>
      </c>
    </row>
    <row r="282" spans="1:14" x14ac:dyDescent="0.25">
      <c r="A282" s="10">
        <v>2</v>
      </c>
      <c r="B282" s="13">
        <v>6.875</v>
      </c>
      <c r="C282" s="10">
        <v>-2.9796094480000002</v>
      </c>
      <c r="D282" s="10">
        <v>15.403737534999999</v>
      </c>
      <c r="E282" s="10">
        <v>0.1033417884</v>
      </c>
      <c r="F282" s="10">
        <v>13.213995410000001</v>
      </c>
      <c r="G282" s="10">
        <v>13.424527221</v>
      </c>
      <c r="H282" s="10">
        <v>13.776704905000001</v>
      </c>
      <c r="I282" s="10">
        <v>14.458423894999999</v>
      </c>
      <c r="J282" s="10">
        <v>15.403737534999999</v>
      </c>
      <c r="K282" s="10">
        <v>16.655509820999999</v>
      </c>
      <c r="L282" s="10">
        <v>18.229676349999998</v>
      </c>
      <c r="M282" s="10">
        <v>19.523494767999999</v>
      </c>
      <c r="N282" s="10">
        <v>20.59527834</v>
      </c>
    </row>
    <row r="283" spans="1:14" x14ac:dyDescent="0.25">
      <c r="A283" s="10">
        <v>2</v>
      </c>
      <c r="B283" s="13">
        <v>6.958333333333333</v>
      </c>
      <c r="C283" s="10">
        <v>-2.9529309929999998</v>
      </c>
      <c r="D283" s="10">
        <v>15.428168190999999</v>
      </c>
      <c r="E283" s="10">
        <v>0.10433213919999999</v>
      </c>
      <c r="F283" s="10">
        <v>13.215738902</v>
      </c>
      <c r="G283" s="10">
        <v>13.428291519</v>
      </c>
      <c r="H283" s="10">
        <v>13.783927513</v>
      </c>
      <c r="I283" s="10">
        <v>14.472613300000001</v>
      </c>
      <c r="J283" s="10">
        <v>15.428168190999999</v>
      </c>
      <c r="K283" s="10">
        <v>16.69451128</v>
      </c>
      <c r="L283" s="10">
        <v>18.288591379</v>
      </c>
      <c r="M283" s="10">
        <v>19.600080435999999</v>
      </c>
      <c r="N283" s="10">
        <v>20.687387209000001</v>
      </c>
    </row>
    <row r="284" spans="1:14" x14ac:dyDescent="0.25">
      <c r="A284" s="10">
        <v>2</v>
      </c>
      <c r="B284" s="13">
        <v>7.041666666666667</v>
      </c>
      <c r="C284" s="10">
        <v>-2.9261865920000001</v>
      </c>
      <c r="D284" s="10">
        <v>15.453565451999999</v>
      </c>
      <c r="E284" s="10">
        <v>0.10532528920000001</v>
      </c>
      <c r="F284" s="10">
        <v>13.218157234</v>
      </c>
      <c r="G284" s="10">
        <v>13.432760161999999</v>
      </c>
      <c r="H284" s="10">
        <v>13.79190343</v>
      </c>
      <c r="I284" s="10">
        <v>14.487648590999999</v>
      </c>
      <c r="J284" s="10">
        <v>15.453565451999999</v>
      </c>
      <c r="K284" s="10">
        <v>16.734617854</v>
      </c>
      <c r="L284" s="10">
        <v>18.348734275999998</v>
      </c>
      <c r="M284" s="10">
        <v>19.677935826999999</v>
      </c>
      <c r="N284" s="10">
        <v>20.780749104000002</v>
      </c>
    </row>
    <row r="285" spans="1:14" x14ac:dyDescent="0.25">
      <c r="A285" s="10">
        <v>2</v>
      </c>
      <c r="B285" s="13">
        <v>7.125</v>
      </c>
      <c r="C285" s="10">
        <v>-2.8994353070000001</v>
      </c>
      <c r="D285" s="10">
        <v>15.479910373999999</v>
      </c>
      <c r="E285" s="10">
        <v>0.10632034629999999</v>
      </c>
      <c r="F285" s="10">
        <v>13.221250616000001</v>
      </c>
      <c r="G285" s="10">
        <v>13.437931389999999</v>
      </c>
      <c r="H285" s="10">
        <v>13.800627652999999</v>
      </c>
      <c r="I285" s="10">
        <v>14.503518707</v>
      </c>
      <c r="J285" s="10">
        <v>15.479910373999999</v>
      </c>
      <c r="K285" s="10">
        <v>16.775801185999999</v>
      </c>
      <c r="L285" s="10">
        <v>18.410066599</v>
      </c>
      <c r="M285" s="10">
        <v>19.757015636999999</v>
      </c>
      <c r="N285" s="10">
        <v>20.875313901999998</v>
      </c>
    </row>
    <row r="286" spans="1:14" x14ac:dyDescent="0.25">
      <c r="A286" s="10">
        <v>2</v>
      </c>
      <c r="B286" s="13">
        <v>7.208333333333333</v>
      </c>
      <c r="C286" s="10">
        <v>-2.8727312110000001</v>
      </c>
      <c r="D286" s="10">
        <v>15.507184187</v>
      </c>
      <c r="E286" s="10">
        <v>0.1073164399</v>
      </c>
      <c r="F286" s="10">
        <v>13.225019017999999</v>
      </c>
      <c r="G286" s="10">
        <v>13.443803253</v>
      </c>
      <c r="H286" s="10">
        <v>13.810095076</v>
      </c>
      <c r="I286" s="10">
        <v>14.520212619</v>
      </c>
      <c r="J286" s="10">
        <v>15.507184187</v>
      </c>
      <c r="K286" s="10">
        <v>16.818033212</v>
      </c>
      <c r="L286" s="10">
        <v>18.472550289000001</v>
      </c>
      <c r="M286" s="10">
        <v>19.837275056999999</v>
      </c>
      <c r="N286" s="10">
        <v>20.971032159</v>
      </c>
    </row>
    <row r="287" spans="1:14" x14ac:dyDescent="0.25">
      <c r="A287" s="10">
        <v>2</v>
      </c>
      <c r="B287" s="13">
        <v>7.291666666666667</v>
      </c>
      <c r="C287" s="10">
        <v>-2.8461236830000001</v>
      </c>
      <c r="D287" s="10">
        <v>15.535368292999999</v>
      </c>
      <c r="E287" s="10">
        <v>0.1083127212</v>
      </c>
      <c r="F287" s="10">
        <v>13.229462172</v>
      </c>
      <c r="G287" s="10">
        <v>13.450373621000001</v>
      </c>
      <c r="H287" s="10">
        <v>13.820300488999999</v>
      </c>
      <c r="I287" s="10">
        <v>14.537719329</v>
      </c>
      <c r="J287" s="10">
        <v>15.535368292999999</v>
      </c>
      <c r="K287" s="10">
        <v>16.861286157999999</v>
      </c>
      <c r="L287" s="10">
        <v>18.536147679999999</v>
      </c>
      <c r="M287" s="10">
        <v>19.918669774000001</v>
      </c>
      <c r="N287" s="10">
        <v>21.067855109</v>
      </c>
    </row>
    <row r="288" spans="1:14" x14ac:dyDescent="0.25">
      <c r="A288" s="10">
        <v>2</v>
      </c>
      <c r="B288" s="13">
        <v>7.375</v>
      </c>
      <c r="C288" s="10">
        <v>-2.8196577039999999</v>
      </c>
      <c r="D288" s="10">
        <v>15.564444257</v>
      </c>
      <c r="E288" s="10">
        <v>0.10930836369999999</v>
      </c>
      <c r="F288" s="10">
        <v>13.234579579</v>
      </c>
      <c r="G288" s="10">
        <v>13.45764018</v>
      </c>
      <c r="H288" s="10">
        <v>13.831238580000001</v>
      </c>
      <c r="I288" s="10">
        <v>14.556027866000001</v>
      </c>
      <c r="J288" s="10">
        <v>15.564444257</v>
      </c>
      <c r="K288" s="10">
        <v>16.905532538999999</v>
      </c>
      <c r="L288" s="10">
        <v>18.600821494000002</v>
      </c>
      <c r="M288" s="10">
        <v>20.001155979</v>
      </c>
      <c r="N288" s="10">
        <v>21.165734659999998</v>
      </c>
    </row>
    <row r="289" spans="1:14" x14ac:dyDescent="0.25">
      <c r="A289" s="10">
        <v>2</v>
      </c>
      <c r="B289" s="13">
        <v>7.458333333333333</v>
      </c>
      <c r="C289" s="10">
        <v>-2.793374145</v>
      </c>
      <c r="D289" s="10">
        <v>15.594393802000001</v>
      </c>
      <c r="E289" s="10">
        <v>0.1103025629</v>
      </c>
      <c r="F289" s="10">
        <v>13.240370519000001</v>
      </c>
      <c r="G289" s="10">
        <v>13.465600439999999</v>
      </c>
      <c r="H289" s="10">
        <v>13.842903932</v>
      </c>
      <c r="I289" s="10">
        <v>14.575127278</v>
      </c>
      <c r="J289" s="10">
        <v>15.594393802000001</v>
      </c>
      <c r="K289" s="10">
        <v>16.950745146999999</v>
      </c>
      <c r="L289" s="10">
        <v>18.666534846000001</v>
      </c>
      <c r="M289" s="10">
        <v>20.084690370000001</v>
      </c>
      <c r="N289" s="10">
        <v>21.264623400000001</v>
      </c>
    </row>
    <row r="290" spans="1:14" x14ac:dyDescent="0.25">
      <c r="A290" s="10">
        <v>2</v>
      </c>
      <c r="B290" s="13">
        <v>7.541666666666667</v>
      </c>
      <c r="C290" s="10">
        <v>-2.7673100470000001</v>
      </c>
      <c r="D290" s="10">
        <v>15.625198798</v>
      </c>
      <c r="E290" s="10">
        <v>0.111294537</v>
      </c>
      <c r="F290" s="10">
        <v>13.246834051</v>
      </c>
      <c r="G290" s="10">
        <v>13.47425174</v>
      </c>
      <c r="H290" s="10">
        <v>13.855291029</v>
      </c>
      <c r="I290" s="10">
        <v>14.595006635000001</v>
      </c>
      <c r="J290" s="10">
        <v>15.625198798</v>
      </c>
      <c r="K290" s="10">
        <v>16.996897049000001</v>
      </c>
      <c r="L290" s="10">
        <v>18.733251243000002</v>
      </c>
      <c r="M290" s="10">
        <v>20.169230159000001</v>
      </c>
      <c r="N290" s="10">
        <v>21.364474598000001</v>
      </c>
    </row>
    <row r="291" spans="1:14" x14ac:dyDescent="0.25">
      <c r="A291" s="10">
        <v>2</v>
      </c>
      <c r="B291" s="13">
        <v>7.625</v>
      </c>
      <c r="C291" s="10">
        <v>-2.741498897</v>
      </c>
      <c r="D291" s="10">
        <v>15.656841259</v>
      </c>
      <c r="E291" s="10">
        <v>0.1122835261</v>
      </c>
      <c r="F291" s="10">
        <v>13.253969024</v>
      </c>
      <c r="G291" s="10">
        <v>13.483591251</v>
      </c>
      <c r="H291" s="10">
        <v>13.868394255</v>
      </c>
      <c r="I291" s="10">
        <v>14.615655019</v>
      </c>
      <c r="J291" s="10">
        <v>15.656841259</v>
      </c>
      <c r="K291" s="10">
        <v>17.043961580000001</v>
      </c>
      <c r="L291" s="10">
        <v>18.800934582</v>
      </c>
      <c r="M291" s="10">
        <v>20.254733074000001</v>
      </c>
      <c r="N291" s="10">
        <v>21.46524221</v>
      </c>
    </row>
    <row r="292" spans="1:14" x14ac:dyDescent="0.25">
      <c r="A292" s="10">
        <v>2</v>
      </c>
      <c r="B292" s="13">
        <v>7.708333333333333</v>
      </c>
      <c r="C292" s="10">
        <v>-2.7159708939999998</v>
      </c>
      <c r="D292" s="10">
        <v>15.689303334</v>
      </c>
      <c r="E292" s="10">
        <v>0.11326879300000001</v>
      </c>
      <c r="F292" s="10">
        <v>13.261774085000001</v>
      </c>
      <c r="G292" s="10">
        <v>13.493615981</v>
      </c>
      <c r="H292" s="10">
        <v>13.882207895000001</v>
      </c>
      <c r="I292" s="10">
        <v>14.637061525</v>
      </c>
      <c r="J292" s="10">
        <v>15.689303334</v>
      </c>
      <c r="K292" s="10">
        <v>17.091912333</v>
      </c>
      <c r="L292" s="10">
        <v>18.869549152000001</v>
      </c>
      <c r="M292" s="10">
        <v>20.341157368000001</v>
      </c>
      <c r="N292" s="10">
        <v>21.566880879999999</v>
      </c>
    </row>
    <row r="293" spans="1:14" x14ac:dyDescent="0.25">
      <c r="A293" s="10">
        <v>2</v>
      </c>
      <c r="B293" s="13">
        <v>7.791666666666667</v>
      </c>
      <c r="C293" s="10">
        <v>-2.6907531969999998</v>
      </c>
      <c r="D293" s="10">
        <v>15.722567299</v>
      </c>
      <c r="E293" s="10">
        <v>0.1142496222</v>
      </c>
      <c r="F293" s="10">
        <v>13.270247685999999</v>
      </c>
      <c r="G293" s="10">
        <v>13.504322781999999</v>
      </c>
      <c r="H293" s="10">
        <v>13.896726137</v>
      </c>
      <c r="I293" s="10">
        <v>14.659215254999999</v>
      </c>
      <c r="J293" s="10">
        <v>15.722567299</v>
      </c>
      <c r="K293" s="10">
        <v>17.140723155</v>
      </c>
      <c r="L293" s="10">
        <v>18.939059629999999</v>
      </c>
      <c r="M293" s="10">
        <v>20.428461817999999</v>
      </c>
      <c r="N293" s="10">
        <v>21.669345954000001</v>
      </c>
    </row>
    <row r="294" spans="1:14" x14ac:dyDescent="0.25">
      <c r="A294" s="10">
        <v>2</v>
      </c>
      <c r="B294" s="13">
        <v>7.875</v>
      </c>
      <c r="C294" s="10">
        <v>-2.6658701460000001</v>
      </c>
      <c r="D294" s="10">
        <v>15.756615553</v>
      </c>
      <c r="E294" s="10">
        <v>0.11522532069999999</v>
      </c>
      <c r="F294" s="10">
        <v>13.279388083000001</v>
      </c>
      <c r="G294" s="10">
        <v>13.515708349000001</v>
      </c>
      <c r="H294" s="10">
        <v>13.911943075</v>
      </c>
      <c r="I294" s="10">
        <v>14.682105318</v>
      </c>
      <c r="J294" s="10">
        <v>15.756615553</v>
      </c>
      <c r="K294" s="10">
        <v>17.190368141</v>
      </c>
      <c r="L294" s="10">
        <v>19.009431079999999</v>
      </c>
      <c r="M294" s="10">
        <v>20.516605733999999</v>
      </c>
      <c r="N294" s="10">
        <v>21.77259347</v>
      </c>
    </row>
    <row r="295" spans="1:14" x14ac:dyDescent="0.25">
      <c r="A295" s="10">
        <v>2</v>
      </c>
      <c r="B295" s="13">
        <v>7.958333333333333</v>
      </c>
      <c r="C295" s="10">
        <v>-2.6413434360000001</v>
      </c>
      <c r="D295" s="10">
        <v>15.791430622</v>
      </c>
      <c r="E295" s="10">
        <v>0.1161952181</v>
      </c>
      <c r="F295" s="10">
        <v>13.289193339000001</v>
      </c>
      <c r="G295" s="10">
        <v>13.527769222</v>
      </c>
      <c r="H295" s="10">
        <v>13.927852701999999</v>
      </c>
      <c r="I295" s="10">
        <v>14.705720826</v>
      </c>
      <c r="J295" s="10">
        <v>15.791430622</v>
      </c>
      <c r="K295" s="10">
        <v>17.240821639</v>
      </c>
      <c r="L295" s="10">
        <v>19.080628966999999</v>
      </c>
      <c r="M295" s="10">
        <v>20.605548956</v>
      </c>
      <c r="N295" s="10">
        <v>21.876580149999999</v>
      </c>
    </row>
    <row r="296" spans="1:14" x14ac:dyDescent="0.25">
      <c r="A296" s="10">
        <v>2</v>
      </c>
      <c r="B296" s="13">
        <v>8.0416666666666661</v>
      </c>
      <c r="C296" s="10">
        <v>-2.6171922040000002</v>
      </c>
      <c r="D296" s="10">
        <v>15.826995169</v>
      </c>
      <c r="E296" s="10">
        <v>0.1171586674</v>
      </c>
      <c r="F296" s="10">
        <v>13.2996613</v>
      </c>
      <c r="G296" s="10">
        <v>13.540501762</v>
      </c>
      <c r="H296" s="10">
        <v>13.944448899999999</v>
      </c>
      <c r="I296" s="10">
        <v>14.730050895</v>
      </c>
      <c r="J296" s="10">
        <v>15.826995169</v>
      </c>
      <c r="K296" s="10">
        <v>17.292058280999999</v>
      </c>
      <c r="L296" s="10">
        <v>19.152619178999998</v>
      </c>
      <c r="M296" s="10">
        <v>20.695251856999999</v>
      </c>
      <c r="N296" s="10">
        <v>21.981263357</v>
      </c>
    </row>
    <row r="297" spans="1:14" x14ac:dyDescent="0.25">
      <c r="A297" s="10">
        <v>2</v>
      </c>
      <c r="B297" s="13">
        <v>8.125</v>
      </c>
      <c r="C297" s="10">
        <v>-2.5934306139999999</v>
      </c>
      <c r="D297" s="10">
        <v>15.863292406999999</v>
      </c>
      <c r="E297" s="10">
        <v>0.1181150731</v>
      </c>
      <c r="F297" s="10">
        <v>13.310789044</v>
      </c>
      <c r="G297" s="10">
        <v>13.553901719000001</v>
      </c>
      <c r="H297" s="10">
        <v>13.961725189999999</v>
      </c>
      <c r="I297" s="10">
        <v>14.755084709</v>
      </c>
      <c r="J297" s="10">
        <v>15.863292406999999</v>
      </c>
      <c r="K297" s="10">
        <v>17.344053640999999</v>
      </c>
      <c r="L297" s="10">
        <v>19.225368542999998</v>
      </c>
      <c r="M297" s="10">
        <v>20.785675251000001</v>
      </c>
      <c r="N297" s="10">
        <v>22.086600078</v>
      </c>
    </row>
    <row r="298" spans="1:14" x14ac:dyDescent="0.25">
      <c r="A298" s="10">
        <v>2</v>
      </c>
      <c r="B298" s="13">
        <v>8.2083333333333339</v>
      </c>
      <c r="C298" s="10">
        <v>-2.5700760370000002</v>
      </c>
      <c r="D298" s="10">
        <v>15.900304841000001</v>
      </c>
      <c r="E298" s="10">
        <v>0.1190638073</v>
      </c>
      <c r="F298" s="10">
        <v>13.322574557999999</v>
      </c>
      <c r="G298" s="10">
        <v>13.567965558999999</v>
      </c>
      <c r="H298" s="10">
        <v>13.979675493</v>
      </c>
      <c r="I298" s="10">
        <v>14.780811321</v>
      </c>
      <c r="J298" s="10">
        <v>15.900304841000001</v>
      </c>
      <c r="K298" s="10">
        <v>17.396782222999999</v>
      </c>
      <c r="L298" s="10">
        <v>19.298843261999998</v>
      </c>
      <c r="M298" s="10">
        <v>20.876780678999999</v>
      </c>
      <c r="N298" s="10">
        <v>22.192549986</v>
      </c>
    </row>
    <row r="299" spans="1:14" x14ac:dyDescent="0.25">
      <c r="A299" s="10">
        <v>2</v>
      </c>
      <c r="B299" s="13">
        <v>8.2916666666666661</v>
      </c>
      <c r="C299" s="10">
        <v>-2.5471414729999999</v>
      </c>
      <c r="D299" s="10">
        <v>15.938015446</v>
      </c>
      <c r="E299" s="10">
        <v>0.1200042898</v>
      </c>
      <c r="F299" s="10">
        <v>13.335015118999999</v>
      </c>
      <c r="G299" s="10">
        <v>13.582689175000001</v>
      </c>
      <c r="H299" s="10">
        <v>13.998293384</v>
      </c>
      <c r="I299" s="10">
        <v>14.807219814</v>
      </c>
      <c r="J299" s="10">
        <v>15.938015446</v>
      </c>
      <c r="K299" s="10">
        <v>17.450219362999999</v>
      </c>
      <c r="L299" s="10">
        <v>19.373010403999999</v>
      </c>
      <c r="M299" s="10">
        <v>20.968530138999999</v>
      </c>
      <c r="N299" s="10">
        <v>22.29907253</v>
      </c>
    </row>
    <row r="300" spans="1:14" x14ac:dyDescent="0.25">
      <c r="A300" s="10">
        <v>2</v>
      </c>
      <c r="B300" s="13">
        <v>8.375</v>
      </c>
      <c r="C300" s="10">
        <v>-2.5246352449999998</v>
      </c>
      <c r="D300" s="10">
        <v>15.976407870999999</v>
      </c>
      <c r="E300" s="10">
        <v>0.1209359936</v>
      </c>
      <c r="F300" s="10">
        <v>13.348107260999999</v>
      </c>
      <c r="G300" s="10">
        <v>13.598067882</v>
      </c>
      <c r="H300" s="10">
        <v>14.017572122000001</v>
      </c>
      <c r="I300" s="10">
        <v>14.83429943</v>
      </c>
      <c r="J300" s="10">
        <v>15.976407870999999</v>
      </c>
      <c r="K300" s="10">
        <v>17.504341491999998</v>
      </c>
      <c r="L300" s="10">
        <v>19.447838088000001</v>
      </c>
      <c r="M300" s="10">
        <v>21.060886064999998</v>
      </c>
      <c r="N300" s="10">
        <v>22.406126596</v>
      </c>
    </row>
    <row r="301" spans="1:14" x14ac:dyDescent="0.25">
      <c r="A301" s="10">
        <v>2</v>
      </c>
      <c r="B301" s="13">
        <v>8.4583333333333339</v>
      </c>
      <c r="C301" s="10">
        <v>-2.5025696659999999</v>
      </c>
      <c r="D301" s="10">
        <v>16.015464833999999</v>
      </c>
      <c r="E301" s="10">
        <v>0.1218583548</v>
      </c>
      <c r="F301" s="10">
        <v>13.361848425</v>
      </c>
      <c r="G301" s="10">
        <v>13.614097684000001</v>
      </c>
      <c r="H301" s="10">
        <v>14.037505300999999</v>
      </c>
      <c r="I301" s="10">
        <v>14.862039129999999</v>
      </c>
      <c r="J301" s="10">
        <v>16.015464833999999</v>
      </c>
      <c r="K301" s="10">
        <v>17.559123710000001</v>
      </c>
      <c r="L301" s="10">
        <v>19.523293636999998</v>
      </c>
      <c r="M301" s="10">
        <v>21.153811648000001</v>
      </c>
      <c r="N301" s="10">
        <v>22.513674066</v>
      </c>
    </row>
    <row r="302" spans="1:14" x14ac:dyDescent="0.25">
      <c r="A302" s="10">
        <v>2</v>
      </c>
      <c r="B302" s="13">
        <v>8.5416666666666661</v>
      </c>
      <c r="C302" s="10">
        <v>-2.48095189</v>
      </c>
      <c r="D302" s="10">
        <v>16.055169844000002</v>
      </c>
      <c r="E302" s="10">
        <v>0.1227708703</v>
      </c>
      <c r="F302" s="10">
        <v>13.376235158</v>
      </c>
      <c r="G302" s="10">
        <v>13.630773884</v>
      </c>
      <c r="H302" s="10">
        <v>14.058086134</v>
      </c>
      <c r="I302" s="10">
        <v>14.890428045</v>
      </c>
      <c r="J302" s="10">
        <v>16.055169844000002</v>
      </c>
      <c r="K302" s="10">
        <v>17.614542394000001</v>
      </c>
      <c r="L302" s="10">
        <v>19.599345573000001</v>
      </c>
      <c r="M302" s="10">
        <v>21.247270491999998</v>
      </c>
      <c r="N302" s="10">
        <v>22.621675972999999</v>
      </c>
    </row>
    <row r="303" spans="1:14" x14ac:dyDescent="0.25">
      <c r="A303" s="10">
        <v>2</v>
      </c>
      <c r="B303" s="13">
        <v>8.625</v>
      </c>
      <c r="C303" s="10">
        <v>-2.459785573</v>
      </c>
      <c r="D303" s="10">
        <v>16.095506879999999</v>
      </c>
      <c r="E303" s="10">
        <v>0.1236730846</v>
      </c>
      <c r="F303" s="10">
        <v>13.391263285999999</v>
      </c>
      <c r="G303" s="10">
        <v>13.648091204</v>
      </c>
      <c r="H303" s="10">
        <v>14.079307468</v>
      </c>
      <c r="I303" s="10">
        <v>14.919455334</v>
      </c>
      <c r="J303" s="10">
        <v>16.095506879999999</v>
      </c>
      <c r="K303" s="10">
        <v>17.670574775999999</v>
      </c>
      <c r="L303" s="10">
        <v>19.675963312</v>
      </c>
      <c r="M303" s="10">
        <v>21.341226663</v>
      </c>
      <c r="N303" s="10">
        <v>22.730093079</v>
      </c>
    </row>
    <row r="304" spans="1:14" x14ac:dyDescent="0.25">
      <c r="A304" s="10">
        <v>2</v>
      </c>
      <c r="B304" s="13">
        <v>8.7083333333333339</v>
      </c>
      <c r="C304" s="10">
        <v>-2.439080117</v>
      </c>
      <c r="D304" s="10">
        <v>16.136458809000001</v>
      </c>
      <c r="E304" s="10">
        <v>0.1245644841</v>
      </c>
      <c r="F304" s="10">
        <v>13.406930074</v>
      </c>
      <c r="G304" s="10">
        <v>13.666045500999999</v>
      </c>
      <c r="H304" s="10">
        <v>14.101162801999999</v>
      </c>
      <c r="I304" s="10">
        <v>14.949109956999999</v>
      </c>
      <c r="J304" s="10">
        <v>16.136458809000001</v>
      </c>
      <c r="K304" s="10">
        <v>17.727196374999998</v>
      </c>
      <c r="L304" s="10">
        <v>19.753115149999999</v>
      </c>
      <c r="M304" s="10">
        <v>21.435645053999998</v>
      </c>
      <c r="N304" s="10">
        <v>22.838889796</v>
      </c>
    </row>
    <row r="305" spans="1:14" x14ac:dyDescent="0.25">
      <c r="A305" s="10">
        <v>2</v>
      </c>
      <c r="B305" s="13">
        <v>8.7916666666666661</v>
      </c>
      <c r="C305" s="10">
        <v>-2.4188383039999999</v>
      </c>
      <c r="D305" s="10">
        <v>16.178009550999999</v>
      </c>
      <c r="E305" s="10">
        <v>0.125444639</v>
      </c>
      <c r="F305" s="10">
        <v>13.423231341999999</v>
      </c>
      <c r="G305" s="10">
        <v>13.684631476</v>
      </c>
      <c r="H305" s="10">
        <v>14.123644944</v>
      </c>
      <c r="I305" s="10">
        <v>14.979381008000001</v>
      </c>
      <c r="J305" s="10">
        <v>16.178009550999999</v>
      </c>
      <c r="K305" s="10">
        <v>17.784384485</v>
      </c>
      <c r="L305" s="10">
        <v>19.830770997999998</v>
      </c>
      <c r="M305" s="10">
        <v>21.530490897</v>
      </c>
      <c r="N305" s="10">
        <v>22.948028870000002</v>
      </c>
    </row>
    <row r="306" spans="1:14" x14ac:dyDescent="0.25">
      <c r="A306" s="10">
        <v>2</v>
      </c>
      <c r="B306" s="13">
        <v>8.875</v>
      </c>
      <c r="C306" s="10">
        <v>-2.3990636830000001</v>
      </c>
      <c r="D306" s="10">
        <v>16.220142812999999</v>
      </c>
      <c r="E306" s="10">
        <v>0.1263131206</v>
      </c>
      <c r="F306" s="10">
        <v>13.440163147</v>
      </c>
      <c r="G306" s="10">
        <v>13.703844012999999</v>
      </c>
      <c r="H306" s="10">
        <v>14.146746795</v>
      </c>
      <c r="I306" s="10">
        <v>15.010257516999999</v>
      </c>
      <c r="J306" s="10">
        <v>16.220142812999999</v>
      </c>
      <c r="K306" s="10">
        <v>17.842116135000001</v>
      </c>
      <c r="L306" s="10">
        <v>19.908900787</v>
      </c>
      <c r="M306" s="10">
        <v>21.625730052000002</v>
      </c>
      <c r="N306" s="10">
        <v>23.057474482</v>
      </c>
    </row>
    <row r="307" spans="1:14" x14ac:dyDescent="0.25">
      <c r="A307" s="10">
        <v>2</v>
      </c>
      <c r="B307" s="13">
        <v>8.9583333333333339</v>
      </c>
      <c r="C307" s="10">
        <v>-2.3797568610000002</v>
      </c>
      <c r="D307" s="10">
        <v>16.262842770999999</v>
      </c>
      <c r="E307" s="10">
        <v>0.12716954529999999</v>
      </c>
      <c r="F307" s="10">
        <v>13.457720878</v>
      </c>
      <c r="G307" s="10">
        <v>13.723677453000001</v>
      </c>
      <c r="H307" s="10">
        <v>14.170460924</v>
      </c>
      <c r="I307" s="10">
        <v>15.041728556000001</v>
      </c>
      <c r="J307" s="10">
        <v>16.262842770999999</v>
      </c>
      <c r="K307" s="10">
        <v>17.900369199</v>
      </c>
      <c r="L307" s="10">
        <v>19.987475332999999</v>
      </c>
      <c r="M307" s="10">
        <v>21.721328848999999</v>
      </c>
      <c r="N307" s="10">
        <v>23.167190566999999</v>
      </c>
    </row>
    <row r="308" spans="1:14" x14ac:dyDescent="0.25">
      <c r="A308" s="10">
        <v>2</v>
      </c>
      <c r="B308" s="13">
        <v>9.0416666666666661</v>
      </c>
      <c r="C308" s="10">
        <v>-2.3609205270000002</v>
      </c>
      <c r="D308" s="10">
        <v>16.306093162</v>
      </c>
      <c r="E308" s="10">
        <v>0.1280135154</v>
      </c>
      <c r="F308" s="10">
        <v>13.475900463</v>
      </c>
      <c r="G308" s="10">
        <v>13.744126561</v>
      </c>
      <c r="H308" s="10">
        <v>14.194780131</v>
      </c>
      <c r="I308" s="10">
        <v>15.073783099</v>
      </c>
      <c r="J308" s="10">
        <v>16.306093162</v>
      </c>
      <c r="K308" s="10">
        <v>17.959120924</v>
      </c>
      <c r="L308" s="10">
        <v>20.066465191999999</v>
      </c>
      <c r="M308" s="10">
        <v>21.817254297000002</v>
      </c>
      <c r="N308" s="10">
        <v>23.277143043999999</v>
      </c>
    </row>
    <row r="309" spans="1:14" x14ac:dyDescent="0.25">
      <c r="A309" s="10">
        <v>2</v>
      </c>
      <c r="B309" s="13">
        <v>9.125</v>
      </c>
      <c r="C309" s="10">
        <v>-2.3425577280000001</v>
      </c>
      <c r="D309" s="10">
        <v>16.349877586000002</v>
      </c>
      <c r="E309" s="10">
        <v>0.12884463879999999</v>
      </c>
      <c r="F309" s="10">
        <v>13.494697965</v>
      </c>
      <c r="G309" s="10">
        <v>13.765186202000001</v>
      </c>
      <c r="H309" s="10">
        <v>14.21969726</v>
      </c>
      <c r="I309" s="10">
        <v>15.106410070000001</v>
      </c>
      <c r="J309" s="10">
        <v>16.349877586000002</v>
      </c>
      <c r="K309" s="10">
        <v>18.018348424999999</v>
      </c>
      <c r="L309" s="10">
        <v>20.145841044000001</v>
      </c>
      <c r="M309" s="10">
        <v>21.913474015999999</v>
      </c>
      <c r="N309" s="10">
        <v>23.38729906</v>
      </c>
    </row>
    <row r="310" spans="1:14" x14ac:dyDescent="0.25">
      <c r="A310" s="10">
        <v>2</v>
      </c>
      <c r="B310" s="13">
        <v>9.2083333333333339</v>
      </c>
      <c r="C310" s="10">
        <v>-2.324663326</v>
      </c>
      <c r="D310" s="10">
        <v>16.39418118</v>
      </c>
      <c r="E310" s="10">
        <v>0.12966263720000001</v>
      </c>
      <c r="F310" s="10">
        <v>13.51410735</v>
      </c>
      <c r="G310" s="10">
        <v>13.78684956</v>
      </c>
      <c r="H310" s="10">
        <v>14.245204151999999</v>
      </c>
      <c r="I310" s="10">
        <v>15.139598587</v>
      </c>
      <c r="J310" s="10">
        <v>16.39418118</v>
      </c>
      <c r="K310" s="10">
        <v>18.078031380999999</v>
      </c>
      <c r="L310" s="10">
        <v>20.225575810999999</v>
      </c>
      <c r="M310" s="10">
        <v>22.009955860000002</v>
      </c>
      <c r="N310" s="10">
        <v>23.497622893999999</v>
      </c>
    </row>
    <row r="311" spans="1:14" x14ac:dyDescent="0.25">
      <c r="A311" s="10">
        <v>2</v>
      </c>
      <c r="B311" s="13">
        <v>9.2916666666666661</v>
      </c>
      <c r="C311" s="10">
        <v>-2.3072407159999999</v>
      </c>
      <c r="D311" s="10">
        <v>16.438987413</v>
      </c>
      <c r="E311" s="10">
        <v>0.1304671382</v>
      </c>
      <c r="F311" s="10">
        <v>13.534124761999999</v>
      </c>
      <c r="G311" s="10">
        <v>13.809111546</v>
      </c>
      <c r="H311" s="10">
        <v>14.271293647</v>
      </c>
      <c r="I311" s="10">
        <v>15.173337489</v>
      </c>
      <c r="J311" s="10">
        <v>16.438987413</v>
      </c>
      <c r="K311" s="10">
        <v>18.13814687</v>
      </c>
      <c r="L311" s="10">
        <v>20.305640609000001</v>
      </c>
      <c r="M311" s="10">
        <v>22.106668640999999</v>
      </c>
      <c r="N311" s="10">
        <v>23.608083807</v>
      </c>
    </row>
    <row r="312" spans="1:14" x14ac:dyDescent="0.25">
      <c r="A312" s="10">
        <v>2</v>
      </c>
      <c r="B312" s="13">
        <v>9.375</v>
      </c>
      <c r="C312" s="10">
        <v>-2.290287663</v>
      </c>
      <c r="D312" s="10">
        <v>16.484280822999999</v>
      </c>
      <c r="E312" s="10">
        <v>0.13125785240000001</v>
      </c>
      <c r="F312" s="10">
        <v>13.554744872000001</v>
      </c>
      <c r="G312" s="10">
        <v>13.831965889999999</v>
      </c>
      <c r="H312" s="10">
        <v>14.297957870999999</v>
      </c>
      <c r="I312" s="10">
        <v>15.207615739</v>
      </c>
      <c r="J312" s="10">
        <v>16.484280822999999</v>
      </c>
      <c r="K312" s="10">
        <v>18.198673786000001</v>
      </c>
      <c r="L312" s="10">
        <v>20.386008206</v>
      </c>
      <c r="M312" s="10">
        <v>22.203581508999999</v>
      </c>
      <c r="N312" s="10">
        <v>23.718649328000001</v>
      </c>
    </row>
    <row r="313" spans="1:14" x14ac:dyDescent="0.25">
      <c r="A313" s="10">
        <v>2</v>
      </c>
      <c r="B313" s="13">
        <v>9.4583333333333339</v>
      </c>
      <c r="C313" s="10">
        <v>-2.2738038469999999</v>
      </c>
      <c r="D313" s="10">
        <v>16.530045538</v>
      </c>
      <c r="E313" s="10">
        <v>0.1320344789</v>
      </c>
      <c r="F313" s="10">
        <v>13.575962801999999</v>
      </c>
      <c r="G313" s="10">
        <v>13.855406666</v>
      </c>
      <c r="H313" s="10">
        <v>14.325189131</v>
      </c>
      <c r="I313" s="10">
        <v>15.242422188999999</v>
      </c>
      <c r="J313" s="10">
        <v>16.530045538</v>
      </c>
      <c r="K313" s="10">
        <v>18.259590464999999</v>
      </c>
      <c r="L313" s="10">
        <v>20.466651173999999</v>
      </c>
      <c r="M313" s="10">
        <v>22.300664287</v>
      </c>
      <c r="N313" s="10">
        <v>23.829288837</v>
      </c>
    </row>
    <row r="314" spans="1:14" x14ac:dyDescent="0.25">
      <c r="A314" s="10">
        <v>2</v>
      </c>
      <c r="B314" s="13">
        <v>9.5416666666666661</v>
      </c>
      <c r="C314" s="10">
        <v>-2.2577821490000001</v>
      </c>
      <c r="D314" s="10">
        <v>16.576267130000002</v>
      </c>
      <c r="E314" s="10">
        <v>0.13279681900000001</v>
      </c>
      <c r="F314" s="10">
        <v>13.597771809999999</v>
      </c>
      <c r="G314" s="10">
        <v>13.879426466</v>
      </c>
      <c r="H314" s="10">
        <v>14.35297886</v>
      </c>
      <c r="I314" s="10">
        <v>15.277745907</v>
      </c>
      <c r="J314" s="10">
        <v>16.576267130000002</v>
      </c>
      <c r="K314" s="10">
        <v>18.320877636999999</v>
      </c>
      <c r="L314" s="10">
        <v>20.547544196</v>
      </c>
      <c r="M314" s="10">
        <v>22.397887094000001</v>
      </c>
      <c r="N314" s="10">
        <v>23.939969204000001</v>
      </c>
    </row>
    <row r="315" spans="1:14" x14ac:dyDescent="0.25">
      <c r="A315" s="10">
        <v>2</v>
      </c>
      <c r="B315" s="13">
        <v>9.625</v>
      </c>
      <c r="C315" s="10">
        <v>-2.2422277230000001</v>
      </c>
      <c r="D315" s="10">
        <v>16.622928640000001</v>
      </c>
      <c r="E315" s="10">
        <v>0.1335445247</v>
      </c>
      <c r="F315" s="10">
        <v>13.620168486000001</v>
      </c>
      <c r="G315" s="10">
        <v>13.904020526</v>
      </c>
      <c r="H315" s="10">
        <v>14.381320038</v>
      </c>
      <c r="I315" s="10">
        <v>15.313575565000001</v>
      </c>
      <c r="J315" s="10">
        <v>16.622928640000001</v>
      </c>
      <c r="K315" s="10">
        <v>18.382512016</v>
      </c>
      <c r="L315" s="10">
        <v>20.628658995999999</v>
      </c>
      <c r="M315" s="10">
        <v>22.495221076</v>
      </c>
      <c r="N315" s="10">
        <v>24.050664181999998</v>
      </c>
    </row>
    <row r="316" spans="1:14" x14ac:dyDescent="0.25">
      <c r="A316" s="10">
        <v>2</v>
      </c>
      <c r="B316" s="13">
        <v>9.7083333333333339</v>
      </c>
      <c r="C316" s="10">
        <v>-2.2271328050000001</v>
      </c>
      <c r="D316" s="10">
        <v>16.670015716000002</v>
      </c>
      <c r="E316" s="10">
        <v>0.13427743559999999</v>
      </c>
      <c r="F316" s="10">
        <v>13.643145665</v>
      </c>
      <c r="G316" s="10">
        <v>13.929181059999999</v>
      </c>
      <c r="H316" s="10">
        <v>14.410203796999999</v>
      </c>
      <c r="I316" s="10">
        <v>15.349900084</v>
      </c>
      <c r="J316" s="10">
        <v>16.670015716000002</v>
      </c>
      <c r="K316" s="10">
        <v>18.444474722999999</v>
      </c>
      <c r="L316" s="10">
        <v>20.709971077999999</v>
      </c>
      <c r="M316" s="10">
        <v>22.592637545999999</v>
      </c>
      <c r="N316" s="10">
        <v>24.161342136999998</v>
      </c>
    </row>
    <row r="317" spans="1:14" x14ac:dyDescent="0.25">
      <c r="A317" s="10">
        <v>2</v>
      </c>
      <c r="B317" s="13">
        <v>9.7916666666666661</v>
      </c>
      <c r="C317" s="10">
        <v>-2.2124955850000001</v>
      </c>
      <c r="D317" s="10">
        <v>16.717512877000001</v>
      </c>
      <c r="E317" s="10">
        <v>0.13499532359999999</v>
      </c>
      <c r="F317" s="10">
        <v>13.666697859999999</v>
      </c>
      <c r="G317" s="10">
        <v>13.954901632</v>
      </c>
      <c r="H317" s="10">
        <v>14.439622092</v>
      </c>
      <c r="I317" s="10">
        <v>15.386708276</v>
      </c>
      <c r="J317" s="10">
        <v>16.717512877000001</v>
      </c>
      <c r="K317" s="10">
        <v>18.50674506</v>
      </c>
      <c r="L317" s="10">
        <v>20.791454688000002</v>
      </c>
      <c r="M317" s="10">
        <v>22.690108545000001</v>
      </c>
      <c r="N317" s="10">
        <v>24.271975056999999</v>
      </c>
    </row>
    <row r="318" spans="1:14" x14ac:dyDescent="0.25">
      <c r="A318" s="10">
        <v>2</v>
      </c>
      <c r="B318" s="13">
        <v>9.875</v>
      </c>
      <c r="C318" s="10">
        <v>-2.1983127499999999</v>
      </c>
      <c r="D318" s="10">
        <v>16.765404961000002</v>
      </c>
      <c r="E318" s="10">
        <v>0.13569799560000001</v>
      </c>
      <c r="F318" s="10">
        <v>13.690819049</v>
      </c>
      <c r="G318" s="10">
        <v>13.981175358</v>
      </c>
      <c r="H318" s="10">
        <v>14.469566585000001</v>
      </c>
      <c r="I318" s="10">
        <v>15.423988935000001</v>
      </c>
      <c r="J318" s="10">
        <v>16.765404961000002</v>
      </c>
      <c r="K318" s="10">
        <v>18.569302960000002</v>
      </c>
      <c r="L318" s="10">
        <v>20.873084822999999</v>
      </c>
      <c r="M318" s="10">
        <v>22.787606652000001</v>
      </c>
      <c r="N318" s="10">
        <v>24.382535023999999</v>
      </c>
    </row>
    <row r="319" spans="1:14" x14ac:dyDescent="0.25">
      <c r="A319" s="10">
        <v>2</v>
      </c>
      <c r="B319" s="13">
        <v>9.9583333333333339</v>
      </c>
      <c r="C319" s="10">
        <v>-2.184580762</v>
      </c>
      <c r="D319" s="10">
        <v>16.813676886</v>
      </c>
      <c r="E319" s="10">
        <v>0.13638527550000001</v>
      </c>
      <c r="F319" s="10">
        <v>13.715503044</v>
      </c>
      <c r="G319" s="10">
        <v>14.007995218</v>
      </c>
      <c r="H319" s="10">
        <v>14.500028834</v>
      </c>
      <c r="I319" s="10">
        <v>15.461730832000001</v>
      </c>
      <c r="J319" s="10">
        <v>16.813676886</v>
      </c>
      <c r="K319" s="10">
        <v>18.632128591000001</v>
      </c>
      <c r="L319" s="10">
        <v>20.954836899</v>
      </c>
      <c r="M319" s="10">
        <v>22.88510501</v>
      </c>
      <c r="N319" s="10">
        <v>24.492994793000001</v>
      </c>
    </row>
    <row r="320" spans="1:14" x14ac:dyDescent="0.25">
      <c r="A320" s="10">
        <v>2</v>
      </c>
      <c r="B320" s="13">
        <v>10.041666666666666</v>
      </c>
      <c r="C320" s="10">
        <v>-2.171295888</v>
      </c>
      <c r="D320" s="10">
        <v>16.862313656000001</v>
      </c>
      <c r="E320" s="10">
        <v>0.1370570042</v>
      </c>
      <c r="F320" s="10">
        <v>13.740743496</v>
      </c>
      <c r="G320" s="10">
        <v>14.035354051000001</v>
      </c>
      <c r="H320" s="10">
        <v>14.531000299</v>
      </c>
      <c r="I320" s="10">
        <v>15.499922711</v>
      </c>
      <c r="J320" s="10">
        <v>16.862313656000001</v>
      </c>
      <c r="K320" s="10">
        <v>18.695202347999999</v>
      </c>
      <c r="L320" s="10">
        <v>21.036686750000001</v>
      </c>
      <c r="M320" s="10">
        <v>22.982577328000001</v>
      </c>
      <c r="N320" s="10">
        <v>24.603327787000001</v>
      </c>
    </row>
    <row r="321" spans="1:14" x14ac:dyDescent="0.25">
      <c r="A321" s="10">
        <v>2</v>
      </c>
      <c r="B321" s="13">
        <v>10.125</v>
      </c>
      <c r="C321" s="10">
        <v>-2.158454232</v>
      </c>
      <c r="D321" s="10">
        <v>16.911300356999998</v>
      </c>
      <c r="E321" s="10">
        <v>0.13771303909999999</v>
      </c>
      <c r="F321" s="10">
        <v>13.766533898</v>
      </c>
      <c r="G321" s="10">
        <v>14.063244557999999</v>
      </c>
      <c r="H321" s="10">
        <v>14.562472337999999</v>
      </c>
      <c r="I321" s="10">
        <v>15.538553290999999</v>
      </c>
      <c r="J321" s="10">
        <v>16.911300356999998</v>
      </c>
      <c r="K321" s="10">
        <v>18.758504858999999</v>
      </c>
      <c r="L321" s="10">
        <v>21.118610628999999</v>
      </c>
      <c r="M321" s="10">
        <v>23.079997876</v>
      </c>
      <c r="N321" s="10">
        <v>24.713508101999999</v>
      </c>
    </row>
    <row r="322" spans="1:14" x14ac:dyDescent="0.25">
      <c r="A322" s="10">
        <v>2</v>
      </c>
      <c r="B322" s="13">
        <v>10.208333333333334</v>
      </c>
      <c r="C322" s="10">
        <v>-2.1460517540000001</v>
      </c>
      <c r="D322" s="10">
        <v>16.960622155999999</v>
      </c>
      <c r="E322" s="10">
        <v>0.13835325370000001</v>
      </c>
      <c r="F322" s="10">
        <v>13.792867580999999</v>
      </c>
      <c r="G322" s="10">
        <v>14.091659301</v>
      </c>
      <c r="H322" s="10">
        <v>14.594436211</v>
      </c>
      <c r="I322" s="10">
        <v>15.577611268</v>
      </c>
      <c r="J322" s="10">
        <v>16.960622155999999</v>
      </c>
      <c r="K322" s="10">
        <v>18.822016982000001</v>
      </c>
      <c r="L322" s="10">
        <v>21.200585204999999</v>
      </c>
      <c r="M322" s="10">
        <v>23.177341493</v>
      </c>
      <c r="N322" s="10">
        <v>24.823510501000001</v>
      </c>
    </row>
    <row r="323" spans="1:14" x14ac:dyDescent="0.25">
      <c r="A323" s="10">
        <v>2</v>
      </c>
      <c r="B323" s="13">
        <v>10.291666666666666</v>
      </c>
      <c r="C323" s="10">
        <v>-2.1340843029999998</v>
      </c>
      <c r="D323" s="10">
        <v>17.010264304</v>
      </c>
      <c r="E323" s="10">
        <v>0.13897753739999999</v>
      </c>
      <c r="F323" s="10">
        <v>13.819737715</v>
      </c>
      <c r="G323" s="10">
        <v>14.120590705</v>
      </c>
      <c r="H323" s="10">
        <v>14.626883073</v>
      </c>
      <c r="I323" s="10">
        <v>15.617085307</v>
      </c>
      <c r="J323" s="10">
        <v>17.010264304</v>
      </c>
      <c r="K323" s="10">
        <v>18.885719804000001</v>
      </c>
      <c r="L323" s="10">
        <v>21.282587568</v>
      </c>
      <c r="M323" s="10">
        <v>23.274583578000001</v>
      </c>
      <c r="N323" s="10">
        <v>24.933310419000001</v>
      </c>
    </row>
    <row r="324" spans="1:14" x14ac:dyDescent="0.25">
      <c r="A324" s="10">
        <v>2</v>
      </c>
      <c r="B324" s="13">
        <v>10.375</v>
      </c>
      <c r="C324" s="10">
        <v>-2.122547629</v>
      </c>
      <c r="D324" s="10">
        <v>17.060212133</v>
      </c>
      <c r="E324" s="10">
        <v>0.1395857952</v>
      </c>
      <c r="F324" s="10">
        <v>13.847137310999999</v>
      </c>
      <c r="G324" s="10">
        <v>14.150031057</v>
      </c>
      <c r="H324" s="10">
        <v>14.659803981</v>
      </c>
      <c r="I324" s="10">
        <v>15.656964049999999</v>
      </c>
      <c r="J324" s="10">
        <v>17.060212133</v>
      </c>
      <c r="K324" s="10">
        <v>18.949594645000001</v>
      </c>
      <c r="L324" s="10">
        <v>21.364595226999999</v>
      </c>
      <c r="M324" s="10">
        <v>23.371700099000002</v>
      </c>
      <c r="N324" s="10">
        <v>25.042883960000001</v>
      </c>
    </row>
    <row r="325" spans="1:14" x14ac:dyDescent="0.25">
      <c r="A325" s="10">
        <v>2</v>
      </c>
      <c r="B325" s="13">
        <v>10.458333333333334</v>
      </c>
      <c r="C325" s="10">
        <v>-2.1114374109999998</v>
      </c>
      <c r="D325" s="10">
        <v>17.110451054999999</v>
      </c>
      <c r="E325" s="10">
        <v>0.14017794689999999</v>
      </c>
      <c r="F325" s="10">
        <v>13.875059221000001</v>
      </c>
      <c r="G325" s="10">
        <v>14.179972506</v>
      </c>
      <c r="H325" s="10">
        <v>14.693189889999999</v>
      </c>
      <c r="I325" s="10">
        <v>15.697236113000001</v>
      </c>
      <c r="J325" s="10">
        <v>17.110451054999999</v>
      </c>
      <c r="K325" s="10">
        <v>19.013623053</v>
      </c>
      <c r="L325" s="10">
        <v>21.446586108999998</v>
      </c>
      <c r="M325" s="10">
        <v>23.468667583999999</v>
      </c>
      <c r="N325" s="10">
        <v>25.152207900000001</v>
      </c>
    </row>
    <row r="326" spans="1:14" x14ac:dyDescent="0.25">
      <c r="A326" s="10">
        <v>2</v>
      </c>
      <c r="B326" s="13">
        <v>10.541666666666666</v>
      </c>
      <c r="C326" s="10">
        <v>-2.1007492659999998</v>
      </c>
      <c r="D326" s="10">
        <v>17.160966563999999</v>
      </c>
      <c r="E326" s="10">
        <v>0.14075392740000001</v>
      </c>
      <c r="F326" s="10">
        <v>13.903496139</v>
      </c>
      <c r="G326" s="10">
        <v>14.210407062</v>
      </c>
      <c r="H326" s="10">
        <v>14.727031655999999</v>
      </c>
      <c r="I326" s="10">
        <v>15.737890083</v>
      </c>
      <c r="J326" s="10">
        <v>17.160966563999999</v>
      </c>
      <c r="K326" s="10">
        <v>19.077786807999999</v>
      </c>
      <c r="L326" s="10">
        <v>21.528538558000001</v>
      </c>
      <c r="M326" s="10">
        <v>23.565463130000001</v>
      </c>
      <c r="N326" s="10">
        <v>25.261259683999999</v>
      </c>
    </row>
    <row r="327" spans="1:14" x14ac:dyDescent="0.25">
      <c r="A327" s="10">
        <v>2</v>
      </c>
      <c r="B327" s="13">
        <v>10.625</v>
      </c>
      <c r="C327" s="10">
        <v>-2.0904787740000002</v>
      </c>
      <c r="D327" s="10">
        <v>17.211744236000001</v>
      </c>
      <c r="E327" s="10">
        <v>0.14131368590000001</v>
      </c>
      <c r="F327" s="10">
        <v>13.932440597999999</v>
      </c>
      <c r="G327" s="10">
        <v>14.241326600000001</v>
      </c>
      <c r="H327" s="10">
        <v>14.761320031</v>
      </c>
      <c r="I327" s="10">
        <v>15.778914521000001</v>
      </c>
      <c r="J327" s="10">
        <v>17.211744236000001</v>
      </c>
      <c r="K327" s="10">
        <v>19.142067918999999</v>
      </c>
      <c r="L327" s="10">
        <v>21.610431341000002</v>
      </c>
      <c r="M327" s="10">
        <v>23.662064395000002</v>
      </c>
      <c r="N327" s="10">
        <v>25.370017427000001</v>
      </c>
    </row>
    <row r="328" spans="1:14" x14ac:dyDescent="0.25">
      <c r="A328" s="10">
        <v>2</v>
      </c>
      <c r="B328" s="13">
        <v>10.708333333333334</v>
      </c>
      <c r="C328" s="10">
        <v>-2.0806214839999999</v>
      </c>
      <c r="D328" s="10">
        <v>17.262769727999999</v>
      </c>
      <c r="E328" s="10">
        <v>0.14185718580000001</v>
      </c>
      <c r="F328" s="10">
        <v>13.961884973</v>
      </c>
      <c r="G328" s="10">
        <v>14.272722855</v>
      </c>
      <c r="H328" s="10">
        <v>14.796045668</v>
      </c>
      <c r="I328" s="10">
        <v>15.82029796</v>
      </c>
      <c r="J328" s="10">
        <v>17.262769727999999</v>
      </c>
      <c r="K328" s="10">
        <v>19.206448627</v>
      </c>
      <c r="L328" s="10">
        <v>21.692243641000001</v>
      </c>
      <c r="M328" s="10">
        <v>23.758449601999999</v>
      </c>
      <c r="N328" s="10">
        <v>25.478459915999998</v>
      </c>
    </row>
    <row r="329" spans="1:14" x14ac:dyDescent="0.25">
      <c r="A329" s="10">
        <v>2</v>
      </c>
      <c r="B329" s="13">
        <v>10.791666666666666</v>
      </c>
      <c r="C329" s="10">
        <v>-2.0711729320000001</v>
      </c>
      <c r="D329" s="10">
        <v>17.314028776000001</v>
      </c>
      <c r="E329" s="10">
        <v>0.14238440429999999</v>
      </c>
      <c r="F329" s="10">
        <v>13.991821482000001</v>
      </c>
      <c r="G329" s="10">
        <v>14.304587427</v>
      </c>
      <c r="H329" s="10">
        <v>14.831199119000001</v>
      </c>
      <c r="I329" s="10">
        <v>15.862028907999999</v>
      </c>
      <c r="J329" s="10">
        <v>17.314028776000001</v>
      </c>
      <c r="K329" s="10">
        <v>19.270911400999999</v>
      </c>
      <c r="L329" s="10">
        <v>21.773955057999999</v>
      </c>
      <c r="M329" s="10">
        <v>23.854597539</v>
      </c>
      <c r="N329" s="10">
        <v>25.586566608999998</v>
      </c>
    </row>
    <row r="330" spans="1:14" x14ac:dyDescent="0.25">
      <c r="A330" s="10">
        <v>2</v>
      </c>
      <c r="B330" s="13">
        <v>10.875</v>
      </c>
      <c r="C330" s="10">
        <v>-2.0621286489999999</v>
      </c>
      <c r="D330" s="10">
        <v>17.365507199</v>
      </c>
      <c r="E330" s="10">
        <v>0.1428953318</v>
      </c>
      <c r="F330" s="10">
        <v>14.022242182999999</v>
      </c>
      <c r="G330" s="10">
        <v>14.336911776999999</v>
      </c>
      <c r="H330" s="10">
        <v>14.866770835000001</v>
      </c>
      <c r="I330" s="10">
        <v>15.904095844</v>
      </c>
      <c r="J330" s="10">
        <v>17.365507199</v>
      </c>
      <c r="K330" s="10">
        <v>19.335438943</v>
      </c>
      <c r="L330" s="10">
        <v>21.855545616000001</v>
      </c>
      <c r="M330" s="10">
        <v>23.950487557999999</v>
      </c>
      <c r="N330" s="10">
        <v>25.694317634000001</v>
      </c>
    </row>
    <row r="331" spans="1:14" x14ac:dyDescent="0.25">
      <c r="A331" s="10">
        <v>2</v>
      </c>
      <c r="B331" s="13">
        <v>10.958333333333334</v>
      </c>
      <c r="C331" s="10">
        <v>-2.0534841730000002</v>
      </c>
      <c r="D331" s="10">
        <v>17.417190895000001</v>
      </c>
      <c r="E331" s="10">
        <v>0.143389972</v>
      </c>
      <c r="F331" s="10">
        <v>14.053138976</v>
      </c>
      <c r="G331" s="10">
        <v>14.369687229</v>
      </c>
      <c r="H331" s="10">
        <v>14.902751164</v>
      </c>
      <c r="I331" s="10">
        <v>15.946487218</v>
      </c>
      <c r="J331" s="10">
        <v>17.417190895000001</v>
      </c>
      <c r="K331" s="10">
        <v>19.400014184</v>
      </c>
      <c r="L331" s="10">
        <v>21.936995752000001</v>
      </c>
      <c r="M331" s="10">
        <v>24.046099572999999</v>
      </c>
      <c r="N331" s="10">
        <v>25.801693792999998</v>
      </c>
    </row>
    <row r="332" spans="1:14" x14ac:dyDescent="0.25">
      <c r="A332" s="10">
        <v>2</v>
      </c>
      <c r="B332" s="13">
        <v>11.041666666666666</v>
      </c>
      <c r="C332" s="10">
        <v>-2.0452350579999998</v>
      </c>
      <c r="D332" s="10">
        <v>17.469065844999999</v>
      </c>
      <c r="E332" s="10">
        <v>0.1438683412</v>
      </c>
      <c r="F332" s="10">
        <v>14.084503604</v>
      </c>
      <c r="G332" s="10">
        <v>14.402904971</v>
      </c>
      <c r="H332" s="10">
        <v>14.939130356</v>
      </c>
      <c r="I332" s="10">
        <v>15.989191457</v>
      </c>
      <c r="J332" s="10">
        <v>17.469065844999999</v>
      </c>
      <c r="K332" s="10">
        <v>19.464620283999999</v>
      </c>
      <c r="L332" s="10">
        <v>22.018286324999998</v>
      </c>
      <c r="M332" s="10">
        <v>24.141414064999999</v>
      </c>
      <c r="N332" s="10">
        <v>25.908676558</v>
      </c>
    </row>
    <row r="333" spans="1:14" x14ac:dyDescent="0.25">
      <c r="A333" s="10">
        <v>2</v>
      </c>
      <c r="B333" s="13">
        <v>11.125</v>
      </c>
      <c r="C333" s="10">
        <v>-2.0373768800000001</v>
      </c>
      <c r="D333" s="10">
        <v>17.52111811</v>
      </c>
      <c r="E333" s="10">
        <v>0.1443304685</v>
      </c>
      <c r="F333" s="10">
        <v>14.116327651000001</v>
      </c>
      <c r="G333" s="10">
        <v>14.436556052</v>
      </c>
      <c r="H333" s="10">
        <v>14.975898557000001</v>
      </c>
      <c r="I333" s="10">
        <v>16.032196956</v>
      </c>
      <c r="J333" s="10">
        <v>17.52111811</v>
      </c>
      <c r="K333" s="10">
        <v>19.529240638000001</v>
      </c>
      <c r="L333" s="10">
        <v>22.099398612000002</v>
      </c>
      <c r="M333" s="10">
        <v>24.236412075</v>
      </c>
      <c r="N333" s="10">
        <v>26.015248073999999</v>
      </c>
    </row>
    <row r="334" spans="1:14" x14ac:dyDescent="0.25">
      <c r="A334" s="10">
        <v>2</v>
      </c>
      <c r="B334" s="13">
        <v>11.208333333333334</v>
      </c>
      <c r="C334" s="10">
        <v>-2.0299066840000002</v>
      </c>
      <c r="D334" s="10">
        <v>17.573333469000001</v>
      </c>
      <c r="E334" s="10">
        <v>0.1447763715</v>
      </c>
      <c r="F334" s="10">
        <v>14.148603066</v>
      </c>
      <c r="G334" s="10">
        <v>14.470631805</v>
      </c>
      <c r="H334" s="10">
        <v>15.013046071</v>
      </c>
      <c r="I334" s="10">
        <v>16.075492051000001</v>
      </c>
      <c r="J334" s="10">
        <v>17.573333469000001</v>
      </c>
      <c r="K334" s="10">
        <v>19.593858264000001</v>
      </c>
      <c r="L334" s="10">
        <v>22.180313815000002</v>
      </c>
      <c r="M334" s="10">
        <v>24.331075255999998</v>
      </c>
      <c r="N334" s="10">
        <v>26.121392012000001</v>
      </c>
    </row>
    <row r="335" spans="1:14" x14ac:dyDescent="0.25">
      <c r="A335" s="10">
        <v>2</v>
      </c>
      <c r="B335" s="13">
        <v>11.291666666666666</v>
      </c>
      <c r="C335" s="10">
        <v>-2.022817914</v>
      </c>
      <c r="D335" s="10">
        <v>17.625698688</v>
      </c>
      <c r="E335" s="10">
        <v>0.14520613809999999</v>
      </c>
      <c r="F335" s="10">
        <v>14.181320323</v>
      </c>
      <c r="G335" s="10">
        <v>14.505122367</v>
      </c>
      <c r="H335" s="10">
        <v>15.050562450999999</v>
      </c>
      <c r="I335" s="10">
        <v>16.119065132999999</v>
      </c>
      <c r="J335" s="10">
        <v>17.625698688</v>
      </c>
      <c r="K335" s="10">
        <v>19.658457924</v>
      </c>
      <c r="L335" s="10">
        <v>22.261014785</v>
      </c>
      <c r="M335" s="10">
        <v>24.4253857</v>
      </c>
      <c r="N335" s="10">
        <v>26.227090562000001</v>
      </c>
    </row>
    <row r="336" spans="1:14" x14ac:dyDescent="0.25">
      <c r="A336" s="10">
        <v>2</v>
      </c>
      <c r="B336" s="13">
        <v>11.375</v>
      </c>
      <c r="C336" s="10">
        <v>-2.0161070840000002</v>
      </c>
      <c r="D336" s="10">
        <v>17.678199868</v>
      </c>
      <c r="E336" s="10">
        <v>0.14561981930000001</v>
      </c>
      <c r="F336" s="10">
        <v>14.214470838</v>
      </c>
      <c r="G336" s="10">
        <v>14.540018622</v>
      </c>
      <c r="H336" s="10">
        <v>15.088437691999999</v>
      </c>
      <c r="I336" s="10">
        <v>16.162904499</v>
      </c>
      <c r="J336" s="10">
        <v>17.678199868</v>
      </c>
      <c r="K336" s="10">
        <v>19.723023360999999</v>
      </c>
      <c r="L336" s="10">
        <v>22.341483772</v>
      </c>
      <c r="M336" s="10">
        <v>24.519326161999999</v>
      </c>
      <c r="N336" s="10">
        <v>26.332328373999999</v>
      </c>
    </row>
    <row r="337" spans="1:14" x14ac:dyDescent="0.25">
      <c r="A337" s="10">
        <v>2</v>
      </c>
      <c r="B337" s="13">
        <v>11.458333333333334</v>
      </c>
      <c r="C337" s="10">
        <v>-2.0097699050000002</v>
      </c>
      <c r="D337" s="10">
        <v>17.730823397000002</v>
      </c>
      <c r="E337" s="10">
        <v>0.14601749059999999</v>
      </c>
      <c r="F337" s="10">
        <v>14.248045558999999</v>
      </c>
      <c r="G337" s="10">
        <v>14.575311069</v>
      </c>
      <c r="H337" s="10">
        <v>15.126661536</v>
      </c>
      <c r="I337" s="10">
        <v>16.206998437999999</v>
      </c>
      <c r="J337" s="10">
        <v>17.730823397000002</v>
      </c>
      <c r="K337" s="10">
        <v>19.787538893000001</v>
      </c>
      <c r="L337" s="10">
        <v>22.421703726000001</v>
      </c>
      <c r="M337" s="10">
        <v>24.612879932999999</v>
      </c>
      <c r="N337" s="10">
        <v>26.437090270999999</v>
      </c>
    </row>
    <row r="338" spans="1:14" x14ac:dyDescent="0.25">
      <c r="A338" s="10">
        <v>2</v>
      </c>
      <c r="B338" s="13">
        <v>11.541666666666666</v>
      </c>
      <c r="C338" s="10">
        <v>-2.0038021339999998</v>
      </c>
      <c r="D338" s="10">
        <v>17.783555746000001</v>
      </c>
      <c r="E338" s="10">
        <v>0.14639923860000001</v>
      </c>
      <c r="F338" s="10">
        <v>14.282035277</v>
      </c>
      <c r="G338" s="10">
        <v>14.610990066999999</v>
      </c>
      <c r="H338" s="10">
        <v>15.165223622999999</v>
      </c>
      <c r="I338" s="10">
        <v>16.251335212000001</v>
      </c>
      <c r="J338" s="10">
        <v>17.783555746000001</v>
      </c>
      <c r="K338" s="10">
        <v>19.851989072999999</v>
      </c>
      <c r="L338" s="10">
        <v>22.501658014</v>
      </c>
      <c r="M338" s="10">
        <v>24.706030861999999</v>
      </c>
      <c r="N338" s="10">
        <v>26.54136175</v>
      </c>
    </row>
    <row r="339" spans="1:14" x14ac:dyDescent="0.25">
      <c r="A339" s="10">
        <v>2</v>
      </c>
      <c r="B339" s="13">
        <v>11.625</v>
      </c>
      <c r="C339" s="10">
        <v>-1.9981995720000001</v>
      </c>
      <c r="D339" s="10">
        <v>17.836383471000001</v>
      </c>
      <c r="E339" s="10">
        <v>0.14676516049999999</v>
      </c>
      <c r="F339" s="10">
        <v>14.31643062</v>
      </c>
      <c r="G339" s="10">
        <v>14.647045838</v>
      </c>
      <c r="H339" s="10">
        <v>15.204113490999999</v>
      </c>
      <c r="I339" s="10">
        <v>16.295903054</v>
      </c>
      <c r="J339" s="10">
        <v>17.836383471000001</v>
      </c>
      <c r="K339" s="10">
        <v>19.916358688999999</v>
      </c>
      <c r="L339" s="10">
        <v>22.581330425000001</v>
      </c>
      <c r="M339" s="10">
        <v>24.798763362999999</v>
      </c>
      <c r="N339" s="10">
        <v>26.645128973999999</v>
      </c>
    </row>
    <row r="340" spans="1:14" x14ac:dyDescent="0.25">
      <c r="A340" s="10">
        <v>2</v>
      </c>
      <c r="B340" s="13">
        <v>11.708333333333334</v>
      </c>
      <c r="C340" s="10">
        <v>-1.992958064</v>
      </c>
      <c r="D340" s="10">
        <v>17.889293209000002</v>
      </c>
      <c r="E340" s="10">
        <v>0.14711536389999999</v>
      </c>
      <c r="F340" s="10">
        <v>14.351222057999999</v>
      </c>
      <c r="G340" s="10">
        <v>14.683468464000001</v>
      </c>
      <c r="H340" s="10">
        <v>15.243320574</v>
      </c>
      <c r="I340" s="10">
        <v>16.340690170999999</v>
      </c>
      <c r="J340" s="10">
        <v>17.889293209000002</v>
      </c>
      <c r="K340" s="10">
        <v>19.980632761999999</v>
      </c>
      <c r="L340" s="10">
        <v>22.660705166</v>
      </c>
      <c r="M340" s="10">
        <v>24.891062407</v>
      </c>
      <c r="N340" s="10">
        <v>26.748378777999999</v>
      </c>
    </row>
    <row r="341" spans="1:14" x14ac:dyDescent="0.25">
      <c r="A341" s="10">
        <v>2</v>
      </c>
      <c r="B341" s="13">
        <v>11.791666666666666</v>
      </c>
      <c r="C341" s="10">
        <v>-1.988073505</v>
      </c>
      <c r="D341" s="10">
        <v>17.942271684000001</v>
      </c>
      <c r="E341" s="10">
        <v>0.1474499668</v>
      </c>
      <c r="F341" s="10">
        <v>14.386399899000001</v>
      </c>
      <c r="G341" s="10">
        <v>14.720247887999999</v>
      </c>
      <c r="H341" s="10">
        <v>15.282834206</v>
      </c>
      <c r="I341" s="10">
        <v>16.385684745999999</v>
      </c>
      <c r="J341" s="10">
        <v>17.942271684000001</v>
      </c>
      <c r="K341" s="10">
        <v>20.044796548000001</v>
      </c>
      <c r="L341" s="10">
        <v>22.739766862</v>
      </c>
      <c r="M341" s="10">
        <v>24.982913526000001</v>
      </c>
      <c r="N341" s="10">
        <v>26.851098664999999</v>
      </c>
    </row>
    <row r="342" spans="1:14" x14ac:dyDescent="0.25">
      <c r="A342" s="10">
        <v>2</v>
      </c>
      <c r="B342" s="13">
        <v>11.875</v>
      </c>
      <c r="C342" s="10">
        <v>-1.983541835</v>
      </c>
      <c r="D342" s="10">
        <v>17.995305704</v>
      </c>
      <c r="E342" s="10">
        <v>0.1477690965</v>
      </c>
      <c r="F342" s="10">
        <v>14.42195429</v>
      </c>
      <c r="G342" s="10">
        <v>14.757373914</v>
      </c>
      <c r="H342" s="10">
        <v>15.322643618000001</v>
      </c>
      <c r="I342" s="10">
        <v>16.430874932999998</v>
      </c>
      <c r="J342" s="10">
        <v>17.995305704</v>
      </c>
      <c r="K342" s="10">
        <v>20.108835539000001</v>
      </c>
      <c r="L342" s="10">
        <v>22.818500558</v>
      </c>
      <c r="M342" s="10">
        <v>25.074302810999999</v>
      </c>
      <c r="N342" s="10">
        <v>26.953276807000002</v>
      </c>
    </row>
    <row r="343" spans="1:14" x14ac:dyDescent="0.25">
      <c r="A343" s="10">
        <v>2</v>
      </c>
      <c r="B343" s="13">
        <v>11.958333333333334</v>
      </c>
      <c r="C343" s="10">
        <v>-1.9793590409999999</v>
      </c>
      <c r="D343" s="10">
        <v>18.048382161999999</v>
      </c>
      <c r="E343" s="10">
        <v>0.14807289060000001</v>
      </c>
      <c r="F343" s="10">
        <v>14.457875217</v>
      </c>
      <c r="G343" s="10">
        <v>14.794836203999999</v>
      </c>
      <c r="H343" s="10">
        <v>15.362737939000001</v>
      </c>
      <c r="I343" s="10">
        <v>16.476248860999998</v>
      </c>
      <c r="J343" s="10">
        <v>18.048382161999999</v>
      </c>
      <c r="K343" s="10">
        <v>20.172735460999998</v>
      </c>
      <c r="L343" s="10">
        <v>22.896891715999999</v>
      </c>
      <c r="M343" s="10">
        <v>25.165216913999998</v>
      </c>
      <c r="N343" s="10">
        <v>27.054902045999999</v>
      </c>
    </row>
    <row r="344" spans="1:14" x14ac:dyDescent="0.25">
      <c r="A344" s="10">
        <v>2</v>
      </c>
      <c r="B344" s="13">
        <v>12.041666666666666</v>
      </c>
      <c r="C344" s="10">
        <v>-1.9755211559999999</v>
      </c>
      <c r="D344" s="10">
        <v>18.101488035999999</v>
      </c>
      <c r="E344" s="10">
        <v>0.14836149539999999</v>
      </c>
      <c r="F344" s="10">
        <v>14.494152502</v>
      </c>
      <c r="G344" s="10">
        <v>14.832624280999999</v>
      </c>
      <c r="H344" s="10">
        <v>15.403106192999999</v>
      </c>
      <c r="I344" s="10">
        <v>16.521794631999999</v>
      </c>
      <c r="J344" s="10">
        <v>18.101488035999999</v>
      </c>
      <c r="K344" s="10">
        <v>20.236482278</v>
      </c>
      <c r="L344" s="10">
        <v>22.974926221</v>
      </c>
      <c r="M344" s="10">
        <v>25.255643042999999</v>
      </c>
      <c r="N344" s="10">
        <v>27.155963890999999</v>
      </c>
    </row>
    <row r="345" spans="1:14" x14ac:dyDescent="0.25">
      <c r="A345" s="10">
        <v>2</v>
      </c>
      <c r="B345" s="13">
        <v>12.125</v>
      </c>
      <c r="C345" s="10">
        <v>-1.972024258</v>
      </c>
      <c r="D345" s="10">
        <v>18.154610393999999</v>
      </c>
      <c r="E345" s="10">
        <v>0.14863506679999999</v>
      </c>
      <c r="F345" s="10">
        <v>14.530775806999999</v>
      </c>
      <c r="G345" s="10">
        <v>14.870727527</v>
      </c>
      <c r="H345" s="10">
        <v>15.443737305999999</v>
      </c>
      <c r="I345" s="10">
        <v>16.567500325000001</v>
      </c>
      <c r="J345" s="10">
        <v>18.154610393999999</v>
      </c>
      <c r="K345" s="10">
        <v>20.300062190999999</v>
      </c>
      <c r="L345" s="10">
        <v>23.052590371000001</v>
      </c>
      <c r="M345" s="10">
        <v>25.345568965999998</v>
      </c>
      <c r="N345" s="10">
        <v>27.256452521</v>
      </c>
    </row>
    <row r="346" spans="1:14" x14ac:dyDescent="0.25">
      <c r="A346" s="10">
        <v>2</v>
      </c>
      <c r="B346" s="13">
        <v>12.208333333333334</v>
      </c>
      <c r="C346" s="10">
        <v>-1.968864465</v>
      </c>
      <c r="D346" s="10">
        <v>18.207736386000001</v>
      </c>
      <c r="E346" s="10">
        <v>0.14889376939999999</v>
      </c>
      <c r="F346" s="10">
        <v>14.567734629</v>
      </c>
      <c r="G346" s="10">
        <v>14.909135184</v>
      </c>
      <c r="H346" s="10">
        <v>15.484620095</v>
      </c>
      <c r="I346" s="10">
        <v>16.61335399</v>
      </c>
      <c r="J346" s="10">
        <v>18.207736386000001</v>
      </c>
      <c r="K346" s="10">
        <v>20.363461637</v>
      </c>
      <c r="L346" s="10">
        <v>23.129870887999999</v>
      </c>
      <c r="M346" s="10">
        <v>25.434983007</v>
      </c>
      <c r="N346" s="10">
        <v>27.356358781000001</v>
      </c>
    </row>
    <row r="347" spans="1:14" x14ac:dyDescent="0.25">
      <c r="A347" s="10">
        <v>2</v>
      </c>
      <c r="B347" s="13">
        <v>12.291666666666666</v>
      </c>
      <c r="C347" s="10">
        <v>-1.9660379379999999</v>
      </c>
      <c r="D347" s="10">
        <v>18.260853253000001</v>
      </c>
      <c r="E347" s="10">
        <v>0.14913777640000001</v>
      </c>
      <c r="F347" s="10">
        <v>14.605018300999999</v>
      </c>
      <c r="G347" s="10">
        <v>14.947836350999999</v>
      </c>
      <c r="H347" s="10">
        <v>15.52574328</v>
      </c>
      <c r="I347" s="10">
        <v>16.659343656000001</v>
      </c>
      <c r="J347" s="10">
        <v>18.260853253000001</v>
      </c>
      <c r="K347" s="10">
        <v>20.426667293000001</v>
      </c>
      <c r="L347" s="10">
        <v>23.206754910000001</v>
      </c>
      <c r="M347" s="10">
        <v>25.523874049</v>
      </c>
      <c r="N347" s="10">
        <v>27.455674187</v>
      </c>
    </row>
    <row r="348" spans="1:14" x14ac:dyDescent="0.25">
      <c r="A348" s="10">
        <v>2</v>
      </c>
      <c r="B348" s="13">
        <v>12.375</v>
      </c>
      <c r="C348" s="10">
        <v>-1.963540872</v>
      </c>
      <c r="D348" s="10">
        <v>18.313948323999998</v>
      </c>
      <c r="E348" s="10">
        <v>0.14936726950000001</v>
      </c>
      <c r="F348" s="10">
        <v>14.642615994</v>
      </c>
      <c r="G348" s="10">
        <v>14.986819986</v>
      </c>
      <c r="H348" s="10">
        <v>15.567095474</v>
      </c>
      <c r="I348" s="10">
        <v>16.705457324000001</v>
      </c>
      <c r="J348" s="10">
        <v>18.313948323999998</v>
      </c>
      <c r="K348" s="10">
        <v>20.489666073999999</v>
      </c>
      <c r="L348" s="10">
        <v>23.283229993999999</v>
      </c>
      <c r="M348" s="10">
        <v>25.612231527999999</v>
      </c>
      <c r="N348" s="10">
        <v>27.554390919999999</v>
      </c>
    </row>
    <row r="349" spans="1:14" x14ac:dyDescent="0.25">
      <c r="A349" s="10">
        <v>2</v>
      </c>
      <c r="B349" s="13">
        <v>12.458333333333334</v>
      </c>
      <c r="C349" s="10">
        <v>-1.9613694989999999</v>
      </c>
      <c r="D349" s="10">
        <v>18.367009017000001</v>
      </c>
      <c r="E349" s="10">
        <v>0.14958243860000001</v>
      </c>
      <c r="F349" s="10">
        <v>14.680516711999999</v>
      </c>
      <c r="G349" s="10">
        <v>15.026074904</v>
      </c>
      <c r="H349" s="10">
        <v>15.608665187</v>
      </c>
      <c r="I349" s="10">
        <v>16.751682972000001</v>
      </c>
      <c r="J349" s="10">
        <v>18.367009017000001</v>
      </c>
      <c r="K349" s="10">
        <v>20.552445134999999</v>
      </c>
      <c r="L349" s="10">
        <v>23.359284118000001</v>
      </c>
      <c r="M349" s="10">
        <v>25.700045441</v>
      </c>
      <c r="N349" s="10">
        <v>27.652501828999998</v>
      </c>
    </row>
    <row r="350" spans="1:14" x14ac:dyDescent="0.25">
      <c r="A350" s="10">
        <v>2</v>
      </c>
      <c r="B350" s="13">
        <v>12.541666666666666</v>
      </c>
      <c r="C350" s="10">
        <v>-1.959520079</v>
      </c>
      <c r="D350" s="10">
        <v>18.420022839000001</v>
      </c>
      <c r="E350" s="10">
        <v>0.14978348159999999</v>
      </c>
      <c r="F350" s="10">
        <v>14.718709295</v>
      </c>
      <c r="G350" s="10">
        <v>15.065589778</v>
      </c>
      <c r="H350" s="10">
        <v>15.650440826000001</v>
      </c>
      <c r="I350" s="10">
        <v>16.798008552999999</v>
      </c>
      <c r="J350" s="10">
        <v>18.420022839000001</v>
      </c>
      <c r="K350" s="10">
        <v>20.614991870000001</v>
      </c>
      <c r="L350" s="10">
        <v>23.434905677</v>
      </c>
      <c r="M350" s="10">
        <v>25.787306336</v>
      </c>
      <c r="N350" s="10">
        <v>27.750000429</v>
      </c>
    </row>
    <row r="351" spans="1:14" x14ac:dyDescent="0.25">
      <c r="A351" s="10">
        <v>2</v>
      </c>
      <c r="B351" s="13">
        <v>12.625</v>
      </c>
      <c r="C351" s="10">
        <v>-1.9579888999999999</v>
      </c>
      <c r="D351" s="10">
        <v>18.472977388</v>
      </c>
      <c r="E351" s="10">
        <v>0.1499706043</v>
      </c>
      <c r="F351" s="10">
        <v>14.757182414000001</v>
      </c>
      <c r="G351" s="10">
        <v>15.105353137</v>
      </c>
      <c r="H351" s="10">
        <v>15.692410697</v>
      </c>
      <c r="I351" s="10">
        <v>16.844421999000001</v>
      </c>
      <c r="J351" s="10">
        <v>18.472977388</v>
      </c>
      <c r="K351" s="10">
        <v>20.677293916</v>
      </c>
      <c r="L351" s="10">
        <v>23.510083485999999</v>
      </c>
      <c r="M351" s="10">
        <v>25.874005318999998</v>
      </c>
      <c r="N351" s="10">
        <v>27.846880902999999</v>
      </c>
    </row>
    <row r="352" spans="1:14" x14ac:dyDescent="0.25">
      <c r="A352" s="10">
        <v>2</v>
      </c>
      <c r="B352" s="13">
        <v>12.708333333333334</v>
      </c>
      <c r="C352" s="10">
        <v>-1.956772271</v>
      </c>
      <c r="D352" s="10">
        <v>18.525860351999999</v>
      </c>
      <c r="E352" s="10">
        <v>0.1501440201</v>
      </c>
      <c r="F352" s="10">
        <v>14.795924576000001</v>
      </c>
      <c r="G352" s="10">
        <v>15.145353366</v>
      </c>
      <c r="H352" s="10">
        <v>15.734562996999999</v>
      </c>
      <c r="I352" s="10">
        <v>16.890911213999999</v>
      </c>
      <c r="J352" s="10">
        <v>18.525860351999999</v>
      </c>
      <c r="K352" s="10">
        <v>20.739339150999999</v>
      </c>
      <c r="L352" s="10">
        <v>23.584806779000001</v>
      </c>
      <c r="M352" s="10">
        <v>25.960134049000001</v>
      </c>
      <c r="N352" s="10">
        <v>27.943138098999999</v>
      </c>
    </row>
    <row r="353" spans="1:14" x14ac:dyDescent="0.25">
      <c r="A353" s="10">
        <v>2</v>
      </c>
      <c r="B353" s="13">
        <v>12.791666666666666</v>
      </c>
      <c r="C353" s="10">
        <v>-1.9558665200000001</v>
      </c>
      <c r="D353" s="10">
        <v>18.578659513000002</v>
      </c>
      <c r="E353" s="10">
        <v>0.1503039498</v>
      </c>
      <c r="F353" s="10">
        <v>14.83492412</v>
      </c>
      <c r="G353" s="10">
        <v>15.185578709</v>
      </c>
      <c r="H353" s="10">
        <v>15.776885824000001</v>
      </c>
      <c r="I353" s="10">
        <v>16.937464082000002</v>
      </c>
      <c r="J353" s="10">
        <v>18.578659513000002</v>
      </c>
      <c r="K353" s="10">
        <v>20.801115694</v>
      </c>
      <c r="L353" s="10">
        <v>23.659065209000001</v>
      </c>
      <c r="M353" s="10">
        <v>26.045684737999999</v>
      </c>
      <c r="N353" s="10">
        <v>28.038767530000001</v>
      </c>
    </row>
    <row r="354" spans="1:14" x14ac:dyDescent="0.25">
      <c r="A354" s="10">
        <v>2</v>
      </c>
      <c r="B354" s="13">
        <v>12.875</v>
      </c>
      <c r="C354" s="10">
        <v>-1.955267984</v>
      </c>
      <c r="D354" s="10">
        <v>18.631362745000001</v>
      </c>
      <c r="E354" s="10">
        <v>0.15045062140000001</v>
      </c>
      <c r="F354" s="10">
        <v>14.874169215</v>
      </c>
      <c r="G354" s="10">
        <v>15.226017260000001</v>
      </c>
      <c r="H354" s="10">
        <v>15.819367167999999</v>
      </c>
      <c r="I354" s="10">
        <v>16.984068463</v>
      </c>
      <c r="J354" s="10">
        <v>18.631362745000001</v>
      </c>
      <c r="K354" s="10">
        <v>20.862611908000002</v>
      </c>
      <c r="L354" s="10">
        <v>23.732848848</v>
      </c>
      <c r="M354" s="10">
        <v>26.130650155000001</v>
      </c>
      <c r="N354" s="10">
        <v>28.133765374999999</v>
      </c>
    </row>
    <row r="355" spans="1:14" x14ac:dyDescent="0.25">
      <c r="A355" s="10">
        <v>2</v>
      </c>
      <c r="B355" s="13">
        <v>12.958333333333334</v>
      </c>
      <c r="C355" s="10">
        <v>-1.9549730110000001</v>
      </c>
      <c r="D355" s="10">
        <v>18.683958013000002</v>
      </c>
      <c r="E355" s="10">
        <v>0.15058427020000001</v>
      </c>
      <c r="F355" s="10">
        <v>14.913647860999999</v>
      </c>
      <c r="G355" s="10">
        <v>15.266656971</v>
      </c>
      <c r="H355" s="10">
        <v>15.861994917000001</v>
      </c>
      <c r="I355" s="10">
        <v>17.030712195</v>
      </c>
      <c r="J355" s="10">
        <v>18.683958013000002</v>
      </c>
      <c r="K355" s="10">
        <v>20.923816402</v>
      </c>
      <c r="L355" s="10">
        <v>23.806148189000002</v>
      </c>
      <c r="M355" s="10">
        <v>26.215023617</v>
      </c>
      <c r="N355" s="10">
        <v>28.228128477999999</v>
      </c>
    </row>
    <row r="356" spans="1:14" x14ac:dyDescent="0.25">
      <c r="A356" s="10">
        <v>2</v>
      </c>
      <c r="B356" s="13">
        <v>13.041666666666666</v>
      </c>
      <c r="C356" s="10">
        <v>-1.9549779469999999</v>
      </c>
      <c r="D356" s="10">
        <v>18.736433381000001</v>
      </c>
      <c r="E356" s="10">
        <v>0.15070513839999999</v>
      </c>
      <c r="F356" s="10">
        <v>14.953347891</v>
      </c>
      <c r="G356" s="10">
        <v>15.307485648</v>
      </c>
      <c r="H356" s="10">
        <v>15.904756854</v>
      </c>
      <c r="I356" s="10">
        <v>17.077383093000002</v>
      </c>
      <c r="J356" s="10">
        <v>18.736433381000001</v>
      </c>
      <c r="K356" s="10">
        <v>20.984718028</v>
      </c>
      <c r="L356" s="10">
        <v>23.878954143000001</v>
      </c>
      <c r="M356" s="10">
        <v>26.298798996999999</v>
      </c>
      <c r="N356" s="10">
        <v>28.321854344999998</v>
      </c>
    </row>
    <row r="357" spans="1:14" x14ac:dyDescent="0.25">
      <c r="A357" s="10">
        <v>2</v>
      </c>
      <c r="B357" s="13">
        <v>13.125</v>
      </c>
      <c r="C357" s="10">
        <v>-1.9552791359999999</v>
      </c>
      <c r="D357" s="10">
        <v>18.788777004</v>
      </c>
      <c r="E357" s="10">
        <v>0.15081347480000001</v>
      </c>
      <c r="F357" s="10">
        <v>14.993256963</v>
      </c>
      <c r="G357" s="10">
        <v>15.34849095</v>
      </c>
      <c r="H357" s="10">
        <v>15.947640656000001</v>
      </c>
      <c r="I357" s="10">
        <v>17.124068951000002</v>
      </c>
      <c r="J357" s="10">
        <v>18.788777004</v>
      </c>
      <c r="K357" s="10">
        <v>21.045305885000001</v>
      </c>
      <c r="L357" s="10">
        <v>23.951258041999999</v>
      </c>
      <c r="M357" s="10">
        <v>26.381970718000002</v>
      </c>
      <c r="N357" s="10">
        <v>28.414941148</v>
      </c>
    </row>
    <row r="358" spans="1:14" x14ac:dyDescent="0.25">
      <c r="A358" s="10">
        <v>2</v>
      </c>
      <c r="B358" s="13">
        <v>13.208333333333334</v>
      </c>
      <c r="C358" s="10">
        <v>-1.955872909</v>
      </c>
      <c r="D358" s="10">
        <v>18.840977133999999</v>
      </c>
      <c r="E358" s="10">
        <v>0.1509095352</v>
      </c>
      <c r="F358" s="10">
        <v>15.033362566999999</v>
      </c>
      <c r="G358" s="10">
        <v>15.389660388999999</v>
      </c>
      <c r="H358" s="10">
        <v>15.990633897</v>
      </c>
      <c r="I358" s="10">
        <v>17.170757542</v>
      </c>
      <c r="J358" s="10">
        <v>18.840977133999999</v>
      </c>
      <c r="K358" s="10">
        <v>21.105569316</v>
      </c>
      <c r="L358" s="10">
        <v>24.023051636999998</v>
      </c>
      <c r="M358" s="10">
        <v>26.464533755000001</v>
      </c>
      <c r="N358" s="10">
        <v>28.507387718</v>
      </c>
    </row>
    <row r="359" spans="1:14" x14ac:dyDescent="0.25">
      <c r="A359" s="10">
        <v>2</v>
      </c>
      <c r="B359" s="13">
        <v>13.291666666666666</v>
      </c>
      <c r="C359" s="10">
        <v>-1.956755579</v>
      </c>
      <c r="D359" s="10">
        <v>18.893022121000001</v>
      </c>
      <c r="E359" s="10">
        <v>0.1509935818</v>
      </c>
      <c r="F359" s="10">
        <v>15.073652017000001</v>
      </c>
      <c r="G359" s="10">
        <v>15.430981329</v>
      </c>
      <c r="H359" s="10">
        <v>16.033724042999999</v>
      </c>
      <c r="I359" s="10">
        <v>17.217436616000001</v>
      </c>
      <c r="J359" s="10">
        <v>18.893022121000001</v>
      </c>
      <c r="K359" s="10">
        <v>21.165497916</v>
      </c>
      <c r="L359" s="10">
        <v>24.094327100000001</v>
      </c>
      <c r="M359" s="10">
        <v>26.546483632000001</v>
      </c>
      <c r="N359" s="10">
        <v>28.599193551999999</v>
      </c>
    </row>
    <row r="360" spans="1:14" x14ac:dyDescent="0.25">
      <c r="A360" s="10">
        <v>2</v>
      </c>
      <c r="B360" s="13">
        <v>13.375</v>
      </c>
      <c r="C360" s="10">
        <v>-1.957923436</v>
      </c>
      <c r="D360" s="10">
        <v>18.944900410999999</v>
      </c>
      <c r="E360" s="10">
        <v>0.1510658829</v>
      </c>
      <c r="F360" s="10">
        <v>15.114112457999999</v>
      </c>
      <c r="G360" s="10">
        <v>15.472440986000001</v>
      </c>
      <c r="H360" s="10">
        <v>16.076898456999999</v>
      </c>
      <c r="I360" s="10">
        <v>17.264093903999999</v>
      </c>
      <c r="J360" s="10">
        <v>18.944900410999999</v>
      </c>
      <c r="K360" s="10">
        <v>21.225081524</v>
      </c>
      <c r="L360" s="10">
        <v>24.165077023999999</v>
      </c>
      <c r="M360" s="10">
        <v>26.627816425999999</v>
      </c>
      <c r="N360" s="10">
        <v>28.690358804999999</v>
      </c>
    </row>
    <row r="361" spans="1:14" x14ac:dyDescent="0.25">
      <c r="A361" s="10">
        <v>2</v>
      </c>
      <c r="B361" s="13">
        <v>13.458333333333334</v>
      </c>
      <c r="C361" s="10">
        <v>-1.959372737</v>
      </c>
      <c r="D361" s="10">
        <v>18.996600549</v>
      </c>
      <c r="E361" s="10">
        <v>0.15112671359999999</v>
      </c>
      <c r="F361" s="10">
        <v>15.154730857000001</v>
      </c>
      <c r="G361" s="10">
        <v>15.514026426999999</v>
      </c>
      <c r="H361" s="10">
        <v>16.120144395000001</v>
      </c>
      <c r="I361" s="10">
        <v>17.310717114999999</v>
      </c>
      <c r="J361" s="10">
        <v>18.996600549</v>
      </c>
      <c r="K361" s="10">
        <v>21.284310232999999</v>
      </c>
      <c r="L361" s="10">
        <v>24.235294420999999</v>
      </c>
      <c r="M361" s="10">
        <v>26.70852876</v>
      </c>
      <c r="N361" s="10">
        <v>28.780884296</v>
      </c>
    </row>
    <row r="362" spans="1:14" x14ac:dyDescent="0.25">
      <c r="A362" s="10">
        <v>2</v>
      </c>
      <c r="B362" s="13">
        <v>13.541666666666666</v>
      </c>
      <c r="C362" s="10">
        <v>-1.9610996999999999</v>
      </c>
      <c r="D362" s="10">
        <v>19.048111178999999</v>
      </c>
      <c r="E362" s="10">
        <v>0.15117635469999999</v>
      </c>
      <c r="F362" s="10">
        <v>15.195494007000001</v>
      </c>
      <c r="G362" s="10">
        <v>15.555724571000001</v>
      </c>
      <c r="H362" s="10">
        <v>16.163449007000001</v>
      </c>
      <c r="I362" s="10">
        <v>17.357293940000002</v>
      </c>
      <c r="J362" s="10">
        <v>19.048111178999999</v>
      </c>
      <c r="K362" s="10">
        <v>21.343174381000001</v>
      </c>
      <c r="L362" s="10">
        <v>24.304972724999999</v>
      </c>
      <c r="M362" s="10">
        <v>26.788617809000002</v>
      </c>
      <c r="N362" s="10">
        <v>28.870771501</v>
      </c>
    </row>
    <row r="363" spans="1:14" x14ac:dyDescent="0.25">
      <c r="A363" s="10">
        <v>2</v>
      </c>
      <c r="B363" s="13">
        <v>13.625</v>
      </c>
      <c r="C363" s="10">
        <v>-1.963100496</v>
      </c>
      <c r="D363" s="10">
        <v>19.099421046</v>
      </c>
      <c r="E363" s="10">
        <v>0.15121509350000001</v>
      </c>
      <c r="F363" s="10">
        <v>15.236388527000001</v>
      </c>
      <c r="G363" s="10">
        <v>15.597522183000001</v>
      </c>
      <c r="H363" s="10">
        <v>16.206799337</v>
      </c>
      <c r="I363" s="10">
        <v>17.403812047999999</v>
      </c>
      <c r="J363" s="10">
        <v>19.099421046</v>
      </c>
      <c r="K363" s="10">
        <v>21.401664563000001</v>
      </c>
      <c r="L363" s="10">
        <v>24.374105792999998</v>
      </c>
      <c r="M363" s="10">
        <v>26.868081296</v>
      </c>
      <c r="N363" s="10">
        <v>28.960022555999998</v>
      </c>
    </row>
    <row r="364" spans="1:14" x14ac:dyDescent="0.25">
      <c r="A364" s="10">
        <v>2</v>
      </c>
      <c r="B364" s="13">
        <v>13.708333333333334</v>
      </c>
      <c r="C364" s="10">
        <v>-1.9653712400000001</v>
      </c>
      <c r="D364" s="10">
        <v>19.150518993999999</v>
      </c>
      <c r="E364" s="10">
        <v>0.1512432229</v>
      </c>
      <c r="F364" s="10">
        <v>15.277400855</v>
      </c>
      <c r="G364" s="10">
        <v>15.639405882</v>
      </c>
      <c r="H364" s="10">
        <v>16.250182323000001</v>
      </c>
      <c r="I364" s="10">
        <v>17.450259089999999</v>
      </c>
      <c r="J364" s="10">
        <v>19.150518993999999</v>
      </c>
      <c r="K364" s="10">
        <v>21.459771622000002</v>
      </c>
      <c r="L364" s="10">
        <v>24.442687901999999</v>
      </c>
      <c r="M364" s="10">
        <v>26.946917490000001</v>
      </c>
      <c r="N364" s="10">
        <v>29.048640253999999</v>
      </c>
    </row>
    <row r="365" spans="1:14" x14ac:dyDescent="0.25">
      <c r="A365" s="10">
        <v>2</v>
      </c>
      <c r="B365" s="13">
        <v>13.791666666666666</v>
      </c>
      <c r="C365" s="10">
        <v>-1.9679079829999999</v>
      </c>
      <c r="D365" s="10">
        <v>19.201393971000002</v>
      </c>
      <c r="E365" s="10">
        <v>0.1512610419</v>
      </c>
      <c r="F365" s="10">
        <v>15.318517255</v>
      </c>
      <c r="G365" s="10">
        <v>15.681362131</v>
      </c>
      <c r="H365" s="10">
        <v>16.293584795000001</v>
      </c>
      <c r="I365" s="10">
        <v>17.496622695999999</v>
      </c>
      <c r="J365" s="10">
        <v>19.201393971000002</v>
      </c>
      <c r="K365" s="10">
        <v>21.517486655999999</v>
      </c>
      <c r="L365" s="10">
        <v>24.510713751000001</v>
      </c>
      <c r="M365" s="10">
        <v>27.025125210999999</v>
      </c>
      <c r="N365" s="10">
        <v>29.136628047999999</v>
      </c>
    </row>
    <row r="366" spans="1:14" x14ac:dyDescent="0.25">
      <c r="A366" s="10">
        <v>2</v>
      </c>
      <c r="B366" s="13">
        <v>13.875</v>
      </c>
      <c r="C366" s="10">
        <v>-1.9707067060000001</v>
      </c>
      <c r="D366" s="10">
        <v>19.252035026000001</v>
      </c>
      <c r="E366" s="10">
        <v>0.1512688553</v>
      </c>
      <c r="F366" s="10">
        <v>15.359723809</v>
      </c>
      <c r="G366" s="10">
        <v>15.723377243</v>
      </c>
      <c r="H366" s="10">
        <v>16.336993476</v>
      </c>
      <c r="I366" s="10">
        <v>17.542890480000001</v>
      </c>
      <c r="J366" s="10">
        <v>19.252035026000001</v>
      </c>
      <c r="K366" s="10">
        <v>21.574801017999999</v>
      </c>
      <c r="L366" s="10">
        <v>24.578178463</v>
      </c>
      <c r="M366" s="10">
        <v>27.102703823999999</v>
      </c>
      <c r="N366" s="10">
        <v>29.223990044000001</v>
      </c>
    </row>
    <row r="367" spans="1:14" x14ac:dyDescent="0.25">
      <c r="A367" s="10">
        <v>2</v>
      </c>
      <c r="B367" s="13">
        <v>13.958333333333334</v>
      </c>
      <c r="C367" s="10">
        <v>-1.973763307</v>
      </c>
      <c r="D367" s="10">
        <v>19.302431312</v>
      </c>
      <c r="E367" s="10">
        <v>0.15126697350000001</v>
      </c>
      <c r="F367" s="10">
        <v>15.401006423</v>
      </c>
      <c r="G367" s="10">
        <v>15.765437378</v>
      </c>
      <c r="H367" s="10">
        <v>16.380394980999998</v>
      </c>
      <c r="I367" s="10">
        <v>17.589050034</v>
      </c>
      <c r="J367" s="10">
        <v>19.302431312</v>
      </c>
      <c r="K367" s="10">
        <v>21.631706314999999</v>
      </c>
      <c r="L367" s="10">
        <v>24.645077581999999</v>
      </c>
      <c r="M367" s="10">
        <v>27.17965324</v>
      </c>
      <c r="N367" s="10">
        <v>29.310731006000001</v>
      </c>
    </row>
    <row r="368" spans="1:14" x14ac:dyDescent="0.25">
      <c r="A368" s="10">
        <v>2</v>
      </c>
      <c r="B368" s="13">
        <v>14.041666666666666</v>
      </c>
      <c r="C368" s="10">
        <v>-1.977073595</v>
      </c>
      <c r="D368" s="10">
        <v>19.352572084999998</v>
      </c>
      <c r="E368" s="10">
        <v>0.15125571269999999</v>
      </c>
      <c r="F368" s="10">
        <v>15.442350816999999</v>
      </c>
      <c r="G368" s="10">
        <v>15.807528542</v>
      </c>
      <c r="H368" s="10">
        <v>16.423775818999999</v>
      </c>
      <c r="I368" s="10">
        <v>17.635088934999999</v>
      </c>
      <c r="J368" s="10">
        <v>19.352572084999998</v>
      </c>
      <c r="K368" s="10">
        <v>21.688194411000001</v>
      </c>
      <c r="L368" s="10">
        <v>24.711407079000001</v>
      </c>
      <c r="M368" s="10">
        <v>27.255973918999999</v>
      </c>
      <c r="N368" s="10">
        <v>29.396856349</v>
      </c>
    </row>
    <row r="369" spans="1:14" x14ac:dyDescent="0.25">
      <c r="A369" s="10">
        <v>2</v>
      </c>
      <c r="B369" s="13">
        <v>14.125</v>
      </c>
      <c r="C369" s="10">
        <v>-1.9806332769999999</v>
      </c>
      <c r="D369" s="10">
        <v>19.402446706999999</v>
      </c>
      <c r="E369" s="10">
        <v>0.1512353947</v>
      </c>
      <c r="F369" s="10">
        <v>15.483742534999999</v>
      </c>
      <c r="G369" s="10">
        <v>15.849636587000001</v>
      </c>
      <c r="H369" s="10">
        <v>16.467122389</v>
      </c>
      <c r="I369" s="10">
        <v>17.680994738999999</v>
      </c>
      <c r="J369" s="10">
        <v>19.402446706999999</v>
      </c>
      <c r="K369" s="10">
        <v>21.744257427000001</v>
      </c>
      <c r="L369" s="10">
        <v>24.777163346999998</v>
      </c>
      <c r="M369" s="10">
        <v>27.331666864999999</v>
      </c>
      <c r="N369" s="10">
        <v>29.482372142999999</v>
      </c>
    </row>
    <row r="370" spans="1:14" x14ac:dyDescent="0.25">
      <c r="A370" s="10">
        <v>2</v>
      </c>
      <c r="B370" s="13">
        <v>14.208333333333334</v>
      </c>
      <c r="C370" s="10">
        <v>-1.9844379539999999</v>
      </c>
      <c r="D370" s="10">
        <v>19.452044646000001</v>
      </c>
      <c r="E370" s="10">
        <v>0.1512063468</v>
      </c>
      <c r="F370" s="10">
        <v>15.525166933</v>
      </c>
      <c r="G370" s="10">
        <v>15.891747208</v>
      </c>
      <c r="H370" s="10">
        <v>16.510420981999999</v>
      </c>
      <c r="I370" s="10">
        <v>17.726754984999999</v>
      </c>
      <c r="J370" s="10">
        <v>19.452044646000001</v>
      </c>
      <c r="K370" s="10">
        <v>21.799887743999999</v>
      </c>
      <c r="L370" s="10">
        <v>24.842343202999999</v>
      </c>
      <c r="M370" s="10">
        <v>27.406733627000001</v>
      </c>
      <c r="N370" s="10">
        <v>29.567285111</v>
      </c>
    </row>
    <row r="371" spans="1:14" x14ac:dyDescent="0.25">
      <c r="A371" s="10">
        <v>2</v>
      </c>
      <c r="B371" s="13">
        <v>14.291666666666666</v>
      </c>
      <c r="C371" s="10">
        <v>-1.9884831059999999</v>
      </c>
      <c r="D371" s="10">
        <v>19.501355476000001</v>
      </c>
      <c r="E371" s="10">
        <v>0.15116890190000001</v>
      </c>
      <c r="F371" s="10">
        <v>15.566609186999999</v>
      </c>
      <c r="G371" s="10">
        <v>15.933845947</v>
      </c>
      <c r="H371" s="10">
        <v>16.553657780000002</v>
      </c>
      <c r="I371" s="10">
        <v>17.772357195000001</v>
      </c>
      <c r="J371" s="10">
        <v>19.501355476000001</v>
      </c>
      <c r="K371" s="10">
        <v>21.855077999999999</v>
      </c>
      <c r="L371" s="10">
        <v>24.906943890000001</v>
      </c>
      <c r="M371" s="10">
        <v>27.481176301000001</v>
      </c>
      <c r="N371" s="10">
        <v>29.651602624999999</v>
      </c>
    </row>
    <row r="372" spans="1:14" x14ac:dyDescent="0.25">
      <c r="A372" s="10">
        <v>2</v>
      </c>
      <c r="B372" s="13">
        <v>14.375</v>
      </c>
      <c r="C372" s="10">
        <v>-1.9927640849999999</v>
      </c>
      <c r="D372" s="10">
        <v>19.550368876</v>
      </c>
      <c r="E372" s="10">
        <v>0.15112339829999999</v>
      </c>
      <c r="F372" s="10">
        <v>15.608054288</v>
      </c>
      <c r="G372" s="10">
        <v>15.975918187</v>
      </c>
      <c r="H372" s="10">
        <v>16.596818855999999</v>
      </c>
      <c r="I372" s="10">
        <v>17.817788873000001</v>
      </c>
      <c r="J372" s="10">
        <v>19.550368876</v>
      </c>
      <c r="K372" s="10">
        <v>21.909821094000002</v>
      </c>
      <c r="L372" s="10">
        <v>24.970963079000001</v>
      </c>
      <c r="M372" s="10">
        <v>27.554997527000001</v>
      </c>
      <c r="N372" s="10">
        <v>29.735332707000001</v>
      </c>
    </row>
    <row r="373" spans="1:14" x14ac:dyDescent="0.25">
      <c r="A373" s="10">
        <v>2</v>
      </c>
      <c r="B373" s="13">
        <v>14.458333333333334</v>
      </c>
      <c r="C373" s="10">
        <v>-1.9972761029999999</v>
      </c>
      <c r="D373" s="10">
        <v>19.599074637000001</v>
      </c>
      <c r="E373" s="10">
        <v>0.1510701797</v>
      </c>
      <c r="F373" s="10">
        <v>15.649487039</v>
      </c>
      <c r="G373" s="10">
        <v>16.017949155</v>
      </c>
      <c r="H373" s="10">
        <v>16.639890174000001</v>
      </c>
      <c r="I373" s="10">
        <v>17.863037506000001</v>
      </c>
      <c r="J373" s="10">
        <v>19.599074637000001</v>
      </c>
      <c r="K373" s="10">
        <v>21.964110188999999</v>
      </c>
      <c r="L373" s="10">
        <v>25.034398866</v>
      </c>
      <c r="M373" s="10">
        <v>27.628200490000001</v>
      </c>
      <c r="N373" s="10">
        <v>29.818484028</v>
      </c>
    </row>
    <row r="374" spans="1:14" x14ac:dyDescent="0.25">
      <c r="A374" s="10">
        <v>2</v>
      </c>
      <c r="B374" s="13">
        <v>14.541666666666666</v>
      </c>
      <c r="C374" s="10">
        <v>-2.0020142239999998</v>
      </c>
      <c r="D374" s="10">
        <v>19.647462655000002</v>
      </c>
      <c r="E374" s="10">
        <v>0.1510095954</v>
      </c>
      <c r="F374" s="10">
        <v>15.690892058999999</v>
      </c>
      <c r="G374" s="10">
        <v>16.059923920999999</v>
      </c>
      <c r="H374" s="10">
        <v>16.682857585000001</v>
      </c>
      <c r="I374" s="10">
        <v>17.908090562000002</v>
      </c>
      <c r="J374" s="10">
        <v>19.647462655000002</v>
      </c>
      <c r="K374" s="10">
        <v>22.017938705999999</v>
      </c>
      <c r="L374" s="10">
        <v>25.097249774000002</v>
      </c>
      <c r="M374" s="10">
        <v>27.700788918000001</v>
      </c>
      <c r="N374" s="10">
        <v>29.901065904999999</v>
      </c>
    </row>
    <row r="375" spans="1:14" x14ac:dyDescent="0.25">
      <c r="A375" s="10">
        <v>2</v>
      </c>
      <c r="B375" s="13">
        <v>14.625</v>
      </c>
      <c r="C375" s="10">
        <v>-2.00697335</v>
      </c>
      <c r="D375" s="10">
        <v>19.695522937</v>
      </c>
      <c r="E375" s="10">
        <v>0.15094199990000001</v>
      </c>
      <c r="F375" s="10">
        <v>15.732253779000001</v>
      </c>
      <c r="G375" s="10">
        <v>16.101827393000001</v>
      </c>
      <c r="H375" s="10">
        <v>16.725706833</v>
      </c>
      <c r="I375" s="10">
        <v>17.952935493999998</v>
      </c>
      <c r="J375" s="10">
        <v>19.695522937</v>
      </c>
      <c r="K375" s="10">
        <v>22.071300334</v>
      </c>
      <c r="L375" s="10">
        <v>25.159514755</v>
      </c>
      <c r="M375" s="10">
        <v>27.772767086999998</v>
      </c>
      <c r="N375" s="10">
        <v>29.983088299999999</v>
      </c>
    </row>
    <row r="376" spans="1:14" x14ac:dyDescent="0.25">
      <c r="A376" s="10">
        <v>2</v>
      </c>
      <c r="B376" s="13">
        <v>14.708333333333334</v>
      </c>
      <c r="C376" s="10">
        <v>-2.0121482130000001</v>
      </c>
      <c r="D376" s="10">
        <v>19.743245597000001</v>
      </c>
      <c r="E376" s="10">
        <v>0.1508677534</v>
      </c>
      <c r="F376" s="10">
        <v>15.773556441</v>
      </c>
      <c r="G376" s="10">
        <v>16.143644323</v>
      </c>
      <c r="H376" s="10">
        <v>16.768423550000001</v>
      </c>
      <c r="I376" s="10">
        <v>17.997559737</v>
      </c>
      <c r="J376" s="10">
        <v>19.743245597000001</v>
      </c>
      <c r="K376" s="10">
        <v>22.124189021999999</v>
      </c>
      <c r="L376" s="10">
        <v>25.221193190000001</v>
      </c>
      <c r="M376" s="10">
        <v>27.844139812000002</v>
      </c>
      <c r="N376" s="10">
        <v>30.064561822000002</v>
      </c>
    </row>
    <row r="377" spans="1:14" x14ac:dyDescent="0.25">
      <c r="A377" s="10">
        <v>2</v>
      </c>
      <c r="B377" s="13">
        <v>14.791666666666666</v>
      </c>
      <c r="C377" s="10">
        <v>-2.0175333630000001</v>
      </c>
      <c r="D377" s="10">
        <v>19.790620862000001</v>
      </c>
      <c r="E377" s="10">
        <v>0.15078722110000001</v>
      </c>
      <c r="F377" s="10">
        <v>15.814784099000001</v>
      </c>
      <c r="G377" s="10">
        <v>16.185359300999998</v>
      </c>
      <c r="H377" s="10">
        <v>16.810993255</v>
      </c>
      <c r="I377" s="10">
        <v>18.041950709000002</v>
      </c>
      <c r="J377" s="10">
        <v>19.790620862000001</v>
      </c>
      <c r="K377" s="10">
        <v>22.176598988999999</v>
      </c>
      <c r="L377" s="10">
        <v>25.282284892</v>
      </c>
      <c r="M377" s="10">
        <v>27.914912457</v>
      </c>
      <c r="N377" s="10">
        <v>30.145497721000002</v>
      </c>
    </row>
    <row r="378" spans="1:14" x14ac:dyDescent="0.25">
      <c r="A378" s="10">
        <v>2</v>
      </c>
      <c r="B378" s="13">
        <v>14.875</v>
      </c>
      <c r="C378" s="10">
        <v>-2.0231231589999998</v>
      </c>
      <c r="D378" s="10">
        <v>19.837639068000001</v>
      </c>
      <c r="E378" s="10">
        <v>0.15070077379999999</v>
      </c>
      <c r="F378" s="10">
        <v>15.855920616000001</v>
      </c>
      <c r="G378" s="10">
        <v>16.226956758</v>
      </c>
      <c r="H378" s="10">
        <v>16.853401356999999</v>
      </c>
      <c r="I378" s="10">
        <v>18.08609581</v>
      </c>
      <c r="J378" s="10">
        <v>19.837639068000001</v>
      </c>
      <c r="K378" s="10">
        <v>22.228524715999999</v>
      </c>
      <c r="L378" s="10">
        <v>25.342790100999999</v>
      </c>
      <c r="M378" s="10">
        <v>27.985090927000002</v>
      </c>
      <c r="N378" s="10">
        <v>30.225907887999998</v>
      </c>
    </row>
    <row r="379" spans="1:14" x14ac:dyDescent="0.25">
      <c r="A379" s="10">
        <v>2</v>
      </c>
      <c r="B379" s="13">
        <v>14.958333333333334</v>
      </c>
      <c r="C379" s="10">
        <v>-2.0289117550000002</v>
      </c>
      <c r="D379" s="10">
        <v>19.884290662000002</v>
      </c>
      <c r="E379" s="10">
        <v>0.1506087878</v>
      </c>
      <c r="F379" s="10">
        <v>15.896949664999999</v>
      </c>
      <c r="G379" s="10">
        <v>16.268420961</v>
      </c>
      <c r="H379" s="10">
        <v>16.895633152999999</v>
      </c>
      <c r="I379" s="10">
        <v>18.129982423000001</v>
      </c>
      <c r="J379" s="10">
        <v>19.884290662000002</v>
      </c>
      <c r="K379" s="10">
        <v>22.279960954</v>
      </c>
      <c r="L379" s="10">
        <v>25.402709492</v>
      </c>
      <c r="M379" s="10">
        <v>28.054681672000001</v>
      </c>
      <c r="N379" s="10">
        <v>30.305804856000002</v>
      </c>
    </row>
    <row r="380" spans="1:14" x14ac:dyDescent="0.25">
      <c r="A380" s="10">
        <v>2</v>
      </c>
      <c r="B380" s="13">
        <v>15.041666666666666</v>
      </c>
      <c r="C380" s="10">
        <v>-2.0348930909999998</v>
      </c>
      <c r="D380" s="10">
        <v>19.930566203000001</v>
      </c>
      <c r="E380" s="10">
        <v>0.15051164459999999</v>
      </c>
      <c r="F380" s="10">
        <v>15.937854728</v>
      </c>
      <c r="G380" s="10">
        <v>16.309736016999999</v>
      </c>
      <c r="H380" s="10">
        <v>16.937673827000001</v>
      </c>
      <c r="I380" s="10">
        <v>18.173597915999999</v>
      </c>
      <c r="J380" s="10">
        <v>19.930566203000001</v>
      </c>
      <c r="K380" s="10">
        <v>22.330902720000001</v>
      </c>
      <c r="L380" s="10">
        <v>25.462044171999999</v>
      </c>
      <c r="M380" s="10">
        <v>28.123691687000001</v>
      </c>
      <c r="N380" s="10">
        <v>30.385201795</v>
      </c>
    </row>
    <row r="381" spans="1:14" x14ac:dyDescent="0.25">
      <c r="A381" s="10">
        <v>2</v>
      </c>
      <c r="B381" s="13">
        <v>15.125</v>
      </c>
      <c r="C381" s="10">
        <v>-2.0410608809999999</v>
      </c>
      <c r="D381" s="10">
        <v>19.976456361</v>
      </c>
      <c r="E381" s="10">
        <v>0.15040973120000001</v>
      </c>
      <c r="F381" s="10">
        <v>15.978619092000001</v>
      </c>
      <c r="G381" s="10">
        <v>16.350885868999999</v>
      </c>
      <c r="H381" s="10">
        <v>16.979508448000001</v>
      </c>
      <c r="I381" s="10">
        <v>18.216929637</v>
      </c>
      <c r="J381" s="10">
        <v>19.976456361</v>
      </c>
      <c r="K381" s="10">
        <v>22.381345301</v>
      </c>
      <c r="L381" s="10">
        <v>25.520795681999999</v>
      </c>
      <c r="M381" s="10">
        <v>28.192128511</v>
      </c>
      <c r="N381" s="10">
        <v>30.464112511</v>
      </c>
    </row>
    <row r="382" spans="1:14" x14ac:dyDescent="0.25">
      <c r="A382" s="10">
        <v>2</v>
      </c>
      <c r="B382" s="13">
        <v>15.208333333333334</v>
      </c>
      <c r="C382" s="10">
        <v>-2.0474086040000001</v>
      </c>
      <c r="D382" s="10">
        <v>20.021951916999999</v>
      </c>
      <c r="E382" s="10">
        <v>0.1503034402</v>
      </c>
      <c r="F382" s="10">
        <v>16.019225854999998</v>
      </c>
      <c r="G382" s="10">
        <v>16.391854298999998</v>
      </c>
      <c r="H382" s="10">
        <v>17.021121976</v>
      </c>
      <c r="I382" s="10">
        <v>18.259964917000001</v>
      </c>
      <c r="J382" s="10">
        <v>20.021951916999999</v>
      </c>
      <c r="K382" s="10">
        <v>22.431284252000001</v>
      </c>
      <c r="L382" s="10">
        <v>25.578965997000001</v>
      </c>
      <c r="M382" s="10">
        <v>28.260000227999999</v>
      </c>
      <c r="N382" s="10">
        <v>30.542551449000001</v>
      </c>
    </row>
    <row r="383" spans="1:14" x14ac:dyDescent="0.25">
      <c r="A383" s="10">
        <v>2</v>
      </c>
      <c r="B383" s="13">
        <v>15.291666666666666</v>
      </c>
      <c r="C383" s="10">
        <v>-2.0539294899999998</v>
      </c>
      <c r="D383" s="10">
        <v>20.067043765000001</v>
      </c>
      <c r="E383" s="10">
        <v>0.15019316930000001</v>
      </c>
      <c r="F383" s="10">
        <v>16.059657918999999</v>
      </c>
      <c r="G383" s="10">
        <v>16.432624922999999</v>
      </c>
      <c r="H383" s="10">
        <v>17.062499251999999</v>
      </c>
      <c r="I383" s="10">
        <v>18.302691069000002</v>
      </c>
      <c r="J383" s="10">
        <v>20.067043765000001</v>
      </c>
      <c r="K383" s="10">
        <v>22.480715401000001</v>
      </c>
      <c r="L383" s="10">
        <v>25.636557530000001</v>
      </c>
      <c r="M383" s="10">
        <v>28.327315465000002</v>
      </c>
      <c r="N383" s="10">
        <v>30.620533684000002</v>
      </c>
    </row>
    <row r="384" spans="1:14" x14ac:dyDescent="0.25">
      <c r="A384" s="10">
        <v>2</v>
      </c>
      <c r="B384" s="13">
        <v>15.375</v>
      </c>
      <c r="C384" s="10">
        <v>-2.0606165129999998</v>
      </c>
      <c r="D384" s="10">
        <v>20.111722910000001</v>
      </c>
      <c r="E384" s="10">
        <v>0.1500793222</v>
      </c>
      <c r="F384" s="10">
        <v>16.099897992999999</v>
      </c>
      <c r="G384" s="10">
        <v>16.473181192999999</v>
      </c>
      <c r="H384" s="10">
        <v>17.103625006000001</v>
      </c>
      <c r="I384" s="10">
        <v>18.345095389000001</v>
      </c>
      <c r="J384" s="10">
        <v>20.111722910000001</v>
      </c>
      <c r="K384" s="10">
        <v>22.529634844</v>
      </c>
      <c r="L384" s="10">
        <v>25.693573128000001</v>
      </c>
      <c r="M384" s="10">
        <v>28.394083398999999</v>
      </c>
      <c r="N384" s="10">
        <v>30.698074926</v>
      </c>
    </row>
    <row r="385" spans="1:14" x14ac:dyDescent="0.25">
      <c r="A385" s="10">
        <v>2</v>
      </c>
      <c r="B385" s="13">
        <v>15.458333333333334</v>
      </c>
      <c r="C385" s="10">
        <v>-2.0674623749999999</v>
      </c>
      <c r="D385" s="10">
        <v>20.155980468999999</v>
      </c>
      <c r="E385" s="10">
        <v>0.14996230769999999</v>
      </c>
      <c r="F385" s="10">
        <v>16.13992859</v>
      </c>
      <c r="G385" s="10">
        <v>16.513506398000001</v>
      </c>
      <c r="H385" s="10">
        <v>17.144483853000001</v>
      </c>
      <c r="I385" s="10">
        <v>18.387165154000002</v>
      </c>
      <c r="J385" s="10">
        <v>20.155980468999999</v>
      </c>
      <c r="K385" s="10">
        <v>22.578038948</v>
      </c>
      <c r="L385" s="10">
        <v>25.750016080999998</v>
      </c>
      <c r="M385" s="10">
        <v>28.460313748000001</v>
      </c>
      <c r="N385" s="10">
        <v>30.775191517</v>
      </c>
    </row>
    <row r="386" spans="1:14" x14ac:dyDescent="0.25">
      <c r="A386" s="10">
        <v>2</v>
      </c>
      <c r="B386" s="13">
        <v>15.541666666666666</v>
      </c>
      <c r="C386" s="10">
        <v>-2.0744595019999998</v>
      </c>
      <c r="D386" s="10">
        <v>20.199807671999999</v>
      </c>
      <c r="E386" s="10">
        <v>0.1498425404</v>
      </c>
      <c r="F386" s="10">
        <v>16.179732029</v>
      </c>
      <c r="G386" s="10">
        <v>16.553583660000001</v>
      </c>
      <c r="H386" s="10">
        <v>17.185060290999999</v>
      </c>
      <c r="I386" s="10">
        <v>18.428887622000001</v>
      </c>
      <c r="J386" s="10">
        <v>20.199807671999999</v>
      </c>
      <c r="K386" s="10">
        <v>22.625924353999999</v>
      </c>
      <c r="L386" s="10">
        <v>25.805890113</v>
      </c>
      <c r="M386" s="10">
        <v>28.526016779999999</v>
      </c>
      <c r="N386" s="10">
        <v>30.851900424</v>
      </c>
    </row>
    <row r="387" spans="1:14" x14ac:dyDescent="0.25">
      <c r="A387" s="10">
        <v>2</v>
      </c>
      <c r="B387" s="13">
        <v>15.625</v>
      </c>
      <c r="C387" s="10">
        <v>-2.0816000290000001</v>
      </c>
      <c r="D387" s="10">
        <v>20.243195857</v>
      </c>
      <c r="E387" s="10">
        <v>0.14972044070000001</v>
      </c>
      <c r="F387" s="10">
        <v>16.219290434000001</v>
      </c>
      <c r="G387" s="10">
        <v>16.593395935</v>
      </c>
      <c r="H387" s="10">
        <v>17.225338704999999</v>
      </c>
      <c r="I387" s="10">
        <v>18.470250031999999</v>
      </c>
      <c r="J387" s="10">
        <v>20.243195857</v>
      </c>
      <c r="K387" s="10">
        <v>22.673287974000001</v>
      </c>
      <c r="L387" s="10">
        <v>25.861199394</v>
      </c>
      <c r="M387" s="10">
        <v>28.591203309000001</v>
      </c>
      <c r="N387" s="10">
        <v>30.928219248000001</v>
      </c>
    </row>
    <row r="388" spans="1:14" x14ac:dyDescent="0.25">
      <c r="A388" s="10">
        <v>2</v>
      </c>
      <c r="B388" s="13">
        <v>15.708333333333334</v>
      </c>
      <c r="C388" s="10">
        <v>-2.0888757930000001</v>
      </c>
      <c r="D388" s="10">
        <v>20.286136476999999</v>
      </c>
      <c r="E388" s="10">
        <v>0.14959643419999999</v>
      </c>
      <c r="F388" s="10">
        <v>16.258585734</v>
      </c>
      <c r="G388" s="10">
        <v>16.632926015999999</v>
      </c>
      <c r="H388" s="10">
        <v>17.265303362000001</v>
      </c>
      <c r="I388" s="10">
        <v>18.511239603</v>
      </c>
      <c r="J388" s="10">
        <v>20.286136476999999</v>
      </c>
      <c r="K388" s="10">
        <v>22.720126992000001</v>
      </c>
      <c r="L388" s="10">
        <v>25.915948531000002</v>
      </c>
      <c r="M388" s="10">
        <v>28.655884697000001</v>
      </c>
      <c r="N388" s="10">
        <v>31.004166211000001</v>
      </c>
    </row>
    <row r="389" spans="1:14" x14ac:dyDescent="0.25">
      <c r="A389" s="10">
        <v>2</v>
      </c>
      <c r="B389" s="13">
        <v>15.791666666666666</v>
      </c>
      <c r="C389" s="10">
        <v>-2.0962783229999999</v>
      </c>
      <c r="D389" s="10">
        <v>20.328621092999999</v>
      </c>
      <c r="E389" s="10">
        <v>0.14947095260000001</v>
      </c>
      <c r="F389" s="10">
        <v>16.297599662</v>
      </c>
      <c r="G389" s="10">
        <v>16.672156528999999</v>
      </c>
      <c r="H389" s="10">
        <v>17.304938411999998</v>
      </c>
      <c r="I389" s="10">
        <v>18.551843534</v>
      </c>
      <c r="J389" s="10">
        <v>20.328621092999999</v>
      </c>
      <c r="K389" s="10">
        <v>22.766438863000001</v>
      </c>
      <c r="L389" s="10">
        <v>25.970142578000001</v>
      </c>
      <c r="M389" s="10">
        <v>28.720072857000002</v>
      </c>
      <c r="N389" s="10">
        <v>31.079760165</v>
      </c>
    </row>
    <row r="390" spans="1:14" x14ac:dyDescent="0.25">
      <c r="A390" s="10">
        <v>2</v>
      </c>
      <c r="B390" s="13">
        <v>15.875</v>
      </c>
      <c r="C390" s="10">
        <v>-2.103798828</v>
      </c>
      <c r="D390" s="10">
        <v>20.370641375999998</v>
      </c>
      <c r="E390" s="10">
        <v>0.1493444333</v>
      </c>
      <c r="F390" s="10">
        <v>16.336313752999999</v>
      </c>
      <c r="G390" s="10">
        <v>16.711069932000001</v>
      </c>
      <c r="H390" s="10">
        <v>17.344227891999999</v>
      </c>
      <c r="I390" s="10">
        <v>18.592049003</v>
      </c>
      <c r="J390" s="10">
        <v>20.370641375999998</v>
      </c>
      <c r="K390" s="10">
        <v>22.812221315999999</v>
      </c>
      <c r="L390" s="10">
        <v>26.023787030000001</v>
      </c>
      <c r="M390" s="10">
        <v>28.783780247999999</v>
      </c>
      <c r="N390" s="10">
        <v>31.155020582999999</v>
      </c>
    </row>
    <row r="391" spans="1:14" x14ac:dyDescent="0.25">
      <c r="A391" s="10">
        <v>2</v>
      </c>
      <c r="B391" s="13">
        <v>15.958333333333334</v>
      </c>
      <c r="C391" s="10">
        <v>-2.1114281940000001</v>
      </c>
      <c r="D391" s="10">
        <v>20.412189106</v>
      </c>
      <c r="E391" s="10">
        <v>0.14921731939999999</v>
      </c>
      <c r="F391" s="10">
        <v>16.374709351</v>
      </c>
      <c r="G391" s="10">
        <v>16.749648518000001</v>
      </c>
      <c r="H391" s="10">
        <v>17.383155720000001</v>
      </c>
      <c r="I391" s="10">
        <v>18.631843167</v>
      </c>
      <c r="J391" s="10">
        <v>20.412189106</v>
      </c>
      <c r="K391" s="10">
        <v>22.857472352999999</v>
      </c>
      <c r="L391" s="10">
        <v>26.076887829</v>
      </c>
      <c r="M391" s="10">
        <v>28.847019885000002</v>
      </c>
      <c r="N391" s="10">
        <v>31.229967563999999</v>
      </c>
    </row>
    <row r="392" spans="1:14" x14ac:dyDescent="0.25">
      <c r="A392" s="10">
        <v>2</v>
      </c>
      <c r="B392" s="13">
        <v>16.041666666666668</v>
      </c>
      <c r="C392" s="10">
        <v>-2.1191569719999999</v>
      </c>
      <c r="D392" s="10">
        <v>20.453256172</v>
      </c>
      <c r="E392" s="10">
        <v>0.14909006</v>
      </c>
      <c r="F392" s="10">
        <v>16.412767600999999</v>
      </c>
      <c r="G392" s="10">
        <v>16.787874416000001</v>
      </c>
      <c r="H392" s="10">
        <v>17.421705695</v>
      </c>
      <c r="I392" s="10">
        <v>18.671213161000001</v>
      </c>
      <c r="J392" s="10">
        <v>20.453256172</v>
      </c>
      <c r="K392" s="10">
        <v>22.902190244</v>
      </c>
      <c r="L392" s="10">
        <v>26.129451362000001</v>
      </c>
      <c r="M392" s="10">
        <v>28.909805333000001</v>
      </c>
      <c r="N392" s="10">
        <v>31.304621825000002</v>
      </c>
    </row>
    <row r="393" spans="1:14" x14ac:dyDescent="0.25">
      <c r="A393" s="10">
        <v>2</v>
      </c>
      <c r="B393" s="13">
        <v>16.125</v>
      </c>
      <c r="C393" s="10">
        <v>-2.1269753749999998</v>
      </c>
      <c r="D393" s="10">
        <v>20.493834570000001</v>
      </c>
      <c r="E393" s="10">
        <v>0.14896311009999999</v>
      </c>
      <c r="F393" s="10">
        <v>16.450469457000001</v>
      </c>
      <c r="G393" s="10">
        <v>16.825729586000001</v>
      </c>
      <c r="H393" s="10">
        <v>17.459861501999999</v>
      </c>
      <c r="I393" s="10">
        <v>18.710146095999999</v>
      </c>
      <c r="J393" s="10">
        <v>20.493834570000001</v>
      </c>
      <c r="K393" s="10">
        <v>22.946373534999999</v>
      </c>
      <c r="L393" s="10">
        <v>26.181484465</v>
      </c>
      <c r="M393" s="10">
        <v>28.972150709000001</v>
      </c>
      <c r="N393" s="10">
        <v>31.379004708</v>
      </c>
    </row>
    <row r="394" spans="1:14" x14ac:dyDescent="0.25">
      <c r="A394" s="10">
        <v>2</v>
      </c>
      <c r="B394" s="13">
        <v>16.208333333333332</v>
      </c>
      <c r="C394" s="10">
        <v>-2.134873266</v>
      </c>
      <c r="D394" s="10">
        <v>20.533916399999999</v>
      </c>
      <c r="E394" s="10">
        <v>0.1488369306</v>
      </c>
      <c r="F394" s="10">
        <v>16.487795674000001</v>
      </c>
      <c r="G394" s="10">
        <v>16.863195824999998</v>
      </c>
      <c r="H394" s="10">
        <v>17.497606706999999</v>
      </c>
      <c r="I394" s="10">
        <v>18.748629059999999</v>
      </c>
      <c r="J394" s="10">
        <v>20.533916399999999</v>
      </c>
      <c r="K394" s="10">
        <v>22.990021037000002</v>
      </c>
      <c r="L394" s="10">
        <v>26.232994421000001</v>
      </c>
      <c r="M394" s="10">
        <v>29.034070689</v>
      </c>
      <c r="N394" s="10">
        <v>31.453138173999999</v>
      </c>
    </row>
    <row r="395" spans="1:14" x14ac:dyDescent="0.25">
      <c r="A395" s="10">
        <v>2</v>
      </c>
      <c r="B395" s="13">
        <v>16.291666666666668</v>
      </c>
      <c r="C395" s="10">
        <v>-2.1428401570000002</v>
      </c>
      <c r="D395" s="10">
        <v>20.573493869</v>
      </c>
      <c r="E395" s="10">
        <v>0.1487119885</v>
      </c>
      <c r="F395" s="10">
        <v>16.524726818000001</v>
      </c>
      <c r="G395" s="10">
        <v>16.900254764</v>
      </c>
      <c r="H395" s="10">
        <v>17.534924758999999</v>
      </c>
      <c r="I395" s="10">
        <v>18.786649117</v>
      </c>
      <c r="J395" s="10">
        <v>20.573493869</v>
      </c>
      <c r="K395" s="10">
        <v>23.033131834999999</v>
      </c>
      <c r="L395" s="10">
        <v>26.283988962999999</v>
      </c>
      <c r="M395" s="10">
        <v>29.095580504000001</v>
      </c>
      <c r="N395" s="10">
        <v>31.527044803999999</v>
      </c>
    </row>
    <row r="396" spans="1:14" x14ac:dyDescent="0.25">
      <c r="A396" s="10">
        <v>2</v>
      </c>
      <c r="B396" s="13">
        <v>16.375</v>
      </c>
      <c r="C396" s="10">
        <v>-2.150865204</v>
      </c>
      <c r="D396" s="10">
        <v>20.612559285</v>
      </c>
      <c r="E396" s="10">
        <v>0.14858875690000001</v>
      </c>
      <c r="F396" s="10">
        <v>16.561243261000001</v>
      </c>
      <c r="G396" s="10">
        <v>16.936887867999999</v>
      </c>
      <c r="H396" s="10">
        <v>17.571798989000001</v>
      </c>
      <c r="I396" s="10">
        <v>18.824193305000001</v>
      </c>
      <c r="J396" s="10">
        <v>20.612559285</v>
      </c>
      <c r="K396" s="10">
        <v>23.075705279000001</v>
      </c>
      <c r="L396" s="10">
        <v>26.334476271</v>
      </c>
      <c r="M396" s="10">
        <v>29.156695942999999</v>
      </c>
      <c r="N396" s="10">
        <v>31.600747798</v>
      </c>
    </row>
    <row r="397" spans="1:14" x14ac:dyDescent="0.25">
      <c r="A397" s="10">
        <v>2</v>
      </c>
      <c r="B397" s="13">
        <v>16.458333333333332</v>
      </c>
      <c r="C397" s="10">
        <v>-2.1589372010000001</v>
      </c>
      <c r="D397" s="10">
        <v>20.651105057999999</v>
      </c>
      <c r="E397" s="10">
        <v>0.14846771510000001</v>
      </c>
      <c r="F397" s="10">
        <v>16.597325182999999</v>
      </c>
      <c r="G397" s="10">
        <v>16.97307644</v>
      </c>
      <c r="H397" s="10">
        <v>17.608212608999999</v>
      </c>
      <c r="I397" s="10">
        <v>18.861248633999999</v>
      </c>
      <c r="J397" s="10">
        <v>20.651105057999999</v>
      </c>
      <c r="K397" s="10">
        <v>23.117740989000001</v>
      </c>
      <c r="L397" s="10">
        <v>26.384464980000001</v>
      </c>
      <c r="M397" s="10">
        <v>29.217433356000001</v>
      </c>
      <c r="N397" s="10">
        <v>31.674270974999999</v>
      </c>
    </row>
    <row r="398" spans="1:14" x14ac:dyDescent="0.25">
      <c r="A398" s="10">
        <v>2</v>
      </c>
      <c r="B398" s="13">
        <v>16.541666666666668</v>
      </c>
      <c r="C398" s="10">
        <v>-2.1670445780000001</v>
      </c>
      <c r="D398" s="10">
        <v>20.689123698</v>
      </c>
      <c r="E398" s="10">
        <v>0.1483493484</v>
      </c>
      <c r="F398" s="10">
        <v>16.632952572000001</v>
      </c>
      <c r="G398" s="10">
        <v>17.008801618</v>
      </c>
      <c r="H398" s="10">
        <v>17.644148717</v>
      </c>
      <c r="I398" s="10">
        <v>18.897802088999999</v>
      </c>
      <c r="J398" s="10">
        <v>20.689123698</v>
      </c>
      <c r="K398" s="10">
        <v>23.159238849000001</v>
      </c>
      <c r="L398" s="10">
        <v>26.433964175</v>
      </c>
      <c r="M398" s="10">
        <v>29.277809656999999</v>
      </c>
      <c r="N398" s="10">
        <v>31.747638773999999</v>
      </c>
    </row>
    <row r="399" spans="1:14" x14ac:dyDescent="0.25">
      <c r="A399" s="10">
        <v>2</v>
      </c>
      <c r="B399" s="13">
        <v>16.625</v>
      </c>
      <c r="C399" s="10">
        <v>-2.175176987</v>
      </c>
      <c r="D399" s="10">
        <v>20.726607282</v>
      </c>
      <c r="E399" s="10">
        <v>0.14823412020000001</v>
      </c>
      <c r="F399" s="10">
        <v>16.668105899</v>
      </c>
      <c r="G399" s="10">
        <v>17.044044915000001</v>
      </c>
      <c r="H399" s="10">
        <v>17.679590610999998</v>
      </c>
      <c r="I399" s="10">
        <v>18.933840555</v>
      </c>
      <c r="J399" s="10">
        <v>20.726607282</v>
      </c>
      <c r="K399" s="10">
        <v>23.200198098000001</v>
      </c>
      <c r="L399" s="10">
        <v>26.482982587999999</v>
      </c>
      <c r="M399" s="10">
        <v>29.33784232</v>
      </c>
      <c r="N399" s="10">
        <v>31.820877599999999</v>
      </c>
    </row>
    <row r="400" spans="1:14" x14ac:dyDescent="0.25">
      <c r="A400" s="10">
        <v>2</v>
      </c>
      <c r="B400" s="13">
        <v>16.708333333333332</v>
      </c>
      <c r="C400" s="10">
        <v>-2.1833173619999999</v>
      </c>
      <c r="D400" s="10">
        <v>20.763550105</v>
      </c>
      <c r="E400" s="10">
        <v>0.14812261400000001</v>
      </c>
      <c r="F400" s="10">
        <v>16.702762767999999</v>
      </c>
      <c r="G400" s="10">
        <v>17.078785534000001</v>
      </c>
      <c r="H400" s="10">
        <v>17.714520188000002</v>
      </c>
      <c r="I400" s="10">
        <v>18.969351169999999</v>
      </c>
      <c r="J400" s="10">
        <v>20.763550105</v>
      </c>
      <c r="K400" s="10">
        <v>23.240621878999999</v>
      </c>
      <c r="L400" s="10">
        <v>26.531532626000001</v>
      </c>
      <c r="M400" s="10">
        <v>29.397549392999998</v>
      </c>
      <c r="N400" s="10">
        <v>31.894009075</v>
      </c>
    </row>
    <row r="401" spans="1:14" x14ac:dyDescent="0.25">
      <c r="A401" s="10">
        <v>2</v>
      </c>
      <c r="B401" s="13">
        <v>16.791666666666668</v>
      </c>
      <c r="C401" s="10">
        <v>-2.191457792</v>
      </c>
      <c r="D401" s="10">
        <v>20.799943374000001</v>
      </c>
      <c r="E401" s="10">
        <v>0.1480152488</v>
      </c>
      <c r="F401" s="10">
        <v>16.736904608</v>
      </c>
      <c r="G401" s="10">
        <v>17.113005736000002</v>
      </c>
      <c r="H401" s="10">
        <v>17.748921154000001</v>
      </c>
      <c r="I401" s="10">
        <v>19.004320616000001</v>
      </c>
      <c r="J401" s="10">
        <v>20.799943374000001</v>
      </c>
      <c r="K401" s="10">
        <v>23.280508137000002</v>
      </c>
      <c r="L401" s="10">
        <v>26.579622319999999</v>
      </c>
      <c r="M401" s="10">
        <v>29.456949483999999</v>
      </c>
      <c r="N401" s="10">
        <v>31.967063540000002</v>
      </c>
    </row>
    <row r="402" spans="1:14" x14ac:dyDescent="0.25">
      <c r="A402" s="10">
        <v>2</v>
      </c>
      <c r="B402" s="13">
        <v>16.875</v>
      </c>
      <c r="C402" s="10">
        <v>-2.199583649</v>
      </c>
      <c r="D402" s="10">
        <v>20.835780509999999</v>
      </c>
      <c r="E402" s="10">
        <v>0.14791256429999999</v>
      </c>
      <c r="F402" s="10">
        <v>16.770509988000001</v>
      </c>
      <c r="G402" s="10">
        <v>17.146685474000002</v>
      </c>
      <c r="H402" s="10">
        <v>17.782775811</v>
      </c>
      <c r="I402" s="10">
        <v>19.038735828</v>
      </c>
      <c r="J402" s="10">
        <v>20.835780509999999</v>
      </c>
      <c r="K402" s="10">
        <v>23.319858716999999</v>
      </c>
      <c r="L402" s="10">
        <v>26.627263378999999</v>
      </c>
      <c r="M402" s="10">
        <v>29.516061780000001</v>
      </c>
      <c r="N402" s="10">
        <v>32.040066547000002</v>
      </c>
    </row>
    <row r="403" spans="1:14" x14ac:dyDescent="0.25">
      <c r="A403" s="10">
        <v>2</v>
      </c>
      <c r="B403" s="13">
        <v>16.958333333333332</v>
      </c>
      <c r="C403" s="10">
        <v>-2.2076815249999999</v>
      </c>
      <c r="D403" s="10">
        <v>20.871054492999999</v>
      </c>
      <c r="E403" s="10">
        <v>0.1478150781</v>
      </c>
      <c r="F403" s="10">
        <v>16.803557957999999</v>
      </c>
      <c r="G403" s="10">
        <v>17.179805079000001</v>
      </c>
      <c r="H403" s="10">
        <v>17.816066665000001</v>
      </c>
      <c r="I403" s="10">
        <v>19.072583635000001</v>
      </c>
      <c r="J403" s="10">
        <v>20.871054492999999</v>
      </c>
      <c r="K403" s="10">
        <v>23.358674816000001</v>
      </c>
      <c r="L403" s="10">
        <v>26.674467164999999</v>
      </c>
      <c r="M403" s="10">
        <v>29.574906037000002</v>
      </c>
      <c r="N403" s="10">
        <v>32.113045614000001</v>
      </c>
    </row>
    <row r="404" spans="1:14" x14ac:dyDescent="0.25">
      <c r="A404" s="10">
        <v>2</v>
      </c>
      <c r="B404" s="13">
        <v>17.041666666666668</v>
      </c>
      <c r="C404" s="10">
        <v>-2.2157376449999999</v>
      </c>
      <c r="D404" s="10">
        <v>20.905758393999999</v>
      </c>
      <c r="E404" s="10">
        <v>0.1477233147</v>
      </c>
      <c r="F404" s="10">
        <v>16.836027385000001</v>
      </c>
      <c r="G404" s="10">
        <v>17.212344716</v>
      </c>
      <c r="H404" s="10">
        <v>17.848776101999999</v>
      </c>
      <c r="I404" s="10">
        <v>19.105850832000002</v>
      </c>
      <c r="J404" s="10">
        <v>20.905758393999999</v>
      </c>
      <c r="K404" s="10">
        <v>23.396957888999999</v>
      </c>
      <c r="L404" s="10">
        <v>26.721245497999998</v>
      </c>
      <c r="M404" s="10">
        <v>29.633502590999999</v>
      </c>
      <c r="N404" s="10">
        <v>32.186028870000001</v>
      </c>
    </row>
    <row r="405" spans="1:14" x14ac:dyDescent="0.25">
      <c r="A405" s="10">
        <v>2</v>
      </c>
      <c r="B405" s="13">
        <v>17.125</v>
      </c>
      <c r="C405" s="10">
        <v>-2.2237399020000002</v>
      </c>
      <c r="D405" s="10">
        <v>20.939884768999999</v>
      </c>
      <c r="E405" s="10">
        <v>0.14763776780000001</v>
      </c>
      <c r="F405" s="10">
        <v>16.867897888000002</v>
      </c>
      <c r="G405" s="10">
        <v>17.244285168000001</v>
      </c>
      <c r="H405" s="10">
        <v>17.880886887999999</v>
      </c>
      <c r="I405" s="10">
        <v>19.138524174</v>
      </c>
      <c r="J405" s="10">
        <v>20.939884768999999</v>
      </c>
      <c r="K405" s="10">
        <v>23.434708539999999</v>
      </c>
      <c r="L405" s="10">
        <v>26.767609651000001</v>
      </c>
      <c r="M405" s="10">
        <v>29.691872359000001</v>
      </c>
      <c r="N405" s="10">
        <v>32.259046822999998</v>
      </c>
    </row>
    <row r="406" spans="1:14" x14ac:dyDescent="0.25">
      <c r="A406" s="10">
        <v>2</v>
      </c>
      <c r="B406" s="13">
        <v>17.208333333333332</v>
      </c>
      <c r="C406" s="10">
        <v>-2.231667995</v>
      </c>
      <c r="D406" s="10">
        <v>20.973428578</v>
      </c>
      <c r="E406" s="10">
        <v>0.1475590832</v>
      </c>
      <c r="F406" s="10">
        <v>16.899145276999999</v>
      </c>
      <c r="G406" s="10">
        <v>17.275604072</v>
      </c>
      <c r="H406" s="10">
        <v>17.912379747999999</v>
      </c>
      <c r="I406" s="10">
        <v>19.170590397000002</v>
      </c>
      <c r="J406" s="10">
        <v>20.973428578</v>
      </c>
      <c r="K406" s="10">
        <v>23.471931904000002</v>
      </c>
      <c r="L406" s="10">
        <v>26.813575259</v>
      </c>
      <c r="M406" s="10">
        <v>29.750036823999999</v>
      </c>
      <c r="N406" s="10">
        <v>32.332123760000002</v>
      </c>
    </row>
    <row r="407" spans="1:14" x14ac:dyDescent="0.25">
      <c r="A407" s="10">
        <v>2</v>
      </c>
      <c r="B407" s="13">
        <v>17.291666666666668</v>
      </c>
      <c r="C407" s="10">
        <v>-2.239511942</v>
      </c>
      <c r="D407" s="10">
        <v>21.006381704999999</v>
      </c>
      <c r="E407" s="10">
        <v>0.14748771620000001</v>
      </c>
      <c r="F407" s="10">
        <v>16.929750116000001</v>
      </c>
      <c r="G407" s="10">
        <v>17.306282966000001</v>
      </c>
      <c r="H407" s="10">
        <v>17.9432379</v>
      </c>
      <c r="I407" s="10">
        <v>19.202036172</v>
      </c>
      <c r="J407" s="10">
        <v>21.006381704999999</v>
      </c>
      <c r="K407" s="10">
        <v>23.508627555</v>
      </c>
      <c r="L407" s="10">
        <v>26.859153117999998</v>
      </c>
      <c r="M407" s="10">
        <v>29.808018082</v>
      </c>
      <c r="N407" s="10">
        <v>32.405293866999997</v>
      </c>
    </row>
    <row r="408" spans="1:14" x14ac:dyDescent="0.25">
      <c r="A408" s="10">
        <v>2</v>
      </c>
      <c r="B408" s="13">
        <v>17.375</v>
      </c>
      <c r="C408" s="10">
        <v>-2.2472570809999999</v>
      </c>
      <c r="D408" s="10">
        <v>21.038737401999999</v>
      </c>
      <c r="E408" s="10">
        <v>0.1474242097</v>
      </c>
      <c r="F408" s="10">
        <v>16.959690789</v>
      </c>
      <c r="G408" s="10">
        <v>17.336301585000001</v>
      </c>
      <c r="H408" s="10">
        <v>17.973443388</v>
      </c>
      <c r="I408" s="10">
        <v>19.232848144999998</v>
      </c>
      <c r="J408" s="10">
        <v>21.038737401999999</v>
      </c>
      <c r="K408" s="10">
        <v>23.544797679999999</v>
      </c>
      <c r="L408" s="10">
        <v>26.904356627999999</v>
      </c>
      <c r="M408" s="10">
        <v>29.865838795999998</v>
      </c>
      <c r="N408" s="10">
        <v>32.478588178999999</v>
      </c>
    </row>
    <row r="409" spans="1:14" x14ac:dyDescent="0.25">
      <c r="A409" s="10">
        <v>2</v>
      </c>
      <c r="B409" s="13">
        <v>17.458333333333332</v>
      </c>
      <c r="C409" s="10">
        <v>-2.2548851449999998</v>
      </c>
      <c r="D409" s="10">
        <v>21.070489959</v>
      </c>
      <c r="E409" s="10">
        <v>0.14736917429999999</v>
      </c>
      <c r="F409" s="10">
        <v>16.988943973000001</v>
      </c>
      <c r="G409" s="10">
        <v>17.365638249</v>
      </c>
      <c r="H409" s="10">
        <v>18.002977318999999</v>
      </c>
      <c r="I409" s="10">
        <v>19.263012919000001</v>
      </c>
      <c r="J409" s="10">
        <v>21.070489959</v>
      </c>
      <c r="K409" s="10">
        <v>23.580446509000001</v>
      </c>
      <c r="L409" s="10">
        <v>26.949201319</v>
      </c>
      <c r="M409" s="10">
        <v>29.923522234</v>
      </c>
      <c r="N409" s="10">
        <v>32.552035445000001</v>
      </c>
    </row>
    <row r="410" spans="1:14" x14ac:dyDescent="0.25">
      <c r="A410" s="10">
        <v>2</v>
      </c>
      <c r="B410" s="13">
        <v>17.541666666666668</v>
      </c>
      <c r="C410" s="10">
        <v>-2.26238209</v>
      </c>
      <c r="D410" s="10">
        <v>21.101632407</v>
      </c>
      <c r="E410" s="10">
        <v>0.14732314399999999</v>
      </c>
      <c r="F410" s="10">
        <v>17.017488280999999</v>
      </c>
      <c r="G410" s="10">
        <v>17.394272864000001</v>
      </c>
      <c r="H410" s="10">
        <v>18.031821809</v>
      </c>
      <c r="I410" s="10">
        <v>19.292517053000001</v>
      </c>
      <c r="J410" s="10">
        <v>21.101632407</v>
      </c>
      <c r="K410" s="10">
        <v>23.615576034</v>
      </c>
      <c r="L410" s="10">
        <v>26.993700896</v>
      </c>
      <c r="M410" s="10">
        <v>29.981092246999999</v>
      </c>
      <c r="N410" s="10">
        <v>32.625669016000003</v>
      </c>
    </row>
    <row r="411" spans="1:14" x14ac:dyDescent="0.25">
      <c r="A411" s="10">
        <v>2</v>
      </c>
      <c r="B411" s="13">
        <v>17.625</v>
      </c>
      <c r="C411" s="10">
        <v>-2.2697315169999999</v>
      </c>
      <c r="D411" s="10">
        <v>21.132158446999998</v>
      </c>
      <c r="E411" s="10">
        <v>0.14728669820000001</v>
      </c>
      <c r="F411" s="10">
        <v>17.045301197000001</v>
      </c>
      <c r="G411" s="10">
        <v>17.422184392999998</v>
      </c>
      <c r="H411" s="10">
        <v>18.059958345999998</v>
      </c>
      <c r="I411" s="10">
        <v>19.321347062000001</v>
      </c>
      <c r="J411" s="10">
        <v>21.132158446999998</v>
      </c>
      <c r="K411" s="10">
        <v>23.650189615999999</v>
      </c>
      <c r="L411" s="10">
        <v>27.037870562999998</v>
      </c>
      <c r="M411" s="10">
        <v>30.038573290999999</v>
      </c>
      <c r="N411" s="10">
        <v>32.699521050000001</v>
      </c>
    </row>
    <row r="412" spans="1:14" x14ac:dyDescent="0.25">
      <c r="A412" s="10">
        <v>2</v>
      </c>
      <c r="B412" s="13">
        <v>17.708333333333332</v>
      </c>
      <c r="C412" s="10">
        <v>-2.2769172289999999</v>
      </c>
      <c r="D412" s="10">
        <v>21.162061708</v>
      </c>
      <c r="E412" s="10">
        <v>0.1472604146</v>
      </c>
      <c r="F412" s="10">
        <v>17.072360264</v>
      </c>
      <c r="G412" s="10">
        <v>17.449351837999998</v>
      </c>
      <c r="H412" s="10">
        <v>18.087368421000001</v>
      </c>
      <c r="I412" s="10">
        <v>19.349489415000001</v>
      </c>
      <c r="J412" s="10">
        <v>21.162061708</v>
      </c>
      <c r="K412" s="10">
        <v>23.684290587</v>
      </c>
      <c r="L412" s="10">
        <v>27.081725748</v>
      </c>
      <c r="M412" s="10">
        <v>30.095990421</v>
      </c>
      <c r="N412" s="10">
        <v>32.773624738999999</v>
      </c>
    </row>
    <row r="413" spans="1:14" x14ac:dyDescent="0.25">
      <c r="A413" s="10">
        <v>2</v>
      </c>
      <c r="B413" s="13">
        <v>17.791666666666668</v>
      </c>
      <c r="C413" s="10">
        <v>-2.2839254420000001</v>
      </c>
      <c r="D413" s="10">
        <v>21.191335097</v>
      </c>
      <c r="E413" s="10">
        <v>0.1472448281</v>
      </c>
      <c r="F413" s="10">
        <v>17.098644117999999</v>
      </c>
      <c r="G413" s="10">
        <v>17.475755094</v>
      </c>
      <c r="H413" s="10">
        <v>18.114034091000001</v>
      </c>
      <c r="I413" s="10">
        <v>19.376930549000001</v>
      </c>
      <c r="J413" s="10">
        <v>21.191335097</v>
      </c>
      <c r="K413" s="10">
        <v>23.717881030000001</v>
      </c>
      <c r="L413" s="10">
        <v>27.125280941</v>
      </c>
      <c r="M413" s="10">
        <v>30.153369256000001</v>
      </c>
      <c r="N413" s="10">
        <v>32.848016315999999</v>
      </c>
    </row>
    <row r="414" spans="1:14" x14ac:dyDescent="0.25">
      <c r="A414" s="10">
        <v>2</v>
      </c>
      <c r="B414" s="13">
        <v>17.875</v>
      </c>
      <c r="C414" s="10">
        <v>-2.2907314419999998</v>
      </c>
      <c r="D414" s="10">
        <v>21.219974715999999</v>
      </c>
      <c r="E414" s="10">
        <v>0.14724068279999999</v>
      </c>
      <c r="F414" s="10">
        <v>17.124126190999998</v>
      </c>
      <c r="G414" s="10">
        <v>17.501369744000002</v>
      </c>
      <c r="H414" s="10">
        <v>18.139934577999998</v>
      </c>
      <c r="I414" s="10">
        <v>19.403656795</v>
      </c>
      <c r="J414" s="10">
        <v>21.219974715999999</v>
      </c>
      <c r="K414" s="10">
        <v>23.750969189999999</v>
      </c>
      <c r="L414" s="10">
        <v>27.168556680999998</v>
      </c>
      <c r="M414" s="10">
        <v>30.210736178000001</v>
      </c>
      <c r="N414" s="10">
        <v>32.922722962000002</v>
      </c>
    </row>
    <row r="415" spans="1:14" x14ac:dyDescent="0.25">
      <c r="A415" s="10">
        <v>2</v>
      </c>
      <c r="B415" s="13">
        <v>17.958333333333332</v>
      </c>
      <c r="C415" s="10">
        <v>-2.2973242699999998</v>
      </c>
      <c r="D415" s="10">
        <v>21.247972622999999</v>
      </c>
      <c r="E415" s="10">
        <v>0.14724846699999999</v>
      </c>
      <c r="F415" s="10">
        <v>17.148786341000001</v>
      </c>
      <c r="G415" s="10">
        <v>17.526176669000002</v>
      </c>
      <c r="H415" s="10">
        <v>18.165052539000001</v>
      </c>
      <c r="I415" s="10">
        <v>19.429654503999998</v>
      </c>
      <c r="J415" s="10">
        <v>21.247972622999999</v>
      </c>
      <c r="K415" s="10">
        <v>23.783555789000001</v>
      </c>
      <c r="L415" s="10">
        <v>27.211566682000001</v>
      </c>
      <c r="M415" s="10">
        <v>30.268117989</v>
      </c>
      <c r="N415" s="10">
        <v>32.997785096999998</v>
      </c>
    </row>
    <row r="416" spans="1:14" x14ac:dyDescent="0.25">
      <c r="A416" s="10">
        <v>2</v>
      </c>
      <c r="B416" s="13">
        <v>18.041666666666668</v>
      </c>
      <c r="C416" s="10">
        <v>-2.3036878019999998</v>
      </c>
      <c r="D416" s="10">
        <v>21.275322388999999</v>
      </c>
      <c r="E416" s="10">
        <v>0.1472687698</v>
      </c>
      <c r="F416" s="10">
        <v>17.172601938</v>
      </c>
      <c r="G416" s="10">
        <v>17.550154682999999</v>
      </c>
      <c r="H416" s="10">
        <v>18.189369265</v>
      </c>
      <c r="I416" s="10">
        <v>19.454909958999998</v>
      </c>
      <c r="J416" s="10">
        <v>21.275322388999999</v>
      </c>
      <c r="K416" s="10">
        <v>23.815644517999999</v>
      </c>
      <c r="L416" s="10">
        <v>27.254327686</v>
      </c>
      <c r="M416" s="10">
        <v>30.325542155000001</v>
      </c>
      <c r="N416" s="10">
        <v>33.073239309999998</v>
      </c>
    </row>
    <row r="417" spans="1:14" x14ac:dyDescent="0.25">
      <c r="A417" s="10">
        <v>2</v>
      </c>
      <c r="B417" s="13">
        <v>18.125</v>
      </c>
      <c r="C417" s="10">
        <v>-2.3097999709999999</v>
      </c>
      <c r="D417" s="10">
        <v>21.302019325</v>
      </c>
      <c r="E417" s="10">
        <v>0.14730229859999999</v>
      </c>
      <c r="F417" s="10">
        <v>17.195547441999999</v>
      </c>
      <c r="G417" s="10">
        <v>17.573280181000001</v>
      </c>
      <c r="H417" s="10">
        <v>18.212864439000001</v>
      </c>
      <c r="I417" s="10">
        <v>19.479409337</v>
      </c>
      <c r="J417" s="10">
        <v>21.302019325</v>
      </c>
      <c r="K417" s="10">
        <v>23.847242520999998</v>
      </c>
      <c r="L417" s="10">
        <v>27.296859987000001</v>
      </c>
      <c r="M417" s="10">
        <v>30.38303689</v>
      </c>
      <c r="N417" s="10">
        <v>33.149117492999999</v>
      </c>
    </row>
    <row r="418" spans="1:14" x14ac:dyDescent="0.25">
      <c r="A418" s="10">
        <v>2</v>
      </c>
      <c r="B418" s="13">
        <v>18.208333333333332</v>
      </c>
      <c r="C418" s="10">
        <v>-2.3156518739999998</v>
      </c>
      <c r="D418" s="10">
        <v>21.328054894000001</v>
      </c>
      <c r="E418" s="10">
        <v>0.14734951439999999</v>
      </c>
      <c r="F418" s="10">
        <v>17.217603518000001</v>
      </c>
      <c r="G418" s="10">
        <v>17.595534679</v>
      </c>
      <c r="H418" s="10">
        <v>18.235521081000002</v>
      </c>
      <c r="I418" s="10">
        <v>19.503138884999998</v>
      </c>
      <c r="J418" s="10">
        <v>21.328054894000001</v>
      </c>
      <c r="K418" s="10">
        <v>23.878349700000001</v>
      </c>
      <c r="L418" s="10">
        <v>27.339177207999999</v>
      </c>
      <c r="M418" s="10">
        <v>30.440630727999999</v>
      </c>
      <c r="N418" s="10">
        <v>33.225464432999999</v>
      </c>
    </row>
    <row r="419" spans="1:14" x14ac:dyDescent="0.25">
      <c r="A419" s="10">
        <v>2</v>
      </c>
      <c r="B419" s="13">
        <v>18.291666666666668</v>
      </c>
      <c r="C419" s="10">
        <v>-2.3212173100000002</v>
      </c>
      <c r="D419" s="10">
        <v>21.353425629</v>
      </c>
      <c r="E419" s="10">
        <v>0.14741121530000001</v>
      </c>
      <c r="F419" s="10">
        <v>17.238742459000001</v>
      </c>
      <c r="G419" s="10">
        <v>17.616892751999998</v>
      </c>
      <c r="H419" s="10">
        <v>18.257317630999999</v>
      </c>
      <c r="I419" s="10">
        <v>19.526084622999999</v>
      </c>
      <c r="J419" s="10">
        <v>21.353425629</v>
      </c>
      <c r="K419" s="10">
        <v>23.908975815000002</v>
      </c>
      <c r="L419" s="10">
        <v>27.381302678000001</v>
      </c>
      <c r="M419" s="10">
        <v>30.498353237</v>
      </c>
      <c r="N419" s="10">
        <v>33.302309649999998</v>
      </c>
    </row>
    <row r="420" spans="1:14" x14ac:dyDescent="0.25">
      <c r="A420" s="10">
        <v>2</v>
      </c>
      <c r="B420" s="13">
        <v>18.375</v>
      </c>
      <c r="C420" s="10">
        <v>-2.3264819110000001</v>
      </c>
      <c r="D420" s="10">
        <v>21.378124616000001</v>
      </c>
      <c r="E420" s="10">
        <v>0.14748797929999999</v>
      </c>
      <c r="F420" s="10">
        <v>17.258942113</v>
      </c>
      <c r="G420" s="10">
        <v>17.637333561999998</v>
      </c>
      <c r="H420" s="10">
        <v>18.278235516999999</v>
      </c>
      <c r="I420" s="10">
        <v>19.548232633000001</v>
      </c>
      <c r="J420" s="10">
        <v>21.378124616000001</v>
      </c>
      <c r="K420" s="10">
        <v>23.939124145000001</v>
      </c>
      <c r="L420" s="10">
        <v>27.423253775999999</v>
      </c>
      <c r="M420" s="10">
        <v>30.556234330999999</v>
      </c>
      <c r="N420" s="10">
        <v>33.379694311000002</v>
      </c>
    </row>
    <row r="421" spans="1:14" x14ac:dyDescent="0.25">
      <c r="A421" s="10">
        <v>2</v>
      </c>
      <c r="B421" s="13">
        <v>18.458333333333332</v>
      </c>
      <c r="C421" s="10">
        <v>-2.3314281389999998</v>
      </c>
      <c r="D421" s="10">
        <v>21.402145892</v>
      </c>
      <c r="E421" s="10">
        <v>0.14758045249999999</v>
      </c>
      <c r="F421" s="10">
        <v>17.278178695000001</v>
      </c>
      <c r="G421" s="10">
        <v>17.656834899</v>
      </c>
      <c r="H421" s="10">
        <v>18.298255244</v>
      </c>
      <c r="I421" s="10">
        <v>19.569568904</v>
      </c>
      <c r="J421" s="10">
        <v>21.402145892</v>
      </c>
      <c r="K421" s="10">
        <v>23.968799925999999</v>
      </c>
      <c r="L421" s="10">
        <v>27.465050023</v>
      </c>
      <c r="M421" s="10">
        <v>30.614304628999999</v>
      </c>
      <c r="N421" s="10">
        <v>33.457657324000003</v>
      </c>
    </row>
    <row r="422" spans="1:14" x14ac:dyDescent="0.25">
      <c r="A422" s="10">
        <v>2</v>
      </c>
      <c r="B422" s="13">
        <v>18.541666666666668</v>
      </c>
      <c r="C422" s="10">
        <v>-2.3360384729999999</v>
      </c>
      <c r="D422" s="10">
        <v>21.425483514</v>
      </c>
      <c r="E422" s="10">
        <v>0.14768928889999999</v>
      </c>
      <c r="F422" s="10">
        <v>17.296428293999998</v>
      </c>
      <c r="G422" s="10">
        <v>17.675374441999999</v>
      </c>
      <c r="H422" s="10">
        <v>18.317357218000001</v>
      </c>
      <c r="I422" s="10">
        <v>19.590079368000001</v>
      </c>
      <c r="J422" s="10">
        <v>21.425483514</v>
      </c>
      <c r="K422" s="10">
        <v>23.998008576</v>
      </c>
      <c r="L422" s="10">
        <v>27.506711376999998</v>
      </c>
      <c r="M422" s="10">
        <v>30.672595385000001</v>
      </c>
      <c r="N422" s="10">
        <v>33.536238259999998</v>
      </c>
    </row>
    <row r="423" spans="1:14" x14ac:dyDescent="0.25">
      <c r="A423" s="10">
        <v>2</v>
      </c>
      <c r="B423" s="13">
        <v>18.625</v>
      </c>
      <c r="C423" s="10">
        <v>-2.3402954500000002</v>
      </c>
      <c r="D423" s="10">
        <v>21.448131558</v>
      </c>
      <c r="E423" s="10">
        <v>0.14781515009999999</v>
      </c>
      <c r="F423" s="10">
        <v>17.313666882</v>
      </c>
      <c r="G423" s="10">
        <v>17.692929755000002</v>
      </c>
      <c r="H423" s="10">
        <v>18.335521745000001</v>
      </c>
      <c r="I423" s="10">
        <v>19.609749894</v>
      </c>
      <c r="J423" s="10">
        <v>21.448131558</v>
      </c>
      <c r="K423" s="10">
        <v>24.026755688000001</v>
      </c>
      <c r="L423" s="10">
        <v>27.548258237999999</v>
      </c>
      <c r="M423" s="10">
        <v>30.731138491999999</v>
      </c>
      <c r="N423" s="10">
        <v>33.615477358</v>
      </c>
    </row>
    <row r="424" spans="1:14" x14ac:dyDescent="0.25">
      <c r="A424" s="10">
        <v>2</v>
      </c>
      <c r="B424" s="13">
        <v>18.708333333333332</v>
      </c>
      <c r="C424" s="10">
        <v>-2.3441817029999998</v>
      </c>
      <c r="D424" s="10">
        <v>21.470084115999999</v>
      </c>
      <c r="E424" s="10">
        <v>0.1479587057</v>
      </c>
      <c r="F424" s="10">
        <v>17.329870318000001</v>
      </c>
      <c r="G424" s="10">
        <v>17.709478294</v>
      </c>
      <c r="H424" s="10">
        <v>18.352729032999999</v>
      </c>
      <c r="I424" s="10">
        <v>19.628566287000002</v>
      </c>
      <c r="J424" s="10">
        <v>21.470084115999999</v>
      </c>
      <c r="K424" s="10">
        <v>24.055047023</v>
      </c>
      <c r="L424" s="10">
        <v>27.589711441999999</v>
      </c>
      <c r="M424" s="10">
        <v>30.789966483000001</v>
      </c>
      <c r="N424" s="10">
        <v>33.695415527000002</v>
      </c>
    </row>
    <row r="425" spans="1:14" x14ac:dyDescent="0.25">
      <c r="A425" s="10">
        <v>2</v>
      </c>
      <c r="B425" s="13">
        <v>18.791666666666668</v>
      </c>
      <c r="C425" s="10">
        <v>-2.34768</v>
      </c>
      <c r="D425" s="10">
        <v>21.491335286000002</v>
      </c>
      <c r="E425" s="10">
        <v>0.14812063319999999</v>
      </c>
      <c r="F425" s="10">
        <v>17.34501435</v>
      </c>
      <c r="G425" s="10">
        <v>17.724997408</v>
      </c>
      <c r="H425" s="10">
        <v>18.368959193999999</v>
      </c>
      <c r="I425" s="10">
        <v>19.646514289999999</v>
      </c>
      <c r="J425" s="10">
        <v>21.491335286000002</v>
      </c>
      <c r="K425" s="10">
        <v>24.082888512</v>
      </c>
      <c r="L425" s="10">
        <v>27.631092256999999</v>
      </c>
      <c r="M425" s="10">
        <v>30.849112534</v>
      </c>
      <c r="N425" s="10">
        <v>33.776094352999998</v>
      </c>
    </row>
    <row r="426" spans="1:14" x14ac:dyDescent="0.25">
      <c r="A426" s="10">
        <v>2</v>
      </c>
      <c r="B426" s="13">
        <v>18.875</v>
      </c>
      <c r="C426" s="10">
        <v>-2.3507732859999999</v>
      </c>
      <c r="D426" s="10">
        <v>21.511879176000001</v>
      </c>
      <c r="E426" s="10">
        <v>0.14830161850000001</v>
      </c>
      <c r="F426" s="10">
        <v>17.359074619000001</v>
      </c>
      <c r="G426" s="10">
        <v>17.739464344999998</v>
      </c>
      <c r="H426" s="10">
        <v>18.384192245000001</v>
      </c>
      <c r="I426" s="10">
        <v>19.663579579</v>
      </c>
      <c r="J426" s="10">
        <v>21.511879176000001</v>
      </c>
      <c r="K426" s="10">
        <v>24.110286241000001</v>
      </c>
      <c r="L426" s="10">
        <v>27.672422386000001</v>
      </c>
      <c r="M426" s="10">
        <v>30.908610468999999</v>
      </c>
      <c r="N426" s="10">
        <v>33.857556101</v>
      </c>
    </row>
    <row r="427" spans="1:14" x14ac:dyDescent="0.25">
      <c r="A427" s="10">
        <v>2</v>
      </c>
      <c r="B427" s="13">
        <v>18.958333333333332</v>
      </c>
      <c r="C427" s="10">
        <v>-2.3534447250000001</v>
      </c>
      <c r="D427" s="10">
        <v>21.531709893999999</v>
      </c>
      <c r="E427" s="10">
        <v>0.14850235540000001</v>
      </c>
      <c r="F427" s="10">
        <v>17.372026667</v>
      </c>
      <c r="G427" s="10">
        <v>17.752856251000001</v>
      </c>
      <c r="H427" s="10">
        <v>18.398408111999998</v>
      </c>
      <c r="I427" s="10">
        <v>19.679747762000002</v>
      </c>
      <c r="J427" s="10">
        <v>21.531709893999999</v>
      </c>
      <c r="K427" s="10">
        <v>24.137246456</v>
      </c>
      <c r="L427" s="10">
        <v>27.713723959999999</v>
      </c>
      <c r="M427" s="10">
        <v>30.968494760999999</v>
      </c>
      <c r="N427" s="10">
        <v>33.939843723000003</v>
      </c>
    </row>
    <row r="428" spans="1:14" x14ac:dyDescent="0.25">
      <c r="A428" s="10">
        <v>2</v>
      </c>
      <c r="B428" s="13">
        <v>19.041666666666668</v>
      </c>
      <c r="C428" s="10">
        <v>-2.3556777430000002</v>
      </c>
      <c r="D428" s="10">
        <v>21.550821547000002</v>
      </c>
      <c r="E428" s="10">
        <v>0.1487235462</v>
      </c>
      <c r="F428" s="10">
        <v>17.383845936</v>
      </c>
      <c r="G428" s="10">
        <v>17.765150175999999</v>
      </c>
      <c r="H428" s="10">
        <v>18.411586625000002</v>
      </c>
      <c r="I428" s="10">
        <v>19.695004381</v>
      </c>
      <c r="J428" s="10">
        <v>21.550821547000002</v>
      </c>
      <c r="K428" s="10">
        <v>24.16377555</v>
      </c>
      <c r="L428" s="10">
        <v>27.755019536999999</v>
      </c>
      <c r="M428" s="10">
        <v>31.028800534999998</v>
      </c>
      <c r="N428" s="10">
        <v>34.023000858000003</v>
      </c>
    </row>
    <row r="429" spans="1:14" x14ac:dyDescent="0.25">
      <c r="A429" s="10">
        <v>2</v>
      </c>
      <c r="B429" s="13">
        <v>19.125</v>
      </c>
      <c r="C429" s="10">
        <v>-2.35745607</v>
      </c>
      <c r="D429" s="10">
        <v>21.569208237000002</v>
      </c>
      <c r="E429" s="10">
        <v>0.14896590179999999</v>
      </c>
      <c r="F429" s="10">
        <v>17.394507776000001</v>
      </c>
      <c r="G429" s="10">
        <v>17.776323076000001</v>
      </c>
      <c r="H429" s="10">
        <v>18.423707526000001</v>
      </c>
      <c r="I429" s="10">
        <v>19.709334906999999</v>
      </c>
      <c r="J429" s="10">
        <v>21.569208237000002</v>
      </c>
      <c r="K429" s="10">
        <v>24.189880061</v>
      </c>
      <c r="L429" s="10">
        <v>27.796332100000001</v>
      </c>
      <c r="M429" s="10">
        <v>31.089563568999999</v>
      </c>
      <c r="N429" s="10">
        <v>34.107071839</v>
      </c>
    </row>
    <row r="430" spans="1:14" x14ac:dyDescent="0.25">
      <c r="A430" s="10">
        <v>2</v>
      </c>
      <c r="B430" s="13">
        <v>19.208333333333332</v>
      </c>
      <c r="C430" s="10">
        <v>-2.3587637880000001</v>
      </c>
      <c r="D430" s="10">
        <v>21.586864057</v>
      </c>
      <c r="E430" s="10">
        <v>0.1492301415</v>
      </c>
      <c r="F430" s="10">
        <v>17.403987448999999</v>
      </c>
      <c r="G430" s="10">
        <v>17.786351816</v>
      </c>
      <c r="H430" s="10">
        <v>18.434750468000001</v>
      </c>
      <c r="I430" s="10">
        <v>19.72272474</v>
      </c>
      <c r="J430" s="10">
        <v>21.586864057</v>
      </c>
      <c r="K430" s="10">
        <v>24.215566671000001</v>
      </c>
      <c r="L430" s="10">
        <v>27.837685054000001</v>
      </c>
      <c r="M430" s="10">
        <v>31.150820298999999</v>
      </c>
      <c r="N430" s="10">
        <v>34.192101698999998</v>
      </c>
    </row>
    <row r="431" spans="1:14" x14ac:dyDescent="0.25">
      <c r="A431" s="10">
        <v>2</v>
      </c>
      <c r="B431" s="13">
        <v>19.291666666666668</v>
      </c>
      <c r="C431" s="10">
        <v>-2.3595853689999999</v>
      </c>
      <c r="D431" s="10">
        <v>21.603783087</v>
      </c>
      <c r="E431" s="10">
        <v>0.14951699360000001</v>
      </c>
      <c r="F431" s="10">
        <v>17.412260129</v>
      </c>
      <c r="G431" s="10">
        <v>17.795213175000001</v>
      </c>
      <c r="H431" s="10">
        <v>18.444695014000001</v>
      </c>
      <c r="I431" s="10">
        <v>19.735159208999999</v>
      </c>
      <c r="J431" s="10">
        <v>21.603783087</v>
      </c>
      <c r="K431" s="10">
        <v>24.240842191999999</v>
      </c>
      <c r="L431" s="10">
        <v>27.879102226000001</v>
      </c>
      <c r="M431" s="10">
        <v>31.212607818999999</v>
      </c>
      <c r="N431" s="10">
        <v>34.278136171</v>
      </c>
    </row>
    <row r="432" spans="1:14" x14ac:dyDescent="0.25">
      <c r="A432" s="10">
        <v>2</v>
      </c>
      <c r="B432" s="13">
        <v>19.375</v>
      </c>
      <c r="C432" s="10">
        <v>-2.359905726</v>
      </c>
      <c r="D432" s="10">
        <v>21.619959388000002</v>
      </c>
      <c r="E432" s="10">
        <v>0.1498271951</v>
      </c>
      <c r="F432" s="10">
        <v>17.419300913000001</v>
      </c>
      <c r="G432" s="10">
        <v>17.802883845</v>
      </c>
      <c r="H432" s="10">
        <v>18.453520643000001</v>
      </c>
      <c r="I432" s="10">
        <v>19.746623568</v>
      </c>
      <c r="J432" s="10">
        <v>21.619959388000002</v>
      </c>
      <c r="K432" s="10">
        <v>24.265713570999999</v>
      </c>
      <c r="L432" s="10">
        <v>27.920607856</v>
      </c>
      <c r="M432" s="10">
        <v>31.274963884999998</v>
      </c>
      <c r="N432" s="10">
        <v>34.365221699999999</v>
      </c>
    </row>
    <row r="433" spans="1:14" x14ac:dyDescent="0.25">
      <c r="A433" s="10">
        <v>2</v>
      </c>
      <c r="B433" s="13">
        <v>19.458333333333332</v>
      </c>
      <c r="C433" s="10">
        <v>-2.3597102579999998</v>
      </c>
      <c r="D433" s="10">
        <v>21.635387002000002</v>
      </c>
      <c r="E433" s="10">
        <v>0.1501614923</v>
      </c>
      <c r="F433" s="10">
        <v>17.425084818999999</v>
      </c>
      <c r="G433" s="10">
        <v>17.809340439</v>
      </c>
      <c r="H433" s="10">
        <v>18.461206748999999</v>
      </c>
      <c r="I433" s="10">
        <v>19.757102998000001</v>
      </c>
      <c r="J433" s="10">
        <v>21.635387002000002</v>
      </c>
      <c r="K433" s="10">
        <v>24.290187877000001</v>
      </c>
      <c r="L433" s="10">
        <v>27.962226600000001</v>
      </c>
      <c r="M433" s="10">
        <v>31.337926913</v>
      </c>
      <c r="N433" s="10">
        <v>34.453405443000001</v>
      </c>
    </row>
    <row r="434" spans="1:14" x14ac:dyDescent="0.25">
      <c r="A434" s="10">
        <v>2</v>
      </c>
      <c r="B434" s="13">
        <v>19.541666666666668</v>
      </c>
      <c r="C434" s="10">
        <v>-2.3589804640000001</v>
      </c>
      <c r="D434" s="10">
        <v>21.650061262000001</v>
      </c>
      <c r="E434" s="10">
        <v>0.15052073399999999</v>
      </c>
      <c r="F434" s="10">
        <v>17.429584476999999</v>
      </c>
      <c r="G434" s="10">
        <v>17.814557553</v>
      </c>
      <c r="H434" s="10">
        <v>18.467731327999999</v>
      </c>
      <c r="I434" s="10">
        <v>19.766582460999999</v>
      </c>
      <c r="J434" s="10">
        <v>21.650061262000001</v>
      </c>
      <c r="K434" s="10">
        <v>24.314274992000001</v>
      </c>
      <c r="L434" s="10">
        <v>28.003986289</v>
      </c>
      <c r="M434" s="10">
        <v>31.401536312000001</v>
      </c>
      <c r="N434" s="10">
        <v>34.542730659</v>
      </c>
    </row>
    <row r="435" spans="1:14" x14ac:dyDescent="0.25">
      <c r="A435" s="10">
        <v>2</v>
      </c>
      <c r="B435" s="13">
        <v>19.625</v>
      </c>
      <c r="C435" s="10">
        <v>-2.3577145079999999</v>
      </c>
      <c r="D435" s="10">
        <v>21.663972694999998</v>
      </c>
      <c r="E435" s="10">
        <v>0.15090543940000001</v>
      </c>
      <c r="F435" s="10">
        <v>17.432780866000002</v>
      </c>
      <c r="G435" s="10">
        <v>17.818516749</v>
      </c>
      <c r="H435" s="10">
        <v>18.473077063000002</v>
      </c>
      <c r="I435" s="10">
        <v>19.775047356000002</v>
      </c>
      <c r="J435" s="10">
        <v>21.663972694999998</v>
      </c>
      <c r="K435" s="10">
        <v>24.337975135000001</v>
      </c>
      <c r="L435" s="10">
        <v>28.045905123000001</v>
      </c>
      <c r="M435" s="10">
        <v>31.465830972999999</v>
      </c>
      <c r="N435" s="10">
        <v>34.633258103999999</v>
      </c>
    </row>
    <row r="436" spans="1:14" x14ac:dyDescent="0.25">
      <c r="A436" s="10">
        <v>2</v>
      </c>
      <c r="B436" s="13">
        <v>19.708333333333332</v>
      </c>
      <c r="C436" s="10">
        <v>-2.3558924239999999</v>
      </c>
      <c r="D436" s="10">
        <v>21.677117355</v>
      </c>
      <c r="E436" s="10">
        <v>0.1513165313</v>
      </c>
      <c r="F436" s="10">
        <v>17.434645125999999</v>
      </c>
      <c r="G436" s="10">
        <v>17.821191340999999</v>
      </c>
      <c r="H436" s="10">
        <v>18.477221023999999</v>
      </c>
      <c r="I436" s="10">
        <v>19.782482417000001</v>
      </c>
      <c r="J436" s="10">
        <v>21.677117355</v>
      </c>
      <c r="K436" s="10">
        <v>24.3613</v>
      </c>
      <c r="L436" s="10">
        <v>28.088013354000001</v>
      </c>
      <c r="M436" s="10">
        <v>31.530851807000001</v>
      </c>
      <c r="N436" s="10">
        <v>34.725029790999997</v>
      </c>
    </row>
    <row r="437" spans="1:14" x14ac:dyDescent="0.25">
      <c r="A437" s="10">
        <v>2</v>
      </c>
      <c r="B437" s="13">
        <v>19.791666666666668</v>
      </c>
      <c r="C437" s="10">
        <v>-2.353501353</v>
      </c>
      <c r="D437" s="10">
        <v>21.689489351999999</v>
      </c>
      <c r="E437" s="10">
        <v>0.15175480769999999</v>
      </c>
      <c r="F437" s="10">
        <v>17.435151678</v>
      </c>
      <c r="G437" s="10">
        <v>17.822557366000002</v>
      </c>
      <c r="H437" s="10">
        <v>18.480142088000001</v>
      </c>
      <c r="I437" s="10">
        <v>19.788872488999999</v>
      </c>
      <c r="J437" s="10">
        <v>21.689489351999999</v>
      </c>
      <c r="K437" s="10">
        <v>24.384257496</v>
      </c>
      <c r="L437" s="10">
        <v>28.130337666999999</v>
      </c>
      <c r="M437" s="10">
        <v>31.596639946</v>
      </c>
      <c r="N437" s="10">
        <v>34.818095114000002</v>
      </c>
    </row>
    <row r="438" spans="1:14" x14ac:dyDescent="0.25">
      <c r="A438" s="10">
        <v>2</v>
      </c>
      <c r="B438" s="13">
        <v>19.875</v>
      </c>
      <c r="C438" s="10">
        <v>-2.3505287259999998</v>
      </c>
      <c r="D438" s="10">
        <v>21.701082884000002</v>
      </c>
      <c r="E438" s="10">
        <v>0.15222108610000001</v>
      </c>
      <c r="F438" s="10">
        <v>17.434274653999999</v>
      </c>
      <c r="G438" s="10">
        <v>17.822590601000002</v>
      </c>
      <c r="H438" s="10">
        <v>18.481818919999998</v>
      </c>
      <c r="I438" s="10">
        <v>19.79420232</v>
      </c>
      <c r="J438" s="10">
        <v>21.701082884000002</v>
      </c>
      <c r="K438" s="10">
        <v>24.406855907000001</v>
      </c>
      <c r="L438" s="10">
        <v>28.172905434</v>
      </c>
      <c r="M438" s="10">
        <v>31.663237236000001</v>
      </c>
      <c r="N438" s="10">
        <v>34.912503739999998</v>
      </c>
    </row>
    <row r="439" spans="1:14" x14ac:dyDescent="0.25">
      <c r="A439" s="10">
        <v>2</v>
      </c>
      <c r="B439" s="13">
        <v>19.958333333333332</v>
      </c>
      <c r="C439" s="10">
        <v>-2.346962247</v>
      </c>
      <c r="D439" s="10">
        <v>21.711892251999998</v>
      </c>
      <c r="E439" s="10">
        <v>0.15271620550000001</v>
      </c>
      <c r="F439" s="10">
        <v>17.431987863</v>
      </c>
      <c r="G439" s="10">
        <v>17.821266526999999</v>
      </c>
      <c r="H439" s="10">
        <v>18.482229947</v>
      </c>
      <c r="I439" s="10">
        <v>19.798456547000001</v>
      </c>
      <c r="J439" s="10">
        <v>21.711892251999998</v>
      </c>
      <c r="K439" s="10">
        <v>24.429103928</v>
      </c>
      <c r="L439" s="10">
        <v>28.215744764</v>
      </c>
      <c r="M439" s="10">
        <v>31.730686252999998</v>
      </c>
      <c r="N439" s="10">
        <v>35.008305518999997</v>
      </c>
    </row>
    <row r="440" spans="1:14" x14ac:dyDescent="0.25">
      <c r="A440" s="10">
        <v>2</v>
      </c>
      <c r="B440" s="13">
        <v>20</v>
      </c>
      <c r="C440" s="10">
        <v>-2.3449584300000001</v>
      </c>
      <c r="D440" s="10">
        <v>21.716999342000001</v>
      </c>
      <c r="E440" s="10">
        <v>0.15297471800000001</v>
      </c>
      <c r="F440" s="10">
        <v>17.430310748</v>
      </c>
      <c r="G440" s="10">
        <v>17.820090456999999</v>
      </c>
      <c r="H440" s="10">
        <v>18.481955822</v>
      </c>
      <c r="I440" s="10">
        <v>19.800175715999998</v>
      </c>
      <c r="J440" s="10">
        <v>21.716999342000001</v>
      </c>
      <c r="K440" s="10">
        <v>24.44009565</v>
      </c>
      <c r="L440" s="10">
        <v>28.237271346</v>
      </c>
      <c r="M440" s="10">
        <v>31.764743113000002</v>
      </c>
      <c r="N440" s="10">
        <v>35.056750932</v>
      </c>
    </row>
    <row r="441" spans="1:14" x14ac:dyDescent="0.25">
      <c r="A441" s="10">
        <v>2</v>
      </c>
      <c r="B441" s="13">
        <v>20.041666666666668</v>
      </c>
      <c r="C441" s="10">
        <v>-2.3427969480000002</v>
      </c>
      <c r="D441" s="10">
        <v>21.721909734</v>
      </c>
      <c r="E441" s="10">
        <v>0.15324087159999999</v>
      </c>
      <c r="F441" s="10">
        <v>17.428268633999998</v>
      </c>
      <c r="G441" s="10">
        <v>17.818563561000001</v>
      </c>
      <c r="H441" s="10">
        <v>18.481355567000001</v>
      </c>
      <c r="I441" s="10">
        <v>19.801619985999999</v>
      </c>
      <c r="J441" s="10">
        <v>21.721909734</v>
      </c>
      <c r="K441" s="10">
        <v>24.451006217</v>
      </c>
      <c r="L441" s="10">
        <v>28.258879832000002</v>
      </c>
      <c r="M441" s="10">
        <v>31.799029637</v>
      </c>
      <c r="N441" s="10">
        <v>35.105558219999999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F8A8-52CF-4334-8336-76F043070037}">
  <sheetPr codeName="Sheet1"/>
  <dimension ref="A1:N159"/>
  <sheetViews>
    <sheetView topLeftCell="A79" workbookViewId="0">
      <selection activeCell="A115" sqref="A115:XFD115"/>
    </sheetView>
  </sheetViews>
  <sheetFormatPr defaultRowHeight="13.2" x14ac:dyDescent="0.25"/>
  <cols>
    <col min="1" max="16384" width="8.88671875" style="10"/>
  </cols>
  <sheetData>
    <row r="1" spans="1:14" x14ac:dyDescent="0.25">
      <c r="A1" s="10" t="s">
        <v>2</v>
      </c>
      <c r="B1" s="10" t="s">
        <v>32</v>
      </c>
      <c r="C1" s="10" t="s">
        <v>3</v>
      </c>
      <c r="D1" s="10" t="s">
        <v>4</v>
      </c>
      <c r="E1" s="10" t="s">
        <v>5</v>
      </c>
      <c r="F1" s="10" t="s">
        <v>6</v>
      </c>
      <c r="G1" s="10" t="s">
        <v>7</v>
      </c>
      <c r="H1" s="10" t="s">
        <v>8</v>
      </c>
      <c r="I1" s="10" t="s">
        <v>9</v>
      </c>
      <c r="J1" s="10" t="s">
        <v>10</v>
      </c>
      <c r="K1" s="10" t="s">
        <v>11</v>
      </c>
      <c r="L1" s="10" t="s">
        <v>12</v>
      </c>
      <c r="M1" s="10" t="s">
        <v>13</v>
      </c>
      <c r="N1" s="10" t="s">
        <v>14</v>
      </c>
    </row>
    <row r="2" spans="1:14" customFormat="1" x14ac:dyDescent="0.25">
      <c r="A2">
        <v>1</v>
      </c>
      <c r="B2">
        <v>45</v>
      </c>
      <c r="C2">
        <v>1.4490368899999999</v>
      </c>
      <c r="D2">
        <v>2.2897577349999998</v>
      </c>
      <c r="E2">
        <v>0.149236691</v>
      </c>
      <c r="F2">
        <v>1.5970285179999999</v>
      </c>
      <c r="G2">
        <v>1.690593749</v>
      </c>
      <c r="H2">
        <v>1.8303032850000001</v>
      </c>
      <c r="I2">
        <v>2.0537023259999998</v>
      </c>
      <c r="J2">
        <v>2.2897577349999998</v>
      </c>
      <c r="K2">
        <v>2.5153389480000001</v>
      </c>
      <c r="L2">
        <v>2.7108467049999998</v>
      </c>
      <c r="M2">
        <v>2.8248613869999999</v>
      </c>
      <c r="N2">
        <v>2.8978091799999999</v>
      </c>
    </row>
    <row r="3" spans="1:14" customFormat="1" x14ac:dyDescent="0.25">
      <c r="A3">
        <v>1</v>
      </c>
      <c r="B3">
        <v>45.5</v>
      </c>
      <c r="C3">
        <v>1.3179416500000001</v>
      </c>
      <c r="D3">
        <v>2.3861721899999999</v>
      </c>
      <c r="E3">
        <v>0.14479013099999999</v>
      </c>
      <c r="F3">
        <v>1.7029574169999999</v>
      </c>
      <c r="G3">
        <v>1.792954672</v>
      </c>
      <c r="H3">
        <v>1.9288053919999999</v>
      </c>
      <c r="I3">
        <v>2.1493142459999999</v>
      </c>
      <c r="J3">
        <v>2.3861721899999999</v>
      </c>
      <c r="K3">
        <v>2.6157664770000002</v>
      </c>
      <c r="L3">
        <v>2.8170449670000002</v>
      </c>
      <c r="M3">
        <v>2.935328776</v>
      </c>
      <c r="N3">
        <v>3.0113383169999999</v>
      </c>
    </row>
    <row r="4" spans="1:14" customFormat="1" x14ac:dyDescent="0.25">
      <c r="A4">
        <v>1</v>
      </c>
      <c r="B4">
        <v>46.5</v>
      </c>
      <c r="C4">
        <v>1.0417305889999999</v>
      </c>
      <c r="D4">
        <v>2.5870979219999999</v>
      </c>
      <c r="E4">
        <v>0.13654720000000001</v>
      </c>
      <c r="F4">
        <v>1.918742401</v>
      </c>
      <c r="G4">
        <v>2.0030605600000002</v>
      </c>
      <c r="H4">
        <v>2.1326073449999998</v>
      </c>
      <c r="I4">
        <v>2.3483531100000001</v>
      </c>
      <c r="J4">
        <v>2.5870979219999999</v>
      </c>
      <c r="K4">
        <v>2.824925474</v>
      </c>
      <c r="L4">
        <v>3.0382627869999999</v>
      </c>
      <c r="M4">
        <v>3.1656352270000001</v>
      </c>
      <c r="N4">
        <v>3.2482400029999998</v>
      </c>
    </row>
    <row r="5" spans="1:14" customFormat="1" x14ac:dyDescent="0.25">
      <c r="A5">
        <v>1</v>
      </c>
      <c r="B5">
        <v>47.5</v>
      </c>
      <c r="C5">
        <v>0.75661568300000004</v>
      </c>
      <c r="D5">
        <v>2.7979525930000002</v>
      </c>
      <c r="E5">
        <v>0.12915607700000001</v>
      </c>
      <c r="F5">
        <v>2.1392834710000002</v>
      </c>
      <c r="G5">
        <v>2.2195142909999999</v>
      </c>
      <c r="H5">
        <v>2.3444423849999998</v>
      </c>
      <c r="I5">
        <v>2.5568340510000001</v>
      </c>
      <c r="J5">
        <v>2.7979525930000002</v>
      </c>
      <c r="K5">
        <v>3.0442411589999998</v>
      </c>
      <c r="L5">
        <v>3.2701474039999998</v>
      </c>
      <c r="M5">
        <v>3.4072007370000001</v>
      </c>
      <c r="N5">
        <v>3.4969351799999999</v>
      </c>
    </row>
    <row r="6" spans="1:14" customFormat="1" x14ac:dyDescent="0.25">
      <c r="A6">
        <v>1</v>
      </c>
      <c r="B6">
        <v>48.5</v>
      </c>
      <c r="C6">
        <v>0.47261758700000001</v>
      </c>
      <c r="D6">
        <v>3.0176797909999999</v>
      </c>
      <c r="E6">
        <v>0.12258949800000001</v>
      </c>
      <c r="F6">
        <v>2.3640259650000002</v>
      </c>
      <c r="G6">
        <v>2.4414219049999999</v>
      </c>
      <c r="H6">
        <v>2.5631709150000002</v>
      </c>
      <c r="I6">
        <v>2.773593907</v>
      </c>
      <c r="J6">
        <v>3.0176797909999999</v>
      </c>
      <c r="K6">
        <v>3.2726462139999999</v>
      </c>
      <c r="L6">
        <v>3.5114673619999999</v>
      </c>
      <c r="M6">
        <v>3.6586409299999998</v>
      </c>
      <c r="N6">
        <v>3.7559283830000001</v>
      </c>
    </row>
    <row r="7" spans="1:14" customFormat="1" x14ac:dyDescent="0.25">
      <c r="A7">
        <v>1</v>
      </c>
      <c r="B7">
        <v>49.5</v>
      </c>
      <c r="C7">
        <v>0.197455933</v>
      </c>
      <c r="D7">
        <v>3.2452255829999999</v>
      </c>
      <c r="E7">
        <v>0.116802688</v>
      </c>
      <c r="F7">
        <v>2.59243106</v>
      </c>
      <c r="G7">
        <v>2.6679822820000001</v>
      </c>
      <c r="H7">
        <v>2.7877629100000001</v>
      </c>
      <c r="I7">
        <v>2.9975145150000002</v>
      </c>
      <c r="J7">
        <v>3.2452255829999999</v>
      </c>
      <c r="K7">
        <v>3.5091035060000002</v>
      </c>
      <c r="L7">
        <v>3.761071952</v>
      </c>
      <c r="M7">
        <v>3.9186751439999998</v>
      </c>
      <c r="N7">
        <v>4.0238350770000002</v>
      </c>
    </row>
    <row r="8" spans="1:14" customFormat="1" x14ac:dyDescent="0.25">
      <c r="A8">
        <v>1</v>
      </c>
      <c r="B8">
        <v>50.5</v>
      </c>
      <c r="C8">
        <v>-6.3272822000000006E-2</v>
      </c>
      <c r="D8">
        <v>3.4795677669999998</v>
      </c>
      <c r="E8">
        <v>0.11173496300000001</v>
      </c>
      <c r="F8">
        <v>2.8239668440000001</v>
      </c>
      <c r="G8">
        <v>2.8984636500000001</v>
      </c>
      <c r="H8">
        <v>3.0172890510000001</v>
      </c>
      <c r="I8">
        <v>3.227549277</v>
      </c>
      <c r="J8">
        <v>3.4795677669999998</v>
      </c>
      <c r="K8">
        <v>3.7526131170000001</v>
      </c>
      <c r="L8">
        <v>4.01788174</v>
      </c>
      <c r="M8">
        <v>4.1861133800000001</v>
      </c>
      <c r="N8">
        <v>4.2993685380000004</v>
      </c>
    </row>
    <row r="9" spans="1:14" customFormat="1" x14ac:dyDescent="0.25">
      <c r="A9">
        <v>1</v>
      </c>
      <c r="B9">
        <v>51.5</v>
      </c>
      <c r="C9">
        <v>-0.305663778</v>
      </c>
      <c r="D9">
        <v>3.719739648</v>
      </c>
      <c r="E9">
        <v>0.107316407</v>
      </c>
      <c r="F9">
        <v>3.0581041029999998</v>
      </c>
      <c r="G9">
        <v>3.132186651</v>
      </c>
      <c r="H9">
        <v>3.2509082739999999</v>
      </c>
      <c r="I9">
        <v>3.462735881</v>
      </c>
      <c r="J9">
        <v>3.719739648</v>
      </c>
      <c r="K9">
        <v>4.0022241980000004</v>
      </c>
      <c r="L9">
        <v>4.2808845150000003</v>
      </c>
      <c r="M9">
        <v>4.4598455069999998</v>
      </c>
      <c r="N9">
        <v>4.581326217</v>
      </c>
    </row>
    <row r="10" spans="1:14" customFormat="1" x14ac:dyDescent="0.25">
      <c r="A10">
        <v>1</v>
      </c>
      <c r="B10">
        <v>52.5</v>
      </c>
      <c r="C10">
        <v>-0.527210764</v>
      </c>
      <c r="D10">
        <v>3.964838222</v>
      </c>
      <c r="E10">
        <v>0.10347453</v>
      </c>
      <c r="F10">
        <v>3.2943222250000002</v>
      </c>
      <c r="G10">
        <v>3.368517223</v>
      </c>
      <c r="H10">
        <v>3.4878561069999998</v>
      </c>
      <c r="I10">
        <v>3.7021950870000002</v>
      </c>
      <c r="J10">
        <v>3.964838222</v>
      </c>
      <c r="K10">
        <v>4.2570395440000004</v>
      </c>
      <c r="L10">
        <v>4.5491323220000002</v>
      </c>
      <c r="M10">
        <v>4.7388363609999997</v>
      </c>
      <c r="N10">
        <v>4.8685855550000001</v>
      </c>
    </row>
    <row r="11" spans="1:14" customFormat="1" x14ac:dyDescent="0.25">
      <c r="A11">
        <v>1</v>
      </c>
      <c r="B11">
        <v>53.5</v>
      </c>
      <c r="C11">
        <v>-0.726356263</v>
      </c>
      <c r="D11">
        <v>4.214033476</v>
      </c>
      <c r="E11">
        <v>0.10013936900000001</v>
      </c>
      <c r="F11">
        <v>3.5321098370000001</v>
      </c>
      <c r="G11">
        <v>3.6068595889999999</v>
      </c>
      <c r="H11">
        <v>3.7274351060000002</v>
      </c>
      <c r="I11">
        <v>3.9451297699999999</v>
      </c>
      <c r="J11">
        <v>4.214033476</v>
      </c>
      <c r="K11">
        <v>4.516224426</v>
      </c>
      <c r="L11">
        <v>4.8217416540000002</v>
      </c>
      <c r="M11">
        <v>5.0221199570000001</v>
      </c>
      <c r="N11">
        <v>5.1600949280000004</v>
      </c>
    </row>
    <row r="12" spans="1:14" customFormat="1" x14ac:dyDescent="0.25">
      <c r="A12">
        <v>1</v>
      </c>
      <c r="B12">
        <v>54.5</v>
      </c>
      <c r="C12">
        <v>-0.90238049899999995</v>
      </c>
      <c r="D12">
        <v>4.4665626249999999</v>
      </c>
      <c r="E12">
        <v>9.7246097000000004E-2</v>
      </c>
      <c r="F12">
        <v>3.7709751749999998</v>
      </c>
      <c r="G12">
        <v>3.8466575160000001</v>
      </c>
      <c r="H12">
        <v>3.969008144</v>
      </c>
      <c r="I12">
        <v>4.1908157790000002</v>
      </c>
      <c r="J12">
        <v>4.4665626249999999</v>
      </c>
      <c r="K12">
        <v>4.7790028510000004</v>
      </c>
      <c r="L12">
        <v>5.0978905220000001</v>
      </c>
      <c r="M12">
        <v>5.3087992660000003</v>
      </c>
      <c r="N12">
        <v>5.4548773160000001</v>
      </c>
    </row>
    <row r="13" spans="1:14" customFormat="1" x14ac:dyDescent="0.25">
      <c r="A13">
        <v>1</v>
      </c>
      <c r="B13">
        <v>55.5</v>
      </c>
      <c r="C13">
        <v>-1.055126826</v>
      </c>
      <c r="D13">
        <v>4.7217306690000003</v>
      </c>
      <c r="E13">
        <v>9.4736440000000005E-2</v>
      </c>
      <c r="F13">
        <v>4.0104483289999999</v>
      </c>
      <c r="G13">
        <v>4.0873922719999998</v>
      </c>
      <c r="H13">
        <v>4.211993219</v>
      </c>
      <c r="I13">
        <v>4.4385978899999996</v>
      </c>
      <c r="J13">
        <v>4.7217306690000003</v>
      </c>
      <c r="K13">
        <v>5.0446598150000002</v>
      </c>
      <c r="L13">
        <v>5.3768178779999998</v>
      </c>
      <c r="M13">
        <v>5.598043337</v>
      </c>
      <c r="N13">
        <v>5.7520266490000003</v>
      </c>
    </row>
    <row r="14" spans="1:14" customFormat="1" x14ac:dyDescent="0.25">
      <c r="A14">
        <v>1</v>
      </c>
      <c r="B14">
        <v>56.5</v>
      </c>
      <c r="C14">
        <v>-1.184933443</v>
      </c>
      <c r="D14">
        <v>4.9789037440000001</v>
      </c>
      <c r="E14">
        <v>9.2558748999999996E-2</v>
      </c>
      <c r="F14">
        <v>4.2500880710000004</v>
      </c>
      <c r="G14">
        <v>4.3285845250000001</v>
      </c>
      <c r="H14">
        <v>4.4558600689999999</v>
      </c>
      <c r="I14">
        <v>4.6878827019999996</v>
      </c>
      <c r="J14">
        <v>4.9789037440000001</v>
      </c>
      <c r="K14">
        <v>5.3125364480000004</v>
      </c>
      <c r="L14">
        <v>5.6578206599999996</v>
      </c>
      <c r="M14">
        <v>5.8890870350000002</v>
      </c>
      <c r="N14">
        <v>6.0507110370000001</v>
      </c>
    </row>
    <row r="15" spans="1:14" customFormat="1" x14ac:dyDescent="0.25">
      <c r="A15">
        <v>1</v>
      </c>
      <c r="B15">
        <v>57.5</v>
      </c>
      <c r="C15">
        <v>-1.292531809</v>
      </c>
      <c r="D15">
        <v>5.2375047529999996</v>
      </c>
      <c r="E15">
        <v>9.0667650000000002E-2</v>
      </c>
      <c r="F15">
        <v>4.4894855370000002</v>
      </c>
      <c r="G15">
        <v>4.5697949940000004</v>
      </c>
      <c r="H15">
        <v>4.700127546</v>
      </c>
      <c r="I15">
        <v>4.9381337490000003</v>
      </c>
      <c r="J15">
        <v>5.2375047529999996</v>
      </c>
      <c r="K15">
        <v>5.5820269470000001</v>
      </c>
      <c r="L15">
        <v>5.9402514990000004</v>
      </c>
      <c r="M15">
        <v>6.1812298940000003</v>
      </c>
      <c r="N15">
        <v>6.3501735180000001</v>
      </c>
    </row>
    <row r="16" spans="1:14" customFormat="1" x14ac:dyDescent="0.25">
      <c r="A16">
        <v>1</v>
      </c>
      <c r="B16">
        <v>58.5</v>
      </c>
      <c r="C16">
        <v>-1.3789731110000001</v>
      </c>
      <c r="D16">
        <v>5.4970089150000003</v>
      </c>
      <c r="E16">
        <v>8.9023437999999996E-2</v>
      </c>
      <c r="F16">
        <v>4.7282672330000004</v>
      </c>
      <c r="G16">
        <v>4.810625098</v>
      </c>
      <c r="H16">
        <v>4.94436155</v>
      </c>
      <c r="I16">
        <v>5.1888671259999999</v>
      </c>
      <c r="J16">
        <v>5.4970089150000003</v>
      </c>
      <c r="K16">
        <v>5.8525751899999996</v>
      </c>
      <c r="L16">
        <v>6.2235164200000002</v>
      </c>
      <c r="M16">
        <v>6.4738350670000004</v>
      </c>
      <c r="N16">
        <v>6.6497327390000001</v>
      </c>
    </row>
    <row r="17" spans="1:14" customFormat="1" x14ac:dyDescent="0.25">
      <c r="A17">
        <v>1</v>
      </c>
      <c r="B17">
        <v>59.5</v>
      </c>
      <c r="C17">
        <v>-1.445563111</v>
      </c>
      <c r="D17">
        <v>5.7569399069999996</v>
      </c>
      <c r="E17">
        <v>8.7591418000000004E-2</v>
      </c>
      <c r="F17">
        <v>4.9660969990000003</v>
      </c>
      <c r="G17">
        <v>5.0507172049999998</v>
      </c>
      <c r="H17">
        <v>5.1881732270000001</v>
      </c>
      <c r="I17">
        <v>5.4396478210000003</v>
      </c>
      <c r="J17">
        <v>5.7569399069999996</v>
      </c>
      <c r="K17">
        <v>6.1236717919999997</v>
      </c>
      <c r="L17">
        <v>6.5070728659999997</v>
      </c>
      <c r="M17">
        <v>6.7663281670000002</v>
      </c>
      <c r="N17">
        <v>6.9487828199999999</v>
      </c>
    </row>
    <row r="18" spans="1:14" customFormat="1" x14ac:dyDescent="0.25">
      <c r="A18">
        <v>1</v>
      </c>
      <c r="B18">
        <v>60.5</v>
      </c>
      <c r="C18">
        <v>-1.49380121</v>
      </c>
      <c r="D18">
        <v>6.0168666929999999</v>
      </c>
      <c r="E18">
        <v>8.6341291000000001E-2</v>
      </c>
      <c r="F18">
        <v>5.202677038</v>
      </c>
      <c r="G18">
        <v>5.2897544270000001</v>
      </c>
      <c r="H18">
        <v>5.4312172619999997</v>
      </c>
      <c r="I18">
        <v>5.6900866109999999</v>
      </c>
      <c r="J18">
        <v>6.0168666929999999</v>
      </c>
      <c r="K18">
        <v>6.3948517909999998</v>
      </c>
      <c r="L18">
        <v>6.7904281629999996</v>
      </c>
      <c r="M18">
        <v>7.0581960029999999</v>
      </c>
      <c r="N18">
        <v>7.2467923150000004</v>
      </c>
    </row>
    <row r="19" spans="1:14" customFormat="1" x14ac:dyDescent="0.25">
      <c r="A19">
        <v>1</v>
      </c>
      <c r="B19">
        <v>61.5</v>
      </c>
      <c r="C19">
        <v>-1.5253328269999999</v>
      </c>
      <c r="D19">
        <v>6.2764005750000003</v>
      </c>
      <c r="E19">
        <v>8.5246598000000007E-2</v>
      </c>
      <c r="F19">
        <v>5.4377484970000003</v>
      </c>
      <c r="G19">
        <v>5.5274602020000003</v>
      </c>
      <c r="H19">
        <v>5.6731902319999996</v>
      </c>
      <c r="I19">
        <v>5.9398372220000004</v>
      </c>
      <c r="J19">
        <v>6.2764005750000003</v>
      </c>
      <c r="K19">
        <v>6.6656925500000002</v>
      </c>
      <c r="L19">
        <v>7.0731382260000002</v>
      </c>
      <c r="M19">
        <v>7.3489853619999996</v>
      </c>
      <c r="N19">
        <v>7.5433027680000002</v>
      </c>
    </row>
    <row r="20" spans="1:14" customFormat="1" x14ac:dyDescent="0.25">
      <c r="A20">
        <v>1</v>
      </c>
      <c r="B20">
        <v>62.5</v>
      </c>
      <c r="C20">
        <v>-1.5418396480000001</v>
      </c>
      <c r="D20">
        <v>6.5351955410000002</v>
      </c>
      <c r="E20">
        <v>8.4284400999999995E-2</v>
      </c>
      <c r="F20">
        <v>5.6710890010000004</v>
      </c>
      <c r="G20">
        <v>5.7635959459999997</v>
      </c>
      <c r="H20">
        <v>5.9138285899999996</v>
      </c>
      <c r="I20">
        <v>6.1885952599999996</v>
      </c>
      <c r="J20">
        <v>6.5351955410000002</v>
      </c>
      <c r="K20">
        <v>6.9358150810000003</v>
      </c>
      <c r="L20">
        <v>7.3548078720000003</v>
      </c>
      <c r="M20">
        <v>7.6383007620000001</v>
      </c>
      <c r="N20">
        <v>7.8379235109999996</v>
      </c>
    </row>
    <row r="21" spans="1:14" customFormat="1" x14ac:dyDescent="0.25">
      <c r="A21">
        <v>1</v>
      </c>
      <c r="B21">
        <v>63.5</v>
      </c>
      <c r="C21">
        <v>-1.545098045</v>
      </c>
      <c r="D21">
        <v>6.7929423660000001</v>
      </c>
      <c r="E21">
        <v>8.3434649E-2</v>
      </c>
      <c r="F21">
        <v>5.9025155429999998</v>
      </c>
      <c r="G21">
        <v>5.9979622360000002</v>
      </c>
      <c r="H21">
        <v>6.1529074789999996</v>
      </c>
      <c r="I21">
        <v>6.4360939760000004</v>
      </c>
      <c r="J21">
        <v>6.7929423660000001</v>
      </c>
      <c r="K21">
        <v>7.2048788029999997</v>
      </c>
      <c r="L21">
        <v>7.6350883229999997</v>
      </c>
      <c r="M21">
        <v>7.9258044229999998</v>
      </c>
      <c r="N21">
        <v>8.1303333989999995</v>
      </c>
    </row>
    <row r="22" spans="1:14" customFormat="1" x14ac:dyDescent="0.25">
      <c r="A22">
        <v>1</v>
      </c>
      <c r="B22">
        <v>64.5</v>
      </c>
      <c r="C22">
        <v>-1.536863318</v>
      </c>
      <c r="D22">
        <v>7.0493704250000002</v>
      </c>
      <c r="E22">
        <v>8.2680039999999996E-2</v>
      </c>
      <c r="F22">
        <v>6.1318805579999998</v>
      </c>
      <c r="G22">
        <v>6.2303955569999996</v>
      </c>
      <c r="H22">
        <v>6.3902385920000002</v>
      </c>
      <c r="I22">
        <v>6.6821040690000002</v>
      </c>
      <c r="J22">
        <v>7.0493704250000002</v>
      </c>
      <c r="K22">
        <v>7.4725843139999997</v>
      </c>
      <c r="L22">
        <v>7.9136781999999997</v>
      </c>
      <c r="M22">
        <v>8.2112136069999995</v>
      </c>
      <c r="N22">
        <v>8.4202740269999996</v>
      </c>
    </row>
    <row r="23" spans="1:14" customFormat="1" x14ac:dyDescent="0.25">
      <c r="A23">
        <v>1</v>
      </c>
      <c r="B23">
        <v>65.5</v>
      </c>
      <c r="C23">
        <v>-1.5187860929999999</v>
      </c>
      <c r="D23">
        <v>7.3042489939999999</v>
      </c>
      <c r="E23">
        <v>8.2005842999999995E-2</v>
      </c>
      <c r="F23">
        <v>6.3590684020000001</v>
      </c>
      <c r="G23">
        <v>6.4607653689999998</v>
      </c>
      <c r="H23">
        <v>6.6256681650000004</v>
      </c>
      <c r="I23">
        <v>6.9264333169999999</v>
      </c>
      <c r="J23">
        <v>7.3042489939999999</v>
      </c>
      <c r="K23">
        <v>7.7386754990000002</v>
      </c>
      <c r="L23">
        <v>8.1903241280000003</v>
      </c>
      <c r="M23">
        <v>8.4942981329999991</v>
      </c>
      <c r="N23">
        <v>8.7075436980000003</v>
      </c>
    </row>
    <row r="24" spans="1:14" customFormat="1" x14ac:dyDescent="0.25">
      <c r="A24">
        <v>1</v>
      </c>
      <c r="B24">
        <v>66.5</v>
      </c>
      <c r="C24">
        <v>-1.4924902900000001</v>
      </c>
      <c r="D24">
        <v>7.5573819950000001</v>
      </c>
      <c r="E24">
        <v>8.1399411000000005E-2</v>
      </c>
      <c r="F24">
        <v>6.5839975610000003</v>
      </c>
      <c r="G24">
        <v>6.6889749150000002</v>
      </c>
      <c r="H24">
        <v>6.859075839</v>
      </c>
      <c r="I24">
        <v>7.1689228419999997</v>
      </c>
      <c r="J24">
        <v>7.5573819950000001</v>
      </c>
      <c r="K24">
        <v>8.0029346839999995</v>
      </c>
      <c r="L24">
        <v>8.4648182399999996</v>
      </c>
      <c r="M24">
        <v>8.774880112</v>
      </c>
      <c r="N24">
        <v>8.9919988219999993</v>
      </c>
    </row>
    <row r="25" spans="1:14" customFormat="1" x14ac:dyDescent="0.25">
      <c r="A25">
        <v>1</v>
      </c>
      <c r="B25">
        <v>67.5</v>
      </c>
      <c r="C25">
        <v>-1.4594879249999999</v>
      </c>
      <c r="D25">
        <v>7.8086101360000004</v>
      </c>
      <c r="E25">
        <v>8.0850107000000004E-2</v>
      </c>
      <c r="F25">
        <v>6.8066163680000003</v>
      </c>
      <c r="G25">
        <v>6.9149578480000002</v>
      </c>
      <c r="H25">
        <v>7.0903726709999999</v>
      </c>
      <c r="I25">
        <v>7.4094473169999997</v>
      </c>
      <c r="J25">
        <v>7.8086101360000004</v>
      </c>
      <c r="K25">
        <v>8.2651853600000003</v>
      </c>
      <c r="L25">
        <v>8.7369988149999998</v>
      </c>
      <c r="M25">
        <v>9.0528310950000002</v>
      </c>
      <c r="N25">
        <v>9.2735473600000002</v>
      </c>
    </row>
    <row r="26" spans="1:14" customFormat="1" x14ac:dyDescent="0.25">
      <c r="A26">
        <v>1</v>
      </c>
      <c r="B26">
        <v>68.5</v>
      </c>
      <c r="C26">
        <v>-1.4211674270000001</v>
      </c>
      <c r="D26">
        <v>8.0578102660000006</v>
      </c>
      <c r="E26">
        <v>8.0349080000000003E-2</v>
      </c>
      <c r="F26">
        <v>7.0269011649999999</v>
      </c>
      <c r="G26">
        <v>7.1386764850000004</v>
      </c>
      <c r="H26">
        <v>7.3194995660000002</v>
      </c>
      <c r="I26">
        <v>7.6479138070000001</v>
      </c>
      <c r="J26">
        <v>8.0578102660000006</v>
      </c>
      <c r="K26">
        <v>8.5252918389999994</v>
      </c>
      <c r="L26">
        <v>9.0067494309999994</v>
      </c>
      <c r="M26">
        <v>9.3280701239999999</v>
      </c>
      <c r="N26">
        <v>9.552145587</v>
      </c>
    </row>
    <row r="27" spans="1:14" customFormat="1" x14ac:dyDescent="0.25">
      <c r="A27">
        <v>1</v>
      </c>
      <c r="B27">
        <v>69.5</v>
      </c>
      <c r="C27">
        <v>-1.3788353659999999</v>
      </c>
      <c r="D27">
        <v>8.3048923969999997</v>
      </c>
      <c r="E27">
        <v>7.9888977E-2</v>
      </c>
      <c r="F27">
        <v>7.2448564949999996</v>
      </c>
      <c r="G27">
        <v>7.3601213879999996</v>
      </c>
      <c r="H27">
        <v>7.5464260200000002</v>
      </c>
      <c r="I27">
        <v>7.8842594159999999</v>
      </c>
      <c r="J27">
        <v>8.3048923969999997</v>
      </c>
      <c r="K27">
        <v>8.7831564130000004</v>
      </c>
      <c r="L27">
        <v>9.2739969890000005</v>
      </c>
      <c r="M27">
        <v>9.6005625660000007</v>
      </c>
      <c r="N27">
        <v>9.8277975689999995</v>
      </c>
    </row>
    <row r="28" spans="1:14" customFormat="1" x14ac:dyDescent="0.25">
      <c r="A28">
        <v>1</v>
      </c>
      <c r="B28">
        <v>70.5</v>
      </c>
      <c r="C28">
        <v>-1.3336346610000001</v>
      </c>
      <c r="D28">
        <v>8.549802669</v>
      </c>
      <c r="E28">
        <v>7.9463914999999996E-2</v>
      </c>
      <c r="F28">
        <v>7.4605100990000004</v>
      </c>
      <c r="G28">
        <v>7.5793076419999998</v>
      </c>
      <c r="H28">
        <v>7.7711482829999996</v>
      </c>
      <c r="I28">
        <v>8.1184522090000009</v>
      </c>
      <c r="J28">
        <v>8.549802669</v>
      </c>
      <c r="K28">
        <v>9.0387224350000004</v>
      </c>
      <c r="L28">
        <v>9.5387120299999992</v>
      </c>
      <c r="M28">
        <v>9.8703168029999997</v>
      </c>
      <c r="N28">
        <v>10.10054839</v>
      </c>
    </row>
    <row r="29" spans="1:14" customFormat="1" x14ac:dyDescent="0.25">
      <c r="A29">
        <v>1</v>
      </c>
      <c r="B29">
        <v>71.5</v>
      </c>
      <c r="C29">
        <v>-1.2866051469999999</v>
      </c>
      <c r="D29">
        <v>8.7925197520000005</v>
      </c>
      <c r="E29">
        <v>7.9069192999999996E-2</v>
      </c>
      <c r="F29">
        <v>7.6739136400000003</v>
      </c>
      <c r="G29">
        <v>7.7962748480000004</v>
      </c>
      <c r="H29">
        <v>7.9936882919999999</v>
      </c>
      <c r="I29">
        <v>8.3504886630000001</v>
      </c>
      <c r="J29">
        <v>8.7925197520000005</v>
      </c>
      <c r="K29">
        <v>9.2919706089999998</v>
      </c>
      <c r="L29">
        <v>9.8009061860000006</v>
      </c>
      <c r="M29">
        <v>10.13738322</v>
      </c>
      <c r="N29">
        <v>10.370484640000001</v>
      </c>
    </row>
    <row r="30" spans="1:14" customFormat="1" x14ac:dyDescent="0.25">
      <c r="A30">
        <v>1</v>
      </c>
      <c r="B30">
        <v>72.5</v>
      </c>
      <c r="C30">
        <v>-1.238665517</v>
      </c>
      <c r="D30">
        <v>9.0330549439999999</v>
      </c>
      <c r="E30">
        <v>7.8701179999999996E-2</v>
      </c>
      <c r="F30">
        <v>7.8851401839999999</v>
      </c>
      <c r="G30">
        <v>8.0110850350000007</v>
      </c>
      <c r="H30">
        <v>8.2140922369999991</v>
      </c>
      <c r="I30">
        <v>8.5803931529999993</v>
      </c>
      <c r="J30">
        <v>9.0330549439999999</v>
      </c>
      <c r="K30">
        <v>9.5429189660000002</v>
      </c>
      <c r="L30">
        <v>10.06063106</v>
      </c>
      <c r="M30">
        <v>10.401851840000001</v>
      </c>
      <c r="N30">
        <v>10.63773097</v>
      </c>
    </row>
    <row r="31" spans="1:14" customFormat="1" x14ac:dyDescent="0.25">
      <c r="A31">
        <v>1</v>
      </c>
      <c r="B31">
        <v>73.5</v>
      </c>
      <c r="C31">
        <v>-1.1906671600000001</v>
      </c>
      <c r="D31">
        <v>9.2714486750000003</v>
      </c>
      <c r="E31">
        <v>7.8357096000000001E-2</v>
      </c>
      <c r="F31">
        <v>8.0942848109999996</v>
      </c>
      <c r="G31">
        <v>8.2238225949999997</v>
      </c>
      <c r="H31">
        <v>8.4324294920000007</v>
      </c>
      <c r="I31">
        <v>8.8082154819999996</v>
      </c>
      <c r="J31">
        <v>9.2714486750000003</v>
      </c>
      <c r="K31">
        <v>9.7916192110000004</v>
      </c>
      <c r="L31">
        <v>10.31797568</v>
      </c>
      <c r="M31">
        <v>10.66385133</v>
      </c>
      <c r="N31">
        <v>10.902450610000001</v>
      </c>
    </row>
    <row r="32" spans="1:14" customFormat="1" x14ac:dyDescent="0.25">
      <c r="A32">
        <v>1</v>
      </c>
      <c r="B32">
        <v>74.5</v>
      </c>
      <c r="C32">
        <v>-1.1433168819999999</v>
      </c>
      <c r="D32">
        <v>9.5077736050000006</v>
      </c>
      <c r="E32">
        <v>7.8035020999999996E-2</v>
      </c>
      <c r="F32">
        <v>8.3014594529999997</v>
      </c>
      <c r="G32">
        <v>8.4345905709999993</v>
      </c>
      <c r="H32">
        <v>8.6487910059999997</v>
      </c>
      <c r="I32">
        <v>9.0340321410000008</v>
      </c>
      <c r="J32">
        <v>9.5077736050000006</v>
      </c>
      <c r="K32">
        <v>10.038159520000001</v>
      </c>
      <c r="L32">
        <v>10.57306631</v>
      </c>
      <c r="M32">
        <v>10.923545470000001</v>
      </c>
      <c r="N32">
        <v>11.16483888</v>
      </c>
    </row>
    <row r="33" spans="1:14" customFormat="1" x14ac:dyDescent="0.25">
      <c r="A33">
        <v>1</v>
      </c>
      <c r="B33">
        <v>75.5</v>
      </c>
      <c r="C33">
        <v>-1.0972634029999999</v>
      </c>
      <c r="D33">
        <v>9.7421293559999995</v>
      </c>
      <c r="E33">
        <v>7.7733651000000001E-2</v>
      </c>
      <c r="F33">
        <v>8.5067950260000007</v>
      </c>
      <c r="G33">
        <v>8.6435115669999991</v>
      </c>
      <c r="H33">
        <v>8.8632884230000002</v>
      </c>
      <c r="I33">
        <v>9.2579428870000005</v>
      </c>
      <c r="J33">
        <v>9.7421293559999995</v>
      </c>
      <c r="K33">
        <v>10.28265908</v>
      </c>
      <c r="L33">
        <v>10.826063209999999</v>
      </c>
      <c r="M33">
        <v>11.18113275</v>
      </c>
      <c r="N33">
        <v>11.425125639999999</v>
      </c>
    </row>
    <row r="34" spans="1:14" customFormat="1" x14ac:dyDescent="0.25">
      <c r="A34">
        <v>1</v>
      </c>
      <c r="B34">
        <v>76.5</v>
      </c>
      <c r="C34">
        <v>-1.053083813</v>
      </c>
      <c r="D34">
        <v>9.9746421779999999</v>
      </c>
      <c r="E34">
        <v>7.7452242000000004E-2</v>
      </c>
      <c r="F34">
        <v>8.7104392379999993</v>
      </c>
      <c r="G34">
        <v>8.8507259240000007</v>
      </c>
      <c r="H34">
        <v>9.0760527759999992</v>
      </c>
      <c r="I34">
        <v>9.4800700940000002</v>
      </c>
      <c r="J34">
        <v>9.9746421779999999</v>
      </c>
      <c r="K34">
        <v>10.525267489999999</v>
      </c>
      <c r="L34">
        <v>11.077159160000001</v>
      </c>
      <c r="M34">
        <v>11.436844239999999</v>
      </c>
      <c r="N34">
        <v>11.68357247</v>
      </c>
    </row>
    <row r="35" spans="1:14" x14ac:dyDescent="0.25">
      <c r="A35" s="10">
        <v>1</v>
      </c>
      <c r="B35" s="10">
        <v>77.5</v>
      </c>
      <c r="C35" s="10">
        <v>-0.97989771599999997</v>
      </c>
      <c r="D35" s="10">
        <v>10.38901871</v>
      </c>
      <c r="E35" s="10">
        <v>7.6995353000000002E-2</v>
      </c>
      <c r="F35" s="10">
        <v>9.0732677309999996</v>
      </c>
      <c r="G35" s="10">
        <v>9.2199220749999995</v>
      </c>
      <c r="H35" s="10">
        <v>9.4551485450000001</v>
      </c>
      <c r="I35" s="10">
        <v>9.8758756650000006</v>
      </c>
      <c r="J35" s="10">
        <v>10.38901871</v>
      </c>
      <c r="K35" s="10">
        <v>10.957782480000001</v>
      </c>
      <c r="L35" s="10">
        <v>11.52507288</v>
      </c>
      <c r="M35" s="10">
        <v>11.8932524</v>
      </c>
      <c r="N35" s="10">
        <v>12.145090379999999</v>
      </c>
    </row>
    <row r="36" spans="1:14" x14ac:dyDescent="0.25">
      <c r="A36" s="10">
        <v>1</v>
      </c>
      <c r="B36" s="10">
        <v>78.5</v>
      </c>
      <c r="C36" s="10">
        <v>-0.94355518100000002</v>
      </c>
      <c r="D36" s="10">
        <v>10.61724901</v>
      </c>
      <c r="E36" s="10">
        <v>7.6769510999999999E-2</v>
      </c>
      <c r="F36" s="10">
        <v>9.2730920799999996</v>
      </c>
      <c r="G36" s="10">
        <v>9.4232420030000004</v>
      </c>
      <c r="H36" s="10">
        <v>9.6639078230000006</v>
      </c>
      <c r="I36" s="10">
        <v>10.093835329999999</v>
      </c>
      <c r="J36" s="10">
        <v>10.61724901</v>
      </c>
      <c r="K36" s="10">
        <v>11.19612673</v>
      </c>
      <c r="L36" s="10">
        <v>11.77212488</v>
      </c>
      <c r="M36" s="10">
        <v>12.14519668</v>
      </c>
      <c r="N36" s="10">
        <v>12.40002986</v>
      </c>
    </row>
    <row r="37" spans="1:14" x14ac:dyDescent="0.25">
      <c r="A37" s="10">
        <v>1</v>
      </c>
      <c r="B37" s="10">
        <v>79.5</v>
      </c>
      <c r="C37" s="10">
        <v>-0.91080777999999996</v>
      </c>
      <c r="D37" s="10">
        <v>10.844329070000001</v>
      </c>
      <c r="E37" s="10">
        <v>7.6564374000000004E-2</v>
      </c>
      <c r="F37" s="10">
        <v>9.4719215400000003</v>
      </c>
      <c r="G37" s="10">
        <v>9.6255313529999995</v>
      </c>
      <c r="H37" s="10">
        <v>9.8715878989999997</v>
      </c>
      <c r="I37" s="10">
        <v>10.31065794</v>
      </c>
      <c r="J37" s="10">
        <v>10.844329070000001</v>
      </c>
      <c r="K37" s="10">
        <v>11.433391479999999</v>
      </c>
      <c r="L37" s="10">
        <v>12.018271110000001</v>
      </c>
      <c r="M37" s="10">
        <v>12.39640999</v>
      </c>
      <c r="N37" s="10">
        <v>12.654388539999999</v>
      </c>
    </row>
    <row r="38" spans="1:14" x14ac:dyDescent="0.25">
      <c r="A38" s="10">
        <v>1</v>
      </c>
      <c r="B38" s="10">
        <v>80.5</v>
      </c>
      <c r="C38" s="10">
        <v>-0.88202631600000003</v>
      </c>
      <c r="D38" s="10">
        <v>11.07048885</v>
      </c>
      <c r="E38" s="10">
        <v>7.6380766000000003E-2</v>
      </c>
      <c r="F38" s="10">
        <v>9.6699706120000002</v>
      </c>
      <c r="G38" s="10">
        <v>9.8270008339999997</v>
      </c>
      <c r="H38" s="10">
        <v>10.07839639</v>
      </c>
      <c r="I38" s="10">
        <v>10.526554519999999</v>
      </c>
      <c r="J38" s="10">
        <v>11.07048885</v>
      </c>
      <c r="K38" s="10">
        <v>11.66984493</v>
      </c>
      <c r="L38" s="10">
        <v>12.263833569999999</v>
      </c>
      <c r="M38" s="10">
        <v>12.647256199999999</v>
      </c>
      <c r="N38" s="10">
        <v>12.90856157</v>
      </c>
    </row>
    <row r="39" spans="1:14" x14ac:dyDescent="0.25">
      <c r="A39" s="10">
        <v>1</v>
      </c>
      <c r="B39" s="10">
        <v>81.5</v>
      </c>
      <c r="C39" s="10">
        <v>-0.85756166700000003</v>
      </c>
      <c r="D39" s="10">
        <v>11.295974530000001</v>
      </c>
      <c r="E39" s="10">
        <v>7.6219661999999994E-2</v>
      </c>
      <c r="F39" s="10">
        <v>9.8674650980000003</v>
      </c>
      <c r="G39" s="10">
        <v>10.027872889999999</v>
      </c>
      <c r="H39" s="10">
        <v>10.28455342</v>
      </c>
      <c r="I39" s="10">
        <v>10.7417502</v>
      </c>
      <c r="J39" s="10">
        <v>11.295974530000001</v>
      </c>
      <c r="K39" s="10">
        <v>11.90577397</v>
      </c>
      <c r="L39" s="10">
        <v>12.509155529999999</v>
      </c>
      <c r="M39" s="10">
        <v>12.898122219999999</v>
      </c>
      <c r="N39" s="10">
        <v>13.16296835</v>
      </c>
    </row>
    <row r="40" spans="1:14" x14ac:dyDescent="0.25">
      <c r="A40" s="10">
        <v>1</v>
      </c>
      <c r="B40" s="10">
        <v>82.5</v>
      </c>
      <c r="C40" s="10">
        <v>-0.83775037699999999</v>
      </c>
      <c r="D40" s="10">
        <v>11.521046549999999</v>
      </c>
      <c r="E40" s="10">
        <v>7.6082150000000001E-2</v>
      </c>
      <c r="F40" s="10">
        <v>10.064641249999999</v>
      </c>
      <c r="G40" s="10">
        <v>10.22838074</v>
      </c>
      <c r="H40" s="10">
        <v>10.49029047</v>
      </c>
      <c r="I40" s="10">
        <v>10.956482640000001</v>
      </c>
      <c r="J40" s="10">
        <v>11.521046549999999</v>
      </c>
      <c r="K40" s="10">
        <v>12.14148209</v>
      </c>
      <c r="L40" s="10">
        <v>12.754599580000001</v>
      </c>
      <c r="M40" s="10">
        <v>13.14941636</v>
      </c>
      <c r="N40" s="10">
        <v>13.418051309999999</v>
      </c>
    </row>
    <row r="41" spans="1:14" x14ac:dyDescent="0.25">
      <c r="A41" s="10">
        <v>1</v>
      </c>
      <c r="B41" s="10">
        <v>83.5</v>
      </c>
      <c r="C41" s="10">
        <v>-0.82291919800000002</v>
      </c>
      <c r="D41" s="10">
        <v>11.745977679999999</v>
      </c>
      <c r="E41" s="10">
        <v>7.5969382000000002E-2</v>
      </c>
      <c r="F41" s="10">
        <v>10.26174496</v>
      </c>
      <c r="G41" s="10">
        <v>10.4287674</v>
      </c>
      <c r="H41" s="10">
        <v>10.695849150000001</v>
      </c>
      <c r="I41" s="10">
        <v>11.17100044</v>
      </c>
      <c r="J41" s="10">
        <v>11.745977679999999</v>
      </c>
      <c r="K41" s="10">
        <v>12.37728721</v>
      </c>
      <c r="L41" s="10">
        <v>13.000545710000001</v>
      </c>
      <c r="M41" s="10">
        <v>13.401566839999999</v>
      </c>
      <c r="N41" s="10">
        <v>13.674274799999999</v>
      </c>
    </row>
    <row r="42" spans="1:14" x14ac:dyDescent="0.25">
      <c r="A42" s="10">
        <v>1</v>
      </c>
      <c r="B42" s="10">
        <v>84.5</v>
      </c>
      <c r="C42" s="10">
        <v>-0.81338859500000005</v>
      </c>
      <c r="D42" s="10">
        <v>11.97105103</v>
      </c>
      <c r="E42" s="10">
        <v>7.5882537E-2</v>
      </c>
      <c r="F42" s="10">
        <v>10.459030909999999</v>
      </c>
      <c r="G42" s="10">
        <v>10.62928475</v>
      </c>
      <c r="H42" s="10">
        <v>10.901480060000001</v>
      </c>
      <c r="I42" s="10">
        <v>11.38556161</v>
      </c>
      <c r="J42" s="10">
        <v>11.97105103</v>
      </c>
      <c r="K42" s="10">
        <v>12.61351947</v>
      </c>
      <c r="L42" s="10">
        <v>13.247389330000001</v>
      </c>
      <c r="M42" s="10">
        <v>13.655020199999999</v>
      </c>
      <c r="N42" s="10">
        <v>13.93212398</v>
      </c>
    </row>
    <row r="43" spans="1:14" x14ac:dyDescent="0.25">
      <c r="A43" s="10">
        <v>1</v>
      </c>
      <c r="B43" s="10">
        <v>85.5</v>
      </c>
      <c r="C43" s="10">
        <v>-0.80947527900000005</v>
      </c>
      <c r="D43" s="10">
        <v>12.196557990000001</v>
      </c>
      <c r="E43" s="10">
        <v>7.5822785000000004E-2</v>
      </c>
      <c r="F43" s="10">
        <v>10.65676178</v>
      </c>
      <c r="G43" s="10">
        <v>10.830192569999999</v>
      </c>
      <c r="H43" s="10">
        <v>11.107441590000001</v>
      </c>
      <c r="I43" s="10">
        <v>11.60043192</v>
      </c>
      <c r="J43" s="10">
        <v>12.196557990000001</v>
      </c>
      <c r="K43" s="10">
        <v>12.850519070000001</v>
      </c>
      <c r="L43" s="10">
        <v>13.495539259999999</v>
      </c>
      <c r="M43" s="10">
        <v>13.91023979</v>
      </c>
      <c r="N43" s="10">
        <v>14.19210372</v>
      </c>
    </row>
    <row r="44" spans="1:14" x14ac:dyDescent="0.25">
      <c r="A44" s="10">
        <v>1</v>
      </c>
      <c r="B44" s="10">
        <v>86.5</v>
      </c>
      <c r="C44" s="10">
        <v>-0.81149379200000005</v>
      </c>
      <c r="D44" s="10">
        <v>12.4227963</v>
      </c>
      <c r="E44" s="10">
        <v>7.5791243999999994E-2</v>
      </c>
      <c r="F44" s="10">
        <v>10.85520745</v>
      </c>
      <c r="G44" s="10">
        <v>11.03175764</v>
      </c>
      <c r="H44" s="10">
        <v>11.313998809999999</v>
      </c>
      <c r="I44" s="10">
        <v>11.81588337</v>
      </c>
      <c r="J44" s="10">
        <v>12.4227963</v>
      </c>
      <c r="K44" s="10">
        <v>13.088633979999999</v>
      </c>
      <c r="L44" s="10">
        <v>13.74541572</v>
      </c>
      <c r="M44" s="10">
        <v>14.167704199999999</v>
      </c>
      <c r="N44" s="10">
        <v>14.454737590000001</v>
      </c>
    </row>
    <row r="45" spans="1:14" x14ac:dyDescent="0.25">
      <c r="A45" s="10">
        <v>1</v>
      </c>
      <c r="B45" s="10">
        <v>87.5</v>
      </c>
      <c r="C45" s="10">
        <v>-0.81975719999999996</v>
      </c>
      <c r="D45" s="10">
        <v>12.650067910000001</v>
      </c>
      <c r="E45" s="10">
        <v>7.5788943999999997E-2</v>
      </c>
      <c r="F45" s="10">
        <v>11.0546442</v>
      </c>
      <c r="G45" s="10">
        <v>11.2342528</v>
      </c>
      <c r="H45" s="10">
        <v>11.52142229</v>
      </c>
      <c r="I45" s="10">
        <v>12.032192609999999</v>
      </c>
      <c r="J45" s="10">
        <v>12.650067910000001</v>
      </c>
      <c r="K45" s="10">
        <v>13.328217629999999</v>
      </c>
      <c r="L45" s="10">
        <v>13.99744832</v>
      </c>
      <c r="M45" s="10">
        <v>14.42790576</v>
      </c>
      <c r="N45" s="10">
        <v>14.720566890000001</v>
      </c>
    </row>
    <row r="46" spans="1:14" x14ac:dyDescent="0.25">
      <c r="A46" s="10">
        <v>1</v>
      </c>
      <c r="B46" s="10">
        <v>88.5</v>
      </c>
      <c r="C46" s="10">
        <v>-0.83457693200000005</v>
      </c>
      <c r="D46" s="10">
        <v>12.878677010000001</v>
      </c>
      <c r="E46" s="10">
        <v>7.5816789999999995E-2</v>
      </c>
      <c r="F46" s="10">
        <v>11.25535391</v>
      </c>
      <c r="G46" s="10">
        <v>11.43795604</v>
      </c>
      <c r="H46" s="10">
        <v>11.729986999999999</v>
      </c>
      <c r="I46" s="10">
        <v>12.24963938</v>
      </c>
      <c r="J46" s="10">
        <v>12.878677010000001</v>
      </c>
      <c r="K46" s="10">
        <v>13.56962661</v>
      </c>
      <c r="L46" s="10">
        <v>14.252073859999999</v>
      </c>
      <c r="M46" s="10">
        <v>14.691349000000001</v>
      </c>
      <c r="N46" s="10">
        <v>14.99014975</v>
      </c>
    </row>
    <row r="47" spans="1:14" x14ac:dyDescent="0.25">
      <c r="A47" s="10">
        <v>1</v>
      </c>
      <c r="B47" s="10">
        <v>89.5</v>
      </c>
      <c r="C47" s="10">
        <v>-0.85626180500000004</v>
      </c>
      <c r="D47" s="10">
        <v>13.108927939999999</v>
      </c>
      <c r="E47" s="10">
        <v>7.5875517000000003E-2</v>
      </c>
      <c r="F47" s="10">
        <v>11.45762324</v>
      </c>
      <c r="G47" s="10">
        <v>11.64314963</v>
      </c>
      <c r="H47" s="10">
        <v>11.93997121</v>
      </c>
      <c r="I47" s="10">
        <v>12.46850502</v>
      </c>
      <c r="J47" s="10">
        <v>13.108927939999999</v>
      </c>
      <c r="K47" s="10">
        <v>13.81321822</v>
      </c>
      <c r="L47" s="10">
        <v>14.509734269999999</v>
      </c>
      <c r="M47" s="10">
        <v>14.958549079999999</v>
      </c>
      <c r="N47" s="10">
        <v>15.26406025</v>
      </c>
    </row>
    <row r="48" spans="1:14" x14ac:dyDescent="0.25">
      <c r="A48" s="10">
        <v>1</v>
      </c>
      <c r="B48" s="10">
        <v>90.5</v>
      </c>
      <c r="C48" s="10">
        <v>-0.885116299</v>
      </c>
      <c r="D48" s="10">
        <v>13.341123140000001</v>
      </c>
      <c r="E48" s="10">
        <v>7.5965651999999995E-2</v>
      </c>
      <c r="F48" s="10">
        <v>11.66174286</v>
      </c>
      <c r="G48" s="10">
        <v>11.850119210000001</v>
      </c>
      <c r="H48" s="10">
        <v>12.151655480000001</v>
      </c>
      <c r="I48" s="10">
        <v>12.68907093</v>
      </c>
      <c r="J48" s="10">
        <v>13.341123140000001</v>
      </c>
      <c r="K48" s="10">
        <v>14.05934806</v>
      </c>
      <c r="L48" s="10">
        <v>14.77087425</v>
      </c>
      <c r="M48" s="10">
        <v>15.23003025</v>
      </c>
      <c r="N48" s="10">
        <v>15.54288768</v>
      </c>
    </row>
    <row r="49" spans="1:14" x14ac:dyDescent="0.25">
      <c r="A49" s="10">
        <v>1</v>
      </c>
      <c r="B49" s="10">
        <v>91.5</v>
      </c>
      <c r="C49" s="10">
        <v>-0.921432943</v>
      </c>
      <c r="D49" s="10">
        <v>13.575561499999999</v>
      </c>
      <c r="E49" s="10">
        <v>7.6087468000000005E-2</v>
      </c>
      <c r="F49" s="10">
        <v>11.86800626</v>
      </c>
      <c r="G49" s="10">
        <v>12.05915274</v>
      </c>
      <c r="H49" s="10">
        <v>12.365321550000001</v>
      </c>
      <c r="I49" s="10">
        <v>12.91161745</v>
      </c>
      <c r="J49" s="10">
        <v>13.575561499999999</v>
      </c>
      <c r="K49" s="10">
        <v>14.30836781</v>
      </c>
      <c r="L49" s="10">
        <v>15.035939129999999</v>
      </c>
      <c r="M49" s="10">
        <v>15.506324080000001</v>
      </c>
      <c r="N49" s="10">
        <v>15.82723547</v>
      </c>
    </row>
    <row r="50" spans="1:14" x14ac:dyDescent="0.25">
      <c r="A50" s="10">
        <v>1</v>
      </c>
      <c r="B50" s="10">
        <v>92.5</v>
      </c>
      <c r="C50" s="10">
        <v>-0.96550126700000005</v>
      </c>
      <c r="D50" s="10">
        <v>13.812535520000001</v>
      </c>
      <c r="E50" s="10">
        <v>7.6240930999999998E-2</v>
      </c>
      <c r="F50" s="10">
        <v>12.07670968</v>
      </c>
      <c r="G50" s="10">
        <v>12.270540029999999</v>
      </c>
      <c r="H50" s="10">
        <v>12.581251419999999</v>
      </c>
      <c r="I50" s="10">
        <v>13.13642188</v>
      </c>
      <c r="J50" s="10">
        <v>13.812535520000001</v>
      </c>
      <c r="K50" s="10">
        <v>14.560621920000001</v>
      </c>
      <c r="L50" s="10">
        <v>15.305372139999999</v>
      </c>
      <c r="M50" s="10">
        <v>15.787968210000001</v>
      </c>
      <c r="N50" s="10">
        <v>16.117721490000001</v>
      </c>
    </row>
    <row r="51" spans="1:14" x14ac:dyDescent="0.25">
      <c r="A51" s="10">
        <v>1</v>
      </c>
      <c r="B51" s="10">
        <v>93.5</v>
      </c>
      <c r="C51" s="10">
        <v>-1.0175885520000001</v>
      </c>
      <c r="D51" s="10">
        <v>14.05233041</v>
      </c>
      <c r="E51" s="10">
        <v>7.6425662000000005E-2</v>
      </c>
      <c r="F51" s="10">
        <v>12.288150229999999</v>
      </c>
      <c r="G51" s="10">
        <v>12.48457136</v>
      </c>
      <c r="H51" s="10">
        <v>12.799726400000001</v>
      </c>
      <c r="I51" s="10">
        <v>13.363757939999999</v>
      </c>
      <c r="J51" s="10">
        <v>14.05233041</v>
      </c>
      <c r="K51" s="10">
        <v>14.81644595</v>
      </c>
      <c r="L51" s="10">
        <v>15.579612150000001</v>
      </c>
      <c r="M51" s="10">
        <v>16.075504160000001</v>
      </c>
      <c r="N51" s="10">
        <v>16.41497639</v>
      </c>
    </row>
    <row r="52" spans="1:14" x14ac:dyDescent="0.25">
      <c r="A52" s="10">
        <v>1</v>
      </c>
      <c r="B52" s="10">
        <v>94.5</v>
      </c>
      <c r="C52" s="10">
        <v>-1.0779419939999999</v>
      </c>
      <c r="D52" s="10">
        <v>14.295221850000001</v>
      </c>
      <c r="E52" s="10">
        <v>7.6640879999999995E-2</v>
      </c>
      <c r="F52" s="10">
        <v>12.50262539</v>
      </c>
      <c r="G52" s="10">
        <v>12.70153676</v>
      </c>
      <c r="H52" s="10">
        <v>13.02102616</v>
      </c>
      <c r="I52" s="10">
        <v>13.59389429</v>
      </c>
      <c r="J52" s="10">
        <v>14.295221850000001</v>
      </c>
      <c r="K52" s="10">
        <v>15.07616355</v>
      </c>
      <c r="L52" s="10">
        <v>15.85909086</v>
      </c>
      <c r="M52" s="10">
        <v>16.369475820000002</v>
      </c>
      <c r="N52" s="10">
        <v>16.719643649999998</v>
      </c>
    </row>
    <row r="53" spans="1:14" x14ac:dyDescent="0.25">
      <c r="A53" s="10">
        <v>1</v>
      </c>
      <c r="B53" s="10">
        <v>95.5</v>
      </c>
      <c r="C53" s="10">
        <v>-1.146773671</v>
      </c>
      <c r="D53" s="10">
        <v>14.541474989999999</v>
      </c>
      <c r="E53" s="10">
        <v>7.6885364999999997E-2</v>
      </c>
      <c r="F53" s="10">
        <v>12.72043131</v>
      </c>
      <c r="G53" s="10">
        <v>12.921724709999999</v>
      </c>
      <c r="H53" s="10">
        <v>13.245427859999999</v>
      </c>
      <c r="I53" s="10">
        <v>13.82709389</v>
      </c>
      <c r="J53" s="10">
        <v>14.541474989999999</v>
      </c>
      <c r="K53" s="10">
        <v>15.3400845</v>
      </c>
      <c r="L53" s="10">
        <v>16.144230220000001</v>
      </c>
      <c r="M53" s="10">
        <v>16.670427199999999</v>
      </c>
      <c r="N53" s="10">
        <v>17.032378420000001</v>
      </c>
    </row>
    <row r="54" spans="1:14" x14ac:dyDescent="0.25">
      <c r="A54" s="10">
        <v>1</v>
      </c>
      <c r="B54" s="10">
        <v>96.5</v>
      </c>
      <c r="C54" s="10">
        <v>-1.2242695960000001</v>
      </c>
      <c r="D54" s="10">
        <v>14.791341770000001</v>
      </c>
      <c r="E54" s="10">
        <v>7.7157390000000006E-2</v>
      </c>
      <c r="F54" s="10">
        <v>12.94186266</v>
      </c>
      <c r="G54" s="10">
        <v>13.14542179</v>
      </c>
      <c r="H54" s="10">
        <v>13.47320539</v>
      </c>
      <c r="I54" s="10">
        <v>14.063612490000001</v>
      </c>
      <c r="J54" s="10">
        <v>14.791341770000001</v>
      </c>
      <c r="K54" s="10">
        <v>15.60850108</v>
      </c>
      <c r="L54" s="10">
        <v>16.435438999999999</v>
      </c>
      <c r="M54" s="10">
        <v>16.97890086</v>
      </c>
      <c r="N54" s="10">
        <v>17.35384839</v>
      </c>
    </row>
    <row r="55" spans="1:14" x14ac:dyDescent="0.25">
      <c r="A55" s="10">
        <v>1</v>
      </c>
      <c r="B55" s="10">
        <v>97.5</v>
      </c>
      <c r="C55" s="10">
        <v>-1.310558831</v>
      </c>
      <c r="D55" s="10">
        <v>15.045061520000001</v>
      </c>
      <c r="E55" s="10">
        <v>7.7454706999999998E-2</v>
      </c>
      <c r="F55" s="10">
        <v>13.167209789999999</v>
      </c>
      <c r="G55" s="10">
        <v>13.372910559999999</v>
      </c>
      <c r="H55" s="10">
        <v>13.70462839</v>
      </c>
      <c r="I55" s="10">
        <v>14.30369892</v>
      </c>
      <c r="J55" s="10">
        <v>15.045061520000001</v>
      </c>
      <c r="K55" s="10">
        <v>15.88168735</v>
      </c>
      <c r="L55" s="10">
        <v>16.73311035</v>
      </c>
      <c r="M55" s="10">
        <v>17.29543503</v>
      </c>
      <c r="N55" s="10">
        <v>17.684731500000002</v>
      </c>
    </row>
    <row r="56" spans="1:14" x14ac:dyDescent="0.25">
      <c r="A56" s="10">
        <v>1</v>
      </c>
      <c r="B56" s="10">
        <v>98.5</v>
      </c>
      <c r="C56" s="10">
        <v>-1.4057133550000001</v>
      </c>
      <c r="D56" s="10">
        <v>15.302859489999999</v>
      </c>
      <c r="E56" s="10">
        <v>7.7774507000000007E-2</v>
      </c>
      <c r="F56" s="10">
        <v>13.39675772</v>
      </c>
      <c r="G56" s="10">
        <v>13.604468750000001</v>
      </c>
      <c r="H56" s="10">
        <v>13.939961500000001</v>
      </c>
      <c r="I56" s="10">
        <v>14.547594269999999</v>
      </c>
      <c r="J56" s="10">
        <v>15.302859489999999</v>
      </c>
      <c r="K56" s="10">
        <v>16.159896450000002</v>
      </c>
      <c r="L56" s="10">
        <v>17.037618349999999</v>
      </c>
      <c r="M56" s="10">
        <v>17.620561290000001</v>
      </c>
      <c r="N56" s="10">
        <v>18.02571601</v>
      </c>
    </row>
    <row r="57" spans="1:14" x14ac:dyDescent="0.25">
      <c r="A57" s="10">
        <v>1</v>
      </c>
      <c r="B57" s="10">
        <v>99.5</v>
      </c>
      <c r="C57" s="10">
        <v>-1.509717075</v>
      </c>
      <c r="D57" s="10">
        <v>15.564948149999999</v>
      </c>
      <c r="E57" s="10">
        <v>7.8113435999999994E-2</v>
      </c>
      <c r="F57" s="10">
        <v>13.6307828</v>
      </c>
      <c r="G57" s="10">
        <v>13.840366789999999</v>
      </c>
      <c r="H57" s="10">
        <v>14.17946326</v>
      </c>
      <c r="I57" s="10">
        <v>14.79553258</v>
      </c>
      <c r="J57" s="10">
        <v>15.564948149999999</v>
      </c>
      <c r="K57" s="10">
        <v>16.443360599999998</v>
      </c>
      <c r="L57" s="10">
        <v>17.349315470000001</v>
      </c>
      <c r="M57" s="10">
        <v>17.95480122</v>
      </c>
      <c r="N57" s="10">
        <v>18.377497900000002</v>
      </c>
    </row>
    <row r="58" spans="1:14" x14ac:dyDescent="0.25">
      <c r="A58" s="10">
        <v>1</v>
      </c>
      <c r="B58" s="10">
        <v>100.5</v>
      </c>
      <c r="C58" s="10">
        <v>-1.6224912330000001</v>
      </c>
      <c r="D58" s="10">
        <v>15.831524290000001</v>
      </c>
      <c r="E58" s="10">
        <v>7.8467542000000001E-2</v>
      </c>
      <c r="F58" s="10">
        <v>13.86955335</v>
      </c>
      <c r="G58" s="10">
        <v>14.08086791</v>
      </c>
      <c r="H58" s="10">
        <v>14.42338546</v>
      </c>
      <c r="I58" s="10">
        <v>15.04773906</v>
      </c>
      <c r="J58" s="10">
        <v>15.831524290000001</v>
      </c>
      <c r="K58" s="10">
        <v>16.732286760000001</v>
      </c>
      <c r="L58" s="10">
        <v>17.66852815</v>
      </c>
      <c r="M58" s="10">
        <v>18.29866436</v>
      </c>
      <c r="N58" s="10">
        <v>18.74078304</v>
      </c>
    </row>
    <row r="59" spans="1:14" x14ac:dyDescent="0.25">
      <c r="A59" s="10">
        <v>1</v>
      </c>
      <c r="B59" s="10">
        <v>101.5</v>
      </c>
      <c r="C59" s="10">
        <v>-1.7438257429999999</v>
      </c>
      <c r="D59" s="10">
        <v>16.102774480000001</v>
      </c>
      <c r="E59" s="10">
        <v>7.8832409000000006E-2</v>
      </c>
      <c r="F59" s="10">
        <v>14.11332298</v>
      </c>
      <c r="G59" s="10">
        <v>14.326223499999999</v>
      </c>
      <c r="H59" s="10">
        <v>14.6719715</v>
      </c>
      <c r="I59" s="10">
        <v>15.30443284</v>
      </c>
      <c r="J59" s="10">
        <v>16.102774480000001</v>
      </c>
      <c r="K59" s="10">
        <v>17.026861050000001</v>
      </c>
      <c r="L59" s="10">
        <v>17.99555569</v>
      </c>
      <c r="M59" s="10">
        <v>18.652643019999999</v>
      </c>
      <c r="N59" s="10">
        <v>19.11628039</v>
      </c>
    </row>
    <row r="60" spans="1:14" x14ac:dyDescent="0.25">
      <c r="A60" s="10">
        <v>1</v>
      </c>
      <c r="B60" s="10">
        <v>102.5</v>
      </c>
      <c r="C60" s="10">
        <v>-1.873365511</v>
      </c>
      <c r="D60" s="10">
        <v>16.378876779999999</v>
      </c>
      <c r="E60" s="10">
        <v>7.9203257999999999E-2</v>
      </c>
      <c r="F60" s="10">
        <v>14.362327499999999</v>
      </c>
      <c r="G60" s="10">
        <v>14.576670569999999</v>
      </c>
      <c r="H60" s="10">
        <v>14.92545486</v>
      </c>
      <c r="I60" s="10">
        <v>15.565827240000001</v>
      </c>
      <c r="J60" s="10">
        <v>16.378876779999999</v>
      </c>
      <c r="K60" s="10">
        <v>17.327249609999999</v>
      </c>
      <c r="L60" s="10">
        <v>18.330667989999998</v>
      </c>
      <c r="M60" s="10">
        <v>19.01720839</v>
      </c>
      <c r="N60" s="10">
        <v>19.504699200000001</v>
      </c>
    </row>
    <row r="61" spans="1:14" x14ac:dyDescent="0.25">
      <c r="A61" s="10">
        <v>1</v>
      </c>
      <c r="B61" s="10">
        <v>103.5</v>
      </c>
      <c r="C61" s="10">
        <v>-2.0106416469999999</v>
      </c>
      <c r="D61" s="10">
        <v>16.65999867</v>
      </c>
      <c r="E61" s="10">
        <v>7.9574978000000005E-2</v>
      </c>
      <c r="F61" s="10">
        <v>14.61678517</v>
      </c>
      <c r="G61" s="10">
        <v>14.832431359999999</v>
      </c>
      <c r="H61" s="10">
        <v>15.184057920000001</v>
      </c>
      <c r="I61" s="10">
        <v>15.83212792</v>
      </c>
      <c r="J61" s="10">
        <v>16.65999867</v>
      </c>
      <c r="K61" s="10">
        <v>17.63359604</v>
      </c>
      <c r="L61" s="10">
        <v>18.674101690000001</v>
      </c>
      <c r="M61" s="10">
        <v>19.39280771</v>
      </c>
      <c r="N61" s="10">
        <v>19.906750150000001</v>
      </c>
    </row>
    <row r="62" spans="1:14" x14ac:dyDescent="0.25">
      <c r="A62" s="10">
        <v>1</v>
      </c>
      <c r="B62" s="10">
        <v>104.5</v>
      </c>
      <c r="C62" s="10">
        <v>-2.154957918</v>
      </c>
      <c r="D62" s="10">
        <v>16.946309119999999</v>
      </c>
      <c r="E62" s="10">
        <v>7.9942557999999997E-2</v>
      </c>
      <c r="F62" s="10">
        <v>14.8768847</v>
      </c>
      <c r="G62" s="10">
        <v>15.09370466</v>
      </c>
      <c r="H62" s="10">
        <v>15.44798851</v>
      </c>
      <c r="I62" s="10">
        <v>16.103537759999998</v>
      </c>
      <c r="J62" s="10">
        <v>16.946309119999999</v>
      </c>
      <c r="K62" s="10">
        <v>17.946034430000001</v>
      </c>
      <c r="L62" s="10">
        <v>19.026063879999999</v>
      </c>
      <c r="M62" s="10">
        <v>19.779856670000001</v>
      </c>
      <c r="N62" s="10">
        <v>20.323129990000002</v>
      </c>
    </row>
    <row r="63" spans="1:14" x14ac:dyDescent="0.25">
      <c r="A63" s="10">
        <v>1</v>
      </c>
      <c r="B63" s="10">
        <v>105.5</v>
      </c>
      <c r="C63" s="10">
        <v>-2.3054583160000002</v>
      </c>
      <c r="D63" s="10">
        <v>17.237974439999999</v>
      </c>
      <c r="E63" s="10">
        <v>8.0301170000000005E-2</v>
      </c>
      <c r="F63" s="10">
        <v>15.142787419999999</v>
      </c>
      <c r="G63" s="10">
        <v>15.360666269999999</v>
      </c>
      <c r="H63" s="10">
        <v>15.717438140000001</v>
      </c>
      <c r="I63" s="10">
        <v>16.380252930000001</v>
      </c>
      <c r="J63" s="10">
        <v>17.237974439999999</v>
      </c>
      <c r="K63" s="10">
        <v>18.264686319999999</v>
      </c>
      <c r="L63" s="10">
        <v>19.386729110000001</v>
      </c>
      <c r="M63" s="10">
        <v>20.178737399999999</v>
      </c>
      <c r="N63" s="10">
        <v>20.754523469999999</v>
      </c>
    </row>
    <row r="64" spans="1:14" x14ac:dyDescent="0.25">
      <c r="A64" s="10">
        <v>1</v>
      </c>
      <c r="B64" s="10">
        <v>106.5</v>
      </c>
      <c r="C64" s="10">
        <v>-2.4610197130000002</v>
      </c>
      <c r="D64" s="10">
        <v>17.535171340000002</v>
      </c>
      <c r="E64" s="10">
        <v>8.0646756999999999E-2</v>
      </c>
      <c r="F64" s="10">
        <v>15.414614029999999</v>
      </c>
      <c r="G64" s="10">
        <v>15.633458940000001</v>
      </c>
      <c r="H64" s="10">
        <v>15.99257708</v>
      </c>
      <c r="I64" s="10">
        <v>16.662466850000001</v>
      </c>
      <c r="J64" s="10">
        <v>17.535171340000002</v>
      </c>
      <c r="K64" s="10">
        <v>18.589677720000001</v>
      </c>
      <c r="L64" s="10">
        <v>19.756247370000001</v>
      </c>
      <c r="M64" s="10">
        <v>20.589791160000001</v>
      </c>
      <c r="N64" s="10">
        <v>21.201583429999999</v>
      </c>
    </row>
    <row r="65" spans="1:14" x14ac:dyDescent="0.25">
      <c r="A65" s="10">
        <v>1</v>
      </c>
      <c r="B65" s="10">
        <v>107.5</v>
      </c>
      <c r="C65" s="10">
        <v>-2.62033059</v>
      </c>
      <c r="D65" s="10">
        <v>17.838082119999999</v>
      </c>
      <c r="E65" s="10">
        <v>8.0976207999999994E-2</v>
      </c>
      <c r="F65" s="10">
        <v>15.692446759999999</v>
      </c>
      <c r="G65" s="10">
        <v>15.91219242</v>
      </c>
      <c r="H65" s="10">
        <v>16.273551690000001</v>
      </c>
      <c r="I65" s="10">
        <v>16.950364889999999</v>
      </c>
      <c r="J65" s="10">
        <v>17.838082119999999</v>
      </c>
      <c r="K65" s="10">
        <v>18.921137850000001</v>
      </c>
      <c r="L65" s="10">
        <v>20.134744550000001</v>
      </c>
      <c r="M65" s="10">
        <v>21.013317260000001</v>
      </c>
      <c r="N65" s="10">
        <v>21.664929860000001</v>
      </c>
    </row>
    <row r="66" spans="1:14" x14ac:dyDescent="0.25">
      <c r="A66" s="10">
        <v>1</v>
      </c>
      <c r="B66" s="10">
        <v>108.5</v>
      </c>
      <c r="C66" s="10">
        <v>-2.781787762</v>
      </c>
      <c r="D66" s="10">
        <v>18.146908209999999</v>
      </c>
      <c r="E66" s="10">
        <v>8.1288100000000002E-2</v>
      </c>
      <c r="F66" s="10">
        <v>15.97631447</v>
      </c>
      <c r="G66" s="10">
        <v>16.196931639999999</v>
      </c>
      <c r="H66" s="10">
        <v>16.560477639999998</v>
      </c>
      <c r="I66" s="10">
        <v>17.244126810000001</v>
      </c>
      <c r="J66" s="10">
        <v>18.146908209999999</v>
      </c>
      <c r="K66" s="10">
        <v>19.259220689999999</v>
      </c>
      <c r="L66" s="10">
        <v>20.522336979999999</v>
      </c>
      <c r="M66" s="10">
        <v>21.44956767</v>
      </c>
      <c r="N66" s="10">
        <v>22.145123290000001</v>
      </c>
    </row>
    <row r="67" spans="1:14" x14ac:dyDescent="0.25">
      <c r="A67" s="10">
        <v>1</v>
      </c>
      <c r="B67" s="10">
        <v>109.5</v>
      </c>
      <c r="C67" s="10">
        <v>-2.9436389439999999</v>
      </c>
      <c r="D67" s="10">
        <v>18.461858110000001</v>
      </c>
      <c r="E67" s="10">
        <v>8.1582687000000001E-2</v>
      </c>
      <c r="F67" s="10">
        <v>16.266199820000001</v>
      </c>
      <c r="G67" s="10">
        <v>16.487699979999999</v>
      </c>
      <c r="H67" s="10">
        <v>16.85343765</v>
      </c>
      <c r="I67" s="10">
        <v>17.543917489999998</v>
      </c>
      <c r="J67" s="10">
        <v>18.461858110000001</v>
      </c>
      <c r="K67" s="10">
        <v>19.604097809999999</v>
      </c>
      <c r="L67" s="10">
        <v>20.919132690000001</v>
      </c>
      <c r="M67" s="10">
        <v>21.898750020000001</v>
      </c>
      <c r="N67" s="10">
        <v>22.642667379999999</v>
      </c>
    </row>
    <row r="68" spans="1:14" x14ac:dyDescent="0.25">
      <c r="A68" s="10">
        <v>1</v>
      </c>
      <c r="B68" s="10">
        <v>110.5</v>
      </c>
      <c r="C68" s="10">
        <v>-3.1038885020000002</v>
      </c>
      <c r="D68" s="10">
        <v>18.783159359999999</v>
      </c>
      <c r="E68" s="10">
        <v>8.1862656000000006E-2</v>
      </c>
      <c r="F68" s="10">
        <v>16.562023750000002</v>
      </c>
      <c r="G68" s="10">
        <v>16.784466590000001</v>
      </c>
      <c r="H68" s="10">
        <v>17.152473560000001</v>
      </c>
      <c r="I68" s="10">
        <v>17.849887620000001</v>
      </c>
      <c r="J68" s="10">
        <v>18.783159359999999</v>
      </c>
      <c r="K68" s="10">
        <v>19.955981359999999</v>
      </c>
      <c r="L68" s="10">
        <v>21.325252160000002</v>
      </c>
      <c r="M68" s="10">
        <v>22.361026219999999</v>
      </c>
      <c r="N68" s="10">
        <v>23.157976649999998</v>
      </c>
    </row>
    <row r="69" spans="1:14" x14ac:dyDescent="0.25">
      <c r="A69" s="10">
        <v>1</v>
      </c>
      <c r="B69" s="10">
        <v>111.5</v>
      </c>
      <c r="C69" s="10">
        <v>-3.260482798</v>
      </c>
      <c r="D69" s="10">
        <v>19.111039829999999</v>
      </c>
      <c r="E69" s="10">
        <v>8.2132790999999997E-2</v>
      </c>
      <c r="F69" s="10">
        <v>16.863656930000001</v>
      </c>
      <c r="G69" s="10">
        <v>17.087153010000002</v>
      </c>
      <c r="H69" s="10">
        <v>17.457585399999999</v>
      </c>
      <c r="I69" s="10">
        <v>18.16216193</v>
      </c>
      <c r="J69" s="10">
        <v>19.111039829999999</v>
      </c>
      <c r="K69" s="10">
        <v>20.315109270000001</v>
      </c>
      <c r="L69" s="10">
        <v>21.740828610000001</v>
      </c>
      <c r="M69" s="10">
        <v>22.836520270000001</v>
      </c>
      <c r="N69" s="10">
        <v>23.691383089999999</v>
      </c>
    </row>
    <row r="70" spans="1:14" x14ac:dyDescent="0.25">
      <c r="A70" s="10">
        <v>1</v>
      </c>
      <c r="B70" s="10">
        <v>112.5</v>
      </c>
      <c r="C70" s="10">
        <v>-3.4113055989999999</v>
      </c>
      <c r="D70" s="10">
        <v>19.445728030000001</v>
      </c>
      <c r="E70" s="10">
        <v>8.2400213E-2</v>
      </c>
      <c r="F70" s="10">
        <v>17.170913160000001</v>
      </c>
      <c r="G70" s="10">
        <v>17.395626969999999</v>
      </c>
      <c r="H70" s="10">
        <v>17.768726189999999</v>
      </c>
      <c r="I70" s="10">
        <v>18.480835769999999</v>
      </c>
      <c r="J70" s="10">
        <v>19.445728030000001</v>
      </c>
      <c r="K70" s="10">
        <v>20.681753560000001</v>
      </c>
      <c r="L70" s="10">
        <v>22.16602327</v>
      </c>
      <c r="M70" s="10">
        <v>23.32532325</v>
      </c>
      <c r="N70" s="10">
        <v>24.243115249999999</v>
      </c>
    </row>
    <row r="71" spans="1:14" x14ac:dyDescent="0.25">
      <c r="A71" s="10">
        <v>1</v>
      </c>
      <c r="B71" s="10">
        <v>113.5</v>
      </c>
      <c r="C71" s="10">
        <v>-3.5542886720000002</v>
      </c>
      <c r="D71" s="10">
        <v>19.78744004</v>
      </c>
      <c r="E71" s="10">
        <v>8.2674022999999999E-2</v>
      </c>
      <c r="F71" s="10">
        <v>17.483554869999999</v>
      </c>
      <c r="G71" s="10">
        <v>17.70970539</v>
      </c>
      <c r="H71" s="10">
        <v>18.085800729999999</v>
      </c>
      <c r="I71" s="10">
        <v>18.805967160000002</v>
      </c>
      <c r="J71" s="10">
        <v>19.78744004</v>
      </c>
      <c r="K71" s="10">
        <v>21.056209750000001</v>
      </c>
      <c r="L71" s="10">
        <v>22.601028710000001</v>
      </c>
      <c r="M71" s="10">
        <v>23.827502549999998</v>
      </c>
      <c r="N71" s="10">
        <v>24.813296640000001</v>
      </c>
    </row>
    <row r="72" spans="1:14" x14ac:dyDescent="0.25">
      <c r="A72" s="10">
        <v>1</v>
      </c>
      <c r="B72" s="10">
        <v>114.5</v>
      </c>
      <c r="C72" s="10">
        <v>-3.6876008630000001</v>
      </c>
      <c r="D72" s="10">
        <v>20.136355630000001</v>
      </c>
      <c r="E72" s="10">
        <v>8.2964333000000001E-2</v>
      </c>
      <c r="F72" s="10">
        <v>17.80130995</v>
      </c>
      <c r="G72" s="10">
        <v>18.029166329999999</v>
      </c>
      <c r="H72" s="10">
        <v>18.408669759999999</v>
      </c>
      <c r="I72" s="10">
        <v>19.13756712</v>
      </c>
      <c r="J72" s="10">
        <v>20.136355630000001</v>
      </c>
      <c r="K72" s="10">
        <v>21.438767540000001</v>
      </c>
      <c r="L72" s="10">
        <v>23.04605609</v>
      </c>
      <c r="M72" s="10">
        <v>24.343111310000001</v>
      </c>
      <c r="N72" s="10">
        <v>25.401965820000001</v>
      </c>
    </row>
    <row r="73" spans="1:14" x14ac:dyDescent="0.25">
      <c r="A73" s="10">
        <v>1</v>
      </c>
      <c r="B73" s="10">
        <v>115.5</v>
      </c>
      <c r="C73" s="10">
        <v>-3.809599339</v>
      </c>
      <c r="D73" s="10">
        <v>20.492621110000002</v>
      </c>
      <c r="E73" s="10">
        <v>8.3282266999999993E-2</v>
      </c>
      <c r="F73" s="10">
        <v>18.123863530000001</v>
      </c>
      <c r="G73" s="10">
        <v>18.353742839999999</v>
      </c>
      <c r="H73" s="10">
        <v>18.737146559999999</v>
      </c>
      <c r="I73" s="10">
        <v>19.47560008</v>
      </c>
      <c r="J73" s="10">
        <v>20.492621110000002</v>
      </c>
      <c r="K73" s="10">
        <v>21.8297156</v>
      </c>
      <c r="L73" s="10">
        <v>23.501344029999998</v>
      </c>
      <c r="M73" s="10">
        <v>24.872193750000001</v>
      </c>
      <c r="N73" s="10">
        <v>26.00905839</v>
      </c>
    </row>
    <row r="74" spans="1:14" x14ac:dyDescent="0.25">
      <c r="A74" s="10">
        <v>1</v>
      </c>
      <c r="B74" s="10">
        <v>116.5</v>
      </c>
      <c r="C74" s="10">
        <v>-3.9190052130000002</v>
      </c>
      <c r="D74" s="10">
        <v>20.856325420000001</v>
      </c>
      <c r="E74" s="10">
        <v>8.3638757999999994E-2</v>
      </c>
      <c r="F74" s="10">
        <v>18.450877640000002</v>
      </c>
      <c r="G74" s="10">
        <v>18.683137949999999</v>
      </c>
      <c r="H74" s="10">
        <v>19.0710044</v>
      </c>
      <c r="I74" s="10">
        <v>19.819976969999999</v>
      </c>
      <c r="J74" s="10">
        <v>20.856325420000001</v>
      </c>
      <c r="K74" s="10">
        <v>22.229305249999999</v>
      </c>
      <c r="L74" s="10">
        <v>23.96713325</v>
      </c>
      <c r="M74" s="10">
        <v>25.41479043</v>
      </c>
      <c r="N74" s="10">
        <v>26.63443908</v>
      </c>
    </row>
    <row r="75" spans="1:14" x14ac:dyDescent="0.25">
      <c r="A75" s="10">
        <v>1</v>
      </c>
      <c r="B75" s="10">
        <v>117.5</v>
      </c>
      <c r="C75" s="10">
        <v>-4.0148822720000004</v>
      </c>
      <c r="D75" s="10">
        <v>21.227498900000001</v>
      </c>
      <c r="E75" s="10">
        <v>8.4044246000000003E-2</v>
      </c>
      <c r="F75" s="10">
        <v>18.781990019999999</v>
      </c>
      <c r="G75" s="10">
        <v>19.017024410000001</v>
      </c>
      <c r="H75" s="10">
        <v>19.409977269999999</v>
      </c>
      <c r="I75" s="10">
        <v>20.170556439999999</v>
      </c>
      <c r="J75" s="10">
        <v>21.227498900000001</v>
      </c>
      <c r="K75" s="10">
        <v>22.637743929999999</v>
      </c>
      <c r="L75" s="10">
        <v>24.443659390000001</v>
      </c>
      <c r="M75" s="10">
        <v>25.970938539999999</v>
      </c>
      <c r="N75" s="10">
        <v>27.277902569999998</v>
      </c>
    </row>
    <row r="76" spans="1:14" x14ac:dyDescent="0.25">
      <c r="A76" s="10">
        <v>1</v>
      </c>
      <c r="B76" s="10">
        <v>118.5</v>
      </c>
      <c r="C76" s="10">
        <v>-4.0966830610000002</v>
      </c>
      <c r="D76" s="10">
        <v>21.606103659999999</v>
      </c>
      <c r="E76" s="10">
        <v>8.4508000999999999E-2</v>
      </c>
      <c r="F76" s="10">
        <v>19.116822859999999</v>
      </c>
      <c r="G76" s="10">
        <v>19.35505216</v>
      </c>
      <c r="H76" s="10">
        <v>19.75376486</v>
      </c>
      <c r="I76" s="10">
        <v>20.527144180000001</v>
      </c>
      <c r="J76" s="10">
        <v>21.606103659999999</v>
      </c>
      <c r="K76" s="10">
        <v>23.055174619999999</v>
      </c>
      <c r="L76" s="10">
        <v>24.931131350000001</v>
      </c>
      <c r="M76" s="10">
        <v>26.54066898</v>
      </c>
      <c r="N76" s="10">
        <v>27.939194530000002</v>
      </c>
    </row>
    <row r="77" spans="1:14" x14ac:dyDescent="0.25">
      <c r="A77" s="10">
        <v>1</v>
      </c>
      <c r="B77" s="10">
        <v>119.5</v>
      </c>
      <c r="C77" s="10">
        <v>-4.1641604210000001</v>
      </c>
      <c r="D77" s="10">
        <v>21.9920407</v>
      </c>
      <c r="E77" s="10">
        <v>8.5038256000000007E-2</v>
      </c>
      <c r="F77" s="10">
        <v>19.454974910000001</v>
      </c>
      <c r="G77" s="10">
        <v>19.69684281</v>
      </c>
      <c r="H77" s="10">
        <v>20.102030800000001</v>
      </c>
      <c r="I77" s="10">
        <v>20.88949663</v>
      </c>
      <c r="J77" s="10">
        <v>21.9920407</v>
      </c>
      <c r="K77" s="10">
        <v>23.481680870000002</v>
      </c>
      <c r="L77" s="10">
        <v>25.429729120000001</v>
      </c>
      <c r="M77" s="10">
        <v>27.12400191</v>
      </c>
      <c r="N77" s="10">
        <v>28.618004119999998</v>
      </c>
    </row>
    <row r="78" spans="1:14" x14ac:dyDescent="0.25">
      <c r="A78" s="10">
        <v>1</v>
      </c>
      <c r="B78" s="10">
        <v>120.5</v>
      </c>
      <c r="C78" s="10">
        <v>-4.2174257180000003</v>
      </c>
      <c r="D78" s="10">
        <v>22.3851382</v>
      </c>
      <c r="E78" s="10">
        <v>8.5641502999999994E-2</v>
      </c>
      <c r="F78" s="10">
        <v>19.796034509999998</v>
      </c>
      <c r="G78" s="10">
        <v>20.0420005</v>
      </c>
      <c r="H78" s="10">
        <v>20.454409559999998</v>
      </c>
      <c r="I78" s="10">
        <v>21.257320150000002</v>
      </c>
      <c r="J78" s="10">
        <v>22.3851382</v>
      </c>
      <c r="K78" s="10">
        <v>23.91726195</v>
      </c>
      <c r="L78" s="10">
        <v>25.939574050000001</v>
      </c>
      <c r="M78" s="10">
        <v>27.72093757</v>
      </c>
      <c r="N78" s="10">
        <v>29.313996410000001</v>
      </c>
    </row>
    <row r="79" spans="1:14" x14ac:dyDescent="0.25">
      <c r="A79" s="10">
        <v>1</v>
      </c>
      <c r="B79" s="10">
        <v>121.5</v>
      </c>
      <c r="C79" s="10">
        <v>-4.2568022240000003</v>
      </c>
      <c r="D79" s="10">
        <v>22.785166279999999</v>
      </c>
      <c r="E79" s="10">
        <v>8.6323118000000004E-2</v>
      </c>
      <c r="F79" s="10">
        <v>20.139563809999999</v>
      </c>
      <c r="G79" s="10">
        <v>20.390099899999999</v>
      </c>
      <c r="H79" s="10">
        <v>20.81050076</v>
      </c>
      <c r="I79" s="10">
        <v>21.63027567</v>
      </c>
      <c r="J79" s="10">
        <v>22.785166279999999</v>
      </c>
      <c r="K79" s="10">
        <v>24.36185175</v>
      </c>
      <c r="L79" s="10">
        <v>26.460738039999999</v>
      </c>
      <c r="M79" s="10">
        <v>28.33145034</v>
      </c>
      <c r="N79" s="10">
        <v>30.026790819999999</v>
      </c>
    </row>
    <row r="81" spans="1:14" x14ac:dyDescent="0.25">
      <c r="A81" s="10" t="s">
        <v>2</v>
      </c>
      <c r="B81" s="10" t="s">
        <v>32</v>
      </c>
      <c r="C81" s="10" t="s">
        <v>3</v>
      </c>
      <c r="D81" s="10" t="s">
        <v>4</v>
      </c>
      <c r="E81" s="10" t="s">
        <v>5</v>
      </c>
      <c r="F81" s="10" t="s">
        <v>6</v>
      </c>
      <c r="G81" s="10" t="s">
        <v>7</v>
      </c>
      <c r="H81" s="10" t="s">
        <v>8</v>
      </c>
      <c r="I81" s="10" t="s">
        <v>9</v>
      </c>
      <c r="J81" s="10" t="s">
        <v>10</v>
      </c>
      <c r="K81" s="10" t="s">
        <v>11</v>
      </c>
      <c r="L81" s="10" t="s">
        <v>12</v>
      </c>
      <c r="M81" s="10" t="s">
        <v>13</v>
      </c>
      <c r="N81" s="10" t="s">
        <v>14</v>
      </c>
    </row>
    <row r="82" spans="1:14" customFormat="1" x14ac:dyDescent="0.25">
      <c r="A82">
        <v>2</v>
      </c>
      <c r="B82">
        <v>45</v>
      </c>
      <c r="C82">
        <v>0.66683991499999995</v>
      </c>
      <c r="D82">
        <v>2.3053969849999998</v>
      </c>
      <c r="E82">
        <v>0.16896989700000001</v>
      </c>
      <c r="F82">
        <v>1.61302626</v>
      </c>
      <c r="G82">
        <v>1.6953085299999999</v>
      </c>
      <c r="H82">
        <v>1.8246447619999999</v>
      </c>
      <c r="I82">
        <v>2.047707671</v>
      </c>
      <c r="J82">
        <v>2.3053969849999998</v>
      </c>
      <c r="K82">
        <v>2.5730661769999998</v>
      </c>
      <c r="L82">
        <v>2.8222119879999998</v>
      </c>
      <c r="M82">
        <v>2.9749439029999998</v>
      </c>
      <c r="N82">
        <v>3.0755596289999998</v>
      </c>
    </row>
    <row r="83" spans="1:14" customFormat="1" x14ac:dyDescent="0.25">
      <c r="A83">
        <v>2</v>
      </c>
      <c r="B83">
        <v>45.5</v>
      </c>
      <c r="C83">
        <v>0.69961640400000003</v>
      </c>
      <c r="D83">
        <v>2.4032567020000002</v>
      </c>
      <c r="E83">
        <v>0.157654766</v>
      </c>
      <c r="F83">
        <v>1.723754478</v>
      </c>
      <c r="G83">
        <v>1.8052226309999999</v>
      </c>
      <c r="H83">
        <v>1.9328505140000001</v>
      </c>
      <c r="I83">
        <v>2.1518436689999998</v>
      </c>
      <c r="J83">
        <v>2.4032567020000002</v>
      </c>
      <c r="K83">
        <v>2.6628359549999998</v>
      </c>
      <c r="L83">
        <v>2.90317596</v>
      </c>
      <c r="M83">
        <v>3.0499564029999999</v>
      </c>
      <c r="N83">
        <v>3.1464363149999999</v>
      </c>
    </row>
    <row r="84" spans="1:14" customFormat="1" x14ac:dyDescent="0.25">
      <c r="A84">
        <v>2</v>
      </c>
      <c r="B84">
        <v>46.5</v>
      </c>
      <c r="C84">
        <v>0.74791568399999997</v>
      </c>
      <c r="D84">
        <v>2.6060204840000001</v>
      </c>
      <c r="E84">
        <v>0.139389663</v>
      </c>
      <c r="F84">
        <v>1.9464607330000001</v>
      </c>
      <c r="G84">
        <v>2.026496007</v>
      </c>
      <c r="H84">
        <v>2.151303478</v>
      </c>
      <c r="I84">
        <v>2.363960397</v>
      </c>
      <c r="J84">
        <v>2.6060204840000001</v>
      </c>
      <c r="K84">
        <v>2.8538899949999998</v>
      </c>
      <c r="L84">
        <v>3.0817352389999999</v>
      </c>
      <c r="M84">
        <v>3.2201725529999998</v>
      </c>
      <c r="N84">
        <v>3.310892709</v>
      </c>
    </row>
    <row r="85" spans="1:14" customFormat="1" x14ac:dyDescent="0.25">
      <c r="A85">
        <v>2</v>
      </c>
      <c r="B85">
        <v>47.5</v>
      </c>
      <c r="C85">
        <v>0.75175473699999995</v>
      </c>
      <c r="D85">
        <v>2.8171140819999998</v>
      </c>
      <c r="E85">
        <v>0.125837223</v>
      </c>
      <c r="F85">
        <v>2.170805299</v>
      </c>
      <c r="G85">
        <v>2.2495549609999999</v>
      </c>
      <c r="H85">
        <v>2.3721601300000001</v>
      </c>
      <c r="I85">
        <v>2.5805647920000001</v>
      </c>
      <c r="J85">
        <v>2.8171140819999998</v>
      </c>
      <c r="K85">
        <v>3.0587032409999999</v>
      </c>
      <c r="L85">
        <v>3.2802806850000001</v>
      </c>
      <c r="M85">
        <v>3.4147024789999998</v>
      </c>
      <c r="N85">
        <v>3.5027125670000001</v>
      </c>
    </row>
    <row r="86" spans="1:14" customFormat="1" x14ac:dyDescent="0.25">
      <c r="A86">
        <v>2</v>
      </c>
      <c r="B86">
        <v>48.5</v>
      </c>
      <c r="C86">
        <v>0.69132997500000004</v>
      </c>
      <c r="D86">
        <v>3.0353561010000001</v>
      </c>
      <c r="E86">
        <v>0.11588894800000001</v>
      </c>
      <c r="F86">
        <v>2.3966738780000001</v>
      </c>
      <c r="G86">
        <v>2.4742141320000002</v>
      </c>
      <c r="H86">
        <v>2.5950891930000002</v>
      </c>
      <c r="I86">
        <v>2.80098615</v>
      </c>
      <c r="J86">
        <v>3.0353561010000001</v>
      </c>
      <c r="K86">
        <v>3.275451769</v>
      </c>
      <c r="L86">
        <v>3.4963048560000001</v>
      </c>
      <c r="M86">
        <v>3.630584823</v>
      </c>
      <c r="N86">
        <v>3.7186225629999998</v>
      </c>
    </row>
    <row r="87" spans="1:14" customFormat="1" x14ac:dyDescent="0.25">
      <c r="A87">
        <v>2</v>
      </c>
      <c r="B87">
        <v>49.5</v>
      </c>
      <c r="C87">
        <v>0.55910755599999995</v>
      </c>
      <c r="D87">
        <v>3.2596933180000001</v>
      </c>
      <c r="E87">
        <v>0.10864860799999999</v>
      </c>
      <c r="F87">
        <v>2.6238458690000002</v>
      </c>
      <c r="G87">
        <v>2.700266794</v>
      </c>
      <c r="H87">
        <v>2.8198274250000002</v>
      </c>
      <c r="I87">
        <v>3.024685576</v>
      </c>
      <c r="J87">
        <v>3.2596933180000001</v>
      </c>
      <c r="K87">
        <v>3.502419401</v>
      </c>
      <c r="L87">
        <v>3.7274259500000002</v>
      </c>
      <c r="M87">
        <v>3.865029598</v>
      </c>
      <c r="N87">
        <v>3.9555698019999999</v>
      </c>
    </row>
    <row r="88" spans="1:14" customFormat="1" x14ac:dyDescent="0.25">
      <c r="A88">
        <v>2</v>
      </c>
      <c r="B88">
        <v>50.5</v>
      </c>
      <c r="C88">
        <v>0.36154912700000003</v>
      </c>
      <c r="D88">
        <v>3.4892201699999998</v>
      </c>
      <c r="E88">
        <v>0.103402703</v>
      </c>
      <c r="F88">
        <v>2.8520083380000001</v>
      </c>
      <c r="G88">
        <v>2.9274792399999998</v>
      </c>
      <c r="H88">
        <v>3.0461627980000001</v>
      </c>
      <c r="I88">
        <v>3.2512508649999998</v>
      </c>
      <c r="J88">
        <v>3.4892201699999998</v>
      </c>
      <c r="K88">
        <v>3.7380254060000002</v>
      </c>
      <c r="L88">
        <v>3.9713955670000001</v>
      </c>
      <c r="M88">
        <v>4.1154002219999999</v>
      </c>
      <c r="N88">
        <v>4.210681986</v>
      </c>
    </row>
    <row r="89" spans="1:14" customFormat="1" x14ac:dyDescent="0.25">
      <c r="A89">
        <v>2</v>
      </c>
      <c r="B89">
        <v>51.5</v>
      </c>
      <c r="C89">
        <v>0.116436203</v>
      </c>
      <c r="D89">
        <v>3.7231954890000001</v>
      </c>
      <c r="E89">
        <v>9.9599650999999997E-2</v>
      </c>
      <c r="F89">
        <v>3.0807798800000001</v>
      </c>
      <c r="G89">
        <v>3.155581427</v>
      </c>
      <c r="H89">
        <v>3.273900839</v>
      </c>
      <c r="I89">
        <v>3.4803721969999999</v>
      </c>
      <c r="J89">
        <v>3.7231954890000001</v>
      </c>
      <c r="K89">
        <v>3.9808679310000001</v>
      </c>
      <c r="L89">
        <v>4.2261236000000002</v>
      </c>
      <c r="M89">
        <v>4.3792006600000004</v>
      </c>
      <c r="N89">
        <v>4.4812184090000002</v>
      </c>
    </row>
    <row r="90" spans="1:14" customFormat="1" x14ac:dyDescent="0.25">
      <c r="A90">
        <v>2</v>
      </c>
      <c r="B90">
        <v>52.5</v>
      </c>
      <c r="C90">
        <v>-0.15250909400000001</v>
      </c>
      <c r="D90">
        <v>3.9610349450000002</v>
      </c>
      <c r="E90">
        <v>9.6830356000000006E-2</v>
      </c>
      <c r="F90">
        <v>3.3097434560000001</v>
      </c>
      <c r="G90">
        <v>3.3842665329999999</v>
      </c>
      <c r="H90">
        <v>3.5028323709999998</v>
      </c>
      <c r="I90">
        <v>3.7118016599999999</v>
      </c>
      <c r="J90">
        <v>3.9610349450000002</v>
      </c>
      <c r="K90">
        <v>4.2297541289999998</v>
      </c>
      <c r="L90">
        <v>4.4897082169999996</v>
      </c>
      <c r="M90">
        <v>4.6540760040000002</v>
      </c>
      <c r="N90">
        <v>4.7645362699999998</v>
      </c>
    </row>
    <row r="91" spans="1:14" customFormat="1" x14ac:dyDescent="0.25">
      <c r="A91">
        <v>2</v>
      </c>
      <c r="B91">
        <v>53.5</v>
      </c>
      <c r="C91">
        <v>-0.42147862699999999</v>
      </c>
      <c r="D91">
        <v>4.2022700220000004</v>
      </c>
      <c r="E91">
        <v>9.4804769999999997E-2</v>
      </c>
      <c r="F91">
        <v>3.5384862350000001</v>
      </c>
      <c r="G91">
        <v>3.6132060070000001</v>
      </c>
      <c r="H91">
        <v>3.732716377</v>
      </c>
      <c r="I91">
        <v>3.9453060870000001</v>
      </c>
      <c r="J91">
        <v>4.2022700220000004</v>
      </c>
      <c r="K91">
        <v>4.4836937749999999</v>
      </c>
      <c r="L91">
        <v>4.7604555140000002</v>
      </c>
      <c r="M91">
        <v>4.9378285279999998</v>
      </c>
      <c r="N91">
        <v>5.0580908149999999</v>
      </c>
    </row>
    <row r="92" spans="1:14" customFormat="1" x14ac:dyDescent="0.25">
      <c r="A92">
        <v>2</v>
      </c>
      <c r="B92">
        <v>54.5</v>
      </c>
      <c r="C92">
        <v>-0.67138828900000003</v>
      </c>
      <c r="D92">
        <v>4.4464760280000002</v>
      </c>
      <c r="E92">
        <v>9.3323067999999995E-2</v>
      </c>
      <c r="F92">
        <v>3.7666484250000001</v>
      </c>
      <c r="G92">
        <v>3.8420821140000001</v>
      </c>
      <c r="H92">
        <v>3.963283111</v>
      </c>
      <c r="I92">
        <v>4.1806225289999999</v>
      </c>
      <c r="J92">
        <v>4.4464760280000002</v>
      </c>
      <c r="K92">
        <v>4.741844038</v>
      </c>
      <c r="L92">
        <v>5.0368731169999998</v>
      </c>
      <c r="M92">
        <v>5.2284450910000002</v>
      </c>
      <c r="N92">
        <v>5.3594807910000002</v>
      </c>
    </row>
    <row r="93" spans="1:14" customFormat="1" x14ac:dyDescent="0.25">
      <c r="A93">
        <v>2</v>
      </c>
      <c r="B93">
        <v>55.5</v>
      </c>
      <c r="C93">
        <v>-0.88997352600000001</v>
      </c>
      <c r="D93">
        <v>4.6932201510000002</v>
      </c>
      <c r="E93">
        <v>9.2246459000000003E-2</v>
      </c>
      <c r="F93">
        <v>3.99394852</v>
      </c>
      <c r="G93">
        <v>4.0706138779999996</v>
      </c>
      <c r="H93">
        <v>4.1942514160000002</v>
      </c>
      <c r="I93">
        <v>4.4174439740000002</v>
      </c>
      <c r="J93">
        <v>4.6932201510000002</v>
      </c>
      <c r="K93">
        <v>5.0034478460000003</v>
      </c>
      <c r="L93">
        <v>5.3176438170000004</v>
      </c>
      <c r="M93">
        <v>5.5241129029999998</v>
      </c>
      <c r="N93">
        <v>5.666497508</v>
      </c>
    </row>
    <row r="94" spans="1:14" customFormat="1" x14ac:dyDescent="0.25">
      <c r="A94">
        <v>2</v>
      </c>
      <c r="B94">
        <v>56.5</v>
      </c>
      <c r="C94">
        <v>-1.0718444540000001</v>
      </c>
      <c r="D94">
        <v>4.9420293429999997</v>
      </c>
      <c r="E94">
        <v>9.1473165999999995E-2</v>
      </c>
      <c r="F94">
        <v>4.2201958199999998</v>
      </c>
      <c r="G94">
        <v>4.2985760910000002</v>
      </c>
      <c r="H94">
        <v>4.4253492169999999</v>
      </c>
      <c r="I94">
        <v>4.6554225300000001</v>
      </c>
      <c r="J94">
        <v>4.9420293429999997</v>
      </c>
      <c r="K94">
        <v>5.2677770080000004</v>
      </c>
      <c r="L94">
        <v>5.6015874009999997</v>
      </c>
      <c r="M94">
        <v>5.8232237150000001</v>
      </c>
      <c r="N94">
        <v>5.9771716560000003</v>
      </c>
    </row>
    <row r="95" spans="1:14" customFormat="1" x14ac:dyDescent="0.25">
      <c r="A95">
        <v>2</v>
      </c>
      <c r="B95">
        <v>57.5</v>
      </c>
      <c r="C95">
        <v>-1.216671445</v>
      </c>
      <c r="D95">
        <v>5.192403337</v>
      </c>
      <c r="E95">
        <v>9.0923715000000002E-2</v>
      </c>
      <c r="F95">
        <v>4.4452711010000003</v>
      </c>
      <c r="G95">
        <v>4.525795306</v>
      </c>
      <c r="H95">
        <v>4.656327074</v>
      </c>
      <c r="I95">
        <v>4.8941945010000003</v>
      </c>
      <c r="J95">
        <v>5.192403337</v>
      </c>
      <c r="K95">
        <v>5.5341186379999998</v>
      </c>
      <c r="L95">
        <v>5.8876341749999996</v>
      </c>
      <c r="M95">
        <v>6.1243588469999999</v>
      </c>
      <c r="N95">
        <v>6.2897787369999998</v>
      </c>
    </row>
    <row r="96" spans="1:14" customFormat="1" x14ac:dyDescent="0.25">
      <c r="A96">
        <v>2</v>
      </c>
      <c r="B96">
        <v>58.5</v>
      </c>
      <c r="C96">
        <v>-1.3273604619999999</v>
      </c>
      <c r="D96">
        <v>5.4438300960000001</v>
      </c>
      <c r="E96">
        <v>9.0532905999999996E-2</v>
      </c>
      <c r="F96">
        <v>4.6691107189999999</v>
      </c>
      <c r="G96">
        <v>4.7521437100000004</v>
      </c>
      <c r="H96">
        <v>4.8869646060000003</v>
      </c>
      <c r="I96">
        <v>5.1333987839999997</v>
      </c>
      <c r="J96">
        <v>5.4438300960000001</v>
      </c>
      <c r="K96">
        <v>5.8017726950000004</v>
      </c>
      <c r="L96">
        <v>6.1748067850000004</v>
      </c>
      <c r="M96">
        <v>6.4262736040000004</v>
      </c>
      <c r="N96">
        <v>6.6028357460000002</v>
      </c>
    </row>
    <row r="97" spans="1:14" customFormat="1" x14ac:dyDescent="0.25">
      <c r="A97">
        <v>2</v>
      </c>
      <c r="B97">
        <v>59.5</v>
      </c>
      <c r="C97">
        <v>-1.408261687</v>
      </c>
      <c r="D97">
        <v>5.6958132800000003</v>
      </c>
      <c r="E97">
        <v>9.0246768000000005E-2</v>
      </c>
      <c r="F97">
        <v>4.8916825619999997</v>
      </c>
      <c r="G97">
        <v>4.9775247819999997</v>
      </c>
      <c r="H97">
        <v>5.1170702019999998</v>
      </c>
      <c r="I97">
        <v>5.3726953420000001</v>
      </c>
      <c r="J97">
        <v>5.6958132800000003</v>
      </c>
      <c r="K97">
        <v>6.070070759</v>
      </c>
      <c r="L97">
        <v>6.4622167570000002</v>
      </c>
      <c r="M97">
        <v>6.7278787600000003</v>
      </c>
      <c r="N97">
        <v>6.9150756400000004</v>
      </c>
    </row>
    <row r="98" spans="1:14" customFormat="1" x14ac:dyDescent="0.25">
      <c r="A98">
        <v>2</v>
      </c>
      <c r="B98">
        <v>60.5</v>
      </c>
      <c r="C98">
        <v>-1.464051065</v>
      </c>
      <c r="D98">
        <v>5.9478897589999997</v>
      </c>
      <c r="E98">
        <v>9.0021128000000006E-2</v>
      </c>
      <c r="F98">
        <v>5.1129710920000004</v>
      </c>
      <c r="G98">
        <v>5.2018631009999998</v>
      </c>
      <c r="H98">
        <v>5.3464783599999999</v>
      </c>
      <c r="I98">
        <v>5.6117743630000003</v>
      </c>
      <c r="J98">
        <v>5.9478897589999997</v>
      </c>
      <c r="K98">
        <v>6.33839139</v>
      </c>
      <c r="L98">
        <v>6.749065162</v>
      </c>
      <c r="M98">
        <v>7.0282272490000004</v>
      </c>
      <c r="N98">
        <v>7.2254243530000002</v>
      </c>
    </row>
    <row r="99" spans="1:14" customFormat="1" x14ac:dyDescent="0.25">
      <c r="A99">
        <v>2</v>
      </c>
      <c r="B99">
        <v>61.5</v>
      </c>
      <c r="C99">
        <v>-1.4991056270000001</v>
      </c>
      <c r="D99">
        <v>6.1996402670000004</v>
      </c>
      <c r="E99">
        <v>8.9820687999999996E-2</v>
      </c>
      <c r="F99">
        <v>5.3329680469999996</v>
      </c>
      <c r="G99">
        <v>5.4250972600000003</v>
      </c>
      <c r="H99">
        <v>5.57504651</v>
      </c>
      <c r="I99">
        <v>5.8503602480000003</v>
      </c>
      <c r="J99">
        <v>6.1996402670000004</v>
      </c>
      <c r="K99">
        <v>6.606171625</v>
      </c>
      <c r="L99">
        <v>7.0346447459999997</v>
      </c>
      <c r="M99">
        <v>7.3265043289999996</v>
      </c>
      <c r="N99">
        <v>7.532980555</v>
      </c>
    </row>
    <row r="100" spans="1:14" customFormat="1" x14ac:dyDescent="0.25">
      <c r="A100">
        <v>2</v>
      </c>
      <c r="B100">
        <v>62.5</v>
      </c>
      <c r="C100">
        <v>-1.517197913</v>
      </c>
      <c r="D100">
        <v>6.4506958179999998</v>
      </c>
      <c r="E100">
        <v>8.9618170999999996E-2</v>
      </c>
      <c r="F100">
        <v>5.5516664090000001</v>
      </c>
      <c r="G100">
        <v>5.6471748699999997</v>
      </c>
      <c r="H100">
        <v>5.8026520799999997</v>
      </c>
      <c r="I100">
        <v>6.0882130810000001</v>
      </c>
      <c r="J100">
        <v>6.4506958179999998</v>
      </c>
      <c r="K100">
        <v>6.8729151350000004</v>
      </c>
      <c r="L100">
        <v>7.3183420000000003</v>
      </c>
      <c r="M100">
        <v>7.6220197709999997</v>
      </c>
      <c r="N100">
        <v>7.8369979580000004</v>
      </c>
    </row>
    <row r="101" spans="1:14" customFormat="1" x14ac:dyDescent="0.25">
      <c r="A101">
        <v>2</v>
      </c>
      <c r="B101">
        <v>63.5</v>
      </c>
      <c r="C101">
        <v>-1.521479703</v>
      </c>
      <c r="D101">
        <v>6.7007367249999996</v>
      </c>
      <c r="E101">
        <v>8.9393174000000006E-2</v>
      </c>
      <c r="F101">
        <v>5.769060531</v>
      </c>
      <c r="G101">
        <v>5.8680517720000003</v>
      </c>
      <c r="H101">
        <v>6.0291907629999999</v>
      </c>
      <c r="I101">
        <v>6.3251265459999999</v>
      </c>
      <c r="J101">
        <v>6.7007367249999996</v>
      </c>
      <c r="K101">
        <v>7.1381925669999999</v>
      </c>
      <c r="L101">
        <v>7.5996360699999999</v>
      </c>
      <c r="M101">
        <v>7.9142027229999998</v>
      </c>
      <c r="N101">
        <v>8.1368753659999999</v>
      </c>
    </row>
    <row r="102" spans="1:14" customFormat="1" x14ac:dyDescent="0.25">
      <c r="A102">
        <v>2</v>
      </c>
      <c r="B102">
        <v>64.5</v>
      </c>
      <c r="C102">
        <v>-1.514481331</v>
      </c>
      <c r="D102">
        <v>6.9494935340000001</v>
      </c>
      <c r="E102">
        <v>8.9131253999999993E-2</v>
      </c>
      <c r="F102">
        <v>5.9851444059999999</v>
      </c>
      <c r="G102">
        <v>6.0876902199999998</v>
      </c>
      <c r="H102">
        <v>6.2545748369999998</v>
      </c>
      <c r="I102">
        <v>6.5609271839999996</v>
      </c>
      <c r="J102">
        <v>6.9494935340000001</v>
      </c>
      <c r="K102">
        <v>7.4016434980000003</v>
      </c>
      <c r="L102">
        <v>7.8780982359999996</v>
      </c>
      <c r="M102">
        <v>8.202595917</v>
      </c>
      <c r="N102">
        <v>8.4321447710000008</v>
      </c>
    </row>
    <row r="103" spans="1:14" customFormat="1" x14ac:dyDescent="0.25">
      <c r="A103">
        <v>2</v>
      </c>
      <c r="B103">
        <v>65.5</v>
      </c>
      <c r="C103">
        <v>-1.498204976</v>
      </c>
      <c r="D103">
        <v>7.1967447330000001</v>
      </c>
      <c r="E103">
        <v>8.8822943000000001E-2</v>
      </c>
      <c r="F103">
        <v>6.1999126450000004</v>
      </c>
      <c r="G103">
        <v>6.3060590220000003</v>
      </c>
      <c r="H103">
        <v>6.4787322390000002</v>
      </c>
      <c r="I103">
        <v>6.7954723369999996</v>
      </c>
      <c r="J103">
        <v>7.1967447330000001</v>
      </c>
      <c r="K103">
        <v>7.6629745160000002</v>
      </c>
      <c r="L103">
        <v>8.1533893600000003</v>
      </c>
      <c r="M103">
        <v>8.4868508669999994</v>
      </c>
      <c r="N103">
        <v>8.722463522</v>
      </c>
    </row>
    <row r="104" spans="1:14" customFormat="1" x14ac:dyDescent="0.25">
      <c r="A104">
        <v>2</v>
      </c>
      <c r="B104">
        <v>66.5</v>
      </c>
      <c r="C104">
        <v>-1.474231858</v>
      </c>
      <c r="D104">
        <v>7.4423138189999998</v>
      </c>
      <c r="E104">
        <v>8.8462853999999994E-2</v>
      </c>
      <c r="F104">
        <v>6.4133619849999999</v>
      </c>
      <c r="G104">
        <v>6.5231341460000003</v>
      </c>
      <c r="H104">
        <v>6.7016059449999998</v>
      </c>
      <c r="I104">
        <v>7.028648027</v>
      </c>
      <c r="J104">
        <v>7.4423138189999998</v>
      </c>
      <c r="K104">
        <v>7.9219562149999998</v>
      </c>
      <c r="L104">
        <v>8.4252565310000005</v>
      </c>
      <c r="M104">
        <v>8.7667231809999997</v>
      </c>
      <c r="N104">
        <v>9.0076076599999997</v>
      </c>
    </row>
    <row r="105" spans="1:14" customFormat="1" x14ac:dyDescent="0.25">
      <c r="A105">
        <v>2</v>
      </c>
      <c r="B105">
        <v>67.5</v>
      </c>
      <c r="C105">
        <v>-1.4438089110000001</v>
      </c>
      <c r="D105">
        <v>7.6860670390000001</v>
      </c>
      <c r="E105">
        <v>8.8048962999999994E-2</v>
      </c>
      <c r="F105">
        <v>6.6254921820000003</v>
      </c>
      <c r="G105">
        <v>6.7388990089999998</v>
      </c>
      <c r="H105">
        <v>6.9231534359999998</v>
      </c>
      <c r="I105">
        <v>7.2603673549999996</v>
      </c>
      <c r="J105">
        <v>7.6860670390000001</v>
      </c>
      <c r="K105">
        <v>8.1784206200000007</v>
      </c>
      <c r="L105">
        <v>8.6935296740000005</v>
      </c>
      <c r="M105">
        <v>9.0420675500000005</v>
      </c>
      <c r="N105">
        <v>9.2874648860000004</v>
      </c>
    </row>
    <row r="106" spans="1:14" customFormat="1" x14ac:dyDescent="0.25">
      <c r="A106">
        <v>2</v>
      </c>
      <c r="B106">
        <v>68.5</v>
      </c>
      <c r="C106">
        <v>-1.4079591069999999</v>
      </c>
      <c r="D106">
        <v>7.9279093600000001</v>
      </c>
      <c r="E106">
        <v>8.7581915999999996E-2</v>
      </c>
      <c r="F106">
        <v>6.8363084460000003</v>
      </c>
      <c r="G106">
        <v>6.9533458179999998</v>
      </c>
      <c r="H106">
        <v>7.1433464710000001</v>
      </c>
      <c r="I106">
        <v>7.49056809</v>
      </c>
      <c r="J106">
        <v>7.9279093600000001</v>
      </c>
      <c r="K106">
        <v>8.4322565619999992</v>
      </c>
      <c r="L106">
        <v>8.958117069</v>
      </c>
      <c r="M106">
        <v>9.3128332789999995</v>
      </c>
      <c r="N106">
        <v>9.5620297609999998</v>
      </c>
    </row>
    <row r="107" spans="1:14" customFormat="1" x14ac:dyDescent="0.25">
      <c r="A107">
        <v>2</v>
      </c>
      <c r="B107">
        <v>69.5</v>
      </c>
      <c r="C107">
        <v>-1.3675210250000001</v>
      </c>
      <c r="D107">
        <v>8.1677836769999992</v>
      </c>
      <c r="E107">
        <v>8.7064605000000003E-2</v>
      </c>
      <c r="F107">
        <v>7.0458210540000001</v>
      </c>
      <c r="G107">
        <v>7.1664750960000001</v>
      </c>
      <c r="H107">
        <v>7.3621705180000001</v>
      </c>
      <c r="I107">
        <v>7.7192120019999999</v>
      </c>
      <c r="J107">
        <v>8.1677836769999992</v>
      </c>
      <c r="K107">
        <v>8.6834083240000002</v>
      </c>
      <c r="L107">
        <v>9.2190021860000009</v>
      </c>
      <c r="M107">
        <v>9.5790586609999995</v>
      </c>
      <c r="N107">
        <v>9.8313955130000004</v>
      </c>
    </row>
    <row r="108" spans="1:14" customFormat="1" x14ac:dyDescent="0.25">
      <c r="A108">
        <v>2</v>
      </c>
      <c r="B108">
        <v>70.5</v>
      </c>
      <c r="C108">
        <v>-1.3232432700000001</v>
      </c>
      <c r="D108">
        <v>8.4056666209999999</v>
      </c>
      <c r="E108">
        <v>8.6501667000000004E-2</v>
      </c>
      <c r="F108">
        <v>7.2540479429999998</v>
      </c>
      <c r="G108">
        <v>7.3782971650000002</v>
      </c>
      <c r="H108">
        <v>7.579624634</v>
      </c>
      <c r="I108">
        <v>7.9462824540000003</v>
      </c>
      <c r="J108">
        <v>8.4056666209999999</v>
      </c>
      <c r="K108">
        <v>8.9318706450000001</v>
      </c>
      <c r="L108">
        <v>9.4762388400000006</v>
      </c>
      <c r="M108">
        <v>9.8408664879999996</v>
      </c>
      <c r="N108">
        <v>10.095749769999999</v>
      </c>
    </row>
    <row r="109" spans="1:14" customFormat="1" x14ac:dyDescent="0.25">
      <c r="A109">
        <v>2</v>
      </c>
      <c r="B109">
        <v>71.5</v>
      </c>
      <c r="C109">
        <v>-1.275834578</v>
      </c>
      <c r="D109">
        <v>8.6415663049999996</v>
      </c>
      <c r="E109">
        <v>8.5899159000000003E-2</v>
      </c>
      <c r="F109">
        <v>7.4610156129999998</v>
      </c>
      <c r="G109">
        <v>7.5888325219999997</v>
      </c>
      <c r="H109">
        <v>7.7957210979999996</v>
      </c>
      <c r="I109">
        <v>8.1717830080000002</v>
      </c>
      <c r="J109">
        <v>8.6415663049999996</v>
      </c>
      <c r="K109">
        <v>9.1776857429999996</v>
      </c>
      <c r="L109">
        <v>9.7299471880000006</v>
      </c>
      <c r="M109">
        <v>10.098458880000001</v>
      </c>
      <c r="N109">
        <v>10.355368220000001</v>
      </c>
    </row>
    <row r="110" spans="1:14" customFormat="1" x14ac:dyDescent="0.25">
      <c r="A110">
        <v>2</v>
      </c>
      <c r="B110">
        <v>72.5</v>
      </c>
      <c r="C110">
        <v>-1.2260142570000001</v>
      </c>
      <c r="D110">
        <v>8.875519723</v>
      </c>
      <c r="E110">
        <v>8.5264271000000003E-2</v>
      </c>
      <c r="F110">
        <v>7.6667603519999998</v>
      </c>
      <c r="G110">
        <v>7.798112411</v>
      </c>
      <c r="H110">
        <v>8.0104850820000006</v>
      </c>
      <c r="I110">
        <v>8.3957358380000002</v>
      </c>
      <c r="J110">
        <v>8.875519723</v>
      </c>
      <c r="K110">
        <v>9.4209399349999998</v>
      </c>
      <c r="L110">
        <v>9.9803095030000009</v>
      </c>
      <c r="M110">
        <v>10.352112200000001</v>
      </c>
      <c r="N110">
        <v>10.61060874</v>
      </c>
    </row>
    <row r="111" spans="1:14" customFormat="1" x14ac:dyDescent="0.25">
      <c r="A111">
        <v>2</v>
      </c>
      <c r="B111">
        <v>73.5</v>
      </c>
      <c r="C111">
        <v>-1.1745558039999999</v>
      </c>
      <c r="D111">
        <v>9.1075902210000006</v>
      </c>
      <c r="E111">
        <v>8.4605096000000005E-2</v>
      </c>
      <c r="F111">
        <v>7.8713293980000003</v>
      </c>
      <c r="G111">
        <v>8.0061793560000005</v>
      </c>
      <c r="H111">
        <v>8.2239542940000003</v>
      </c>
      <c r="I111">
        <v>8.6181801799999995</v>
      </c>
      <c r="J111">
        <v>9.1075902210000006</v>
      </c>
      <c r="K111">
        <v>9.6617603239999994</v>
      </c>
      <c r="L111">
        <v>10.227565950000001</v>
      </c>
      <c r="M111">
        <v>10.60217203</v>
      </c>
      <c r="N111">
        <v>10.86190554</v>
      </c>
    </row>
    <row r="112" spans="1:14" customFormat="1" x14ac:dyDescent="0.25">
      <c r="A112">
        <v>2</v>
      </c>
      <c r="B112">
        <v>74.5</v>
      </c>
      <c r="C112">
        <v>-1.122323639</v>
      </c>
      <c r="D112">
        <v>9.3378650539999999</v>
      </c>
      <c r="E112">
        <v>8.3930434999999998E-2</v>
      </c>
      <c r="F112">
        <v>8.0747820299999997</v>
      </c>
      <c r="G112">
        <v>8.2130876290000003</v>
      </c>
      <c r="H112">
        <v>8.4361786090000006</v>
      </c>
      <c r="I112">
        <v>8.8391708219999998</v>
      </c>
      <c r="J112">
        <v>9.3378650539999999</v>
      </c>
      <c r="K112">
        <v>9.9003115370000003</v>
      </c>
      <c r="L112">
        <v>10.47201035</v>
      </c>
      <c r="M112">
        <v>10.849047949999999</v>
      </c>
      <c r="N112">
        <v>11.109763320000001</v>
      </c>
    </row>
    <row r="113" spans="1:14" customFormat="1" x14ac:dyDescent="0.25">
      <c r="A113">
        <v>2</v>
      </c>
      <c r="B113">
        <v>75.5</v>
      </c>
      <c r="C113">
        <v>-1.070302348</v>
      </c>
      <c r="D113">
        <v>9.5664530610000007</v>
      </c>
      <c r="E113">
        <v>8.3249631000000004E-2</v>
      </c>
      <c r="F113">
        <v>8.2771905379999993</v>
      </c>
      <c r="G113">
        <v>8.4189036510000008</v>
      </c>
      <c r="H113">
        <v>8.6472196869999998</v>
      </c>
      <c r="I113">
        <v>9.0587766700000003</v>
      </c>
      <c r="J113">
        <v>9.5664530610000007</v>
      </c>
      <c r="K113">
        <v>10.136792549999999</v>
      </c>
      <c r="L113">
        <v>10.713985900000001</v>
      </c>
      <c r="M113">
        <v>11.09320847</v>
      </c>
      <c r="N113">
        <v>11.35475136</v>
      </c>
    </row>
    <row r="114" spans="1:14" customFormat="1" x14ac:dyDescent="0.25">
      <c r="A114">
        <v>2</v>
      </c>
      <c r="B114">
        <v>76.5</v>
      </c>
      <c r="C114">
        <v>-1.019617172</v>
      </c>
      <c r="D114">
        <v>9.7934824920000008</v>
      </c>
      <c r="E114">
        <v>8.2572420999999993E-2</v>
      </c>
      <c r="F114">
        <v>8.4786410369999992</v>
      </c>
      <c r="G114">
        <v>8.6237062990000002</v>
      </c>
      <c r="H114">
        <v>8.8571505960000003</v>
      </c>
      <c r="I114">
        <v>9.2770794520000006</v>
      </c>
      <c r="J114">
        <v>9.7934824920000008</v>
      </c>
      <c r="K114">
        <v>10.37143354</v>
      </c>
      <c r="L114">
        <v>10.95388092</v>
      </c>
      <c r="M114">
        <v>11.33517576</v>
      </c>
      <c r="N114">
        <v>11.59749766</v>
      </c>
    </row>
    <row r="115" spans="1:14" x14ac:dyDescent="0.25">
      <c r="A115" s="10">
        <v>2</v>
      </c>
      <c r="B115" s="10">
        <v>77.5</v>
      </c>
      <c r="C115" s="10">
        <v>-0.93590843599999995</v>
      </c>
      <c r="D115" s="10">
        <v>10.19868351</v>
      </c>
      <c r="E115" s="10">
        <v>8.1394447999999994E-2</v>
      </c>
      <c r="F115" s="10">
        <v>8.8391675159999998</v>
      </c>
      <c r="G115" s="10">
        <v>8.9900973749999995</v>
      </c>
      <c r="H115" s="10">
        <v>9.2325040919999992</v>
      </c>
      <c r="I115" s="10">
        <v>9.6670462130000008</v>
      </c>
      <c r="J115" s="10">
        <v>10.19868351</v>
      </c>
      <c r="K115" s="10">
        <v>10.78999185</v>
      </c>
      <c r="L115" s="10">
        <v>11.38184191</v>
      </c>
      <c r="M115" s="10">
        <v>11.76703846</v>
      </c>
      <c r="N115" s="10">
        <v>12.03099456</v>
      </c>
    </row>
    <row r="116" spans="1:14" x14ac:dyDescent="0.25">
      <c r="A116" s="10">
        <v>2</v>
      </c>
      <c r="B116" s="10">
        <v>78.5</v>
      </c>
      <c r="C116" s="10">
        <v>-0.89621041999999995</v>
      </c>
      <c r="D116" s="10">
        <v>10.422173239999999</v>
      </c>
      <c r="E116" s="10">
        <v>8.0780643999999999E-2</v>
      </c>
      <c r="F116" s="10">
        <v>9.0385172009999994</v>
      </c>
      <c r="G116" s="10">
        <v>9.1925901010000004</v>
      </c>
      <c r="H116" s="10">
        <v>9.4398086340000003</v>
      </c>
      <c r="I116" s="10">
        <v>9.8822317339999994</v>
      </c>
      <c r="J116" s="10">
        <v>10.422173239999999</v>
      </c>
      <c r="K116" s="10">
        <v>11.02093382</v>
      </c>
      <c r="L116" s="10">
        <v>11.61830668</v>
      </c>
      <c r="M116" s="10">
        <v>12.00603364</v>
      </c>
      <c r="N116" s="10">
        <v>12.27123186</v>
      </c>
    </row>
    <row r="117" spans="1:14" x14ac:dyDescent="0.25">
      <c r="A117" s="10">
        <v>2</v>
      </c>
      <c r="B117" s="10">
        <v>79.5</v>
      </c>
      <c r="C117" s="10">
        <v>-0.86342347399999997</v>
      </c>
      <c r="D117" s="10">
        <v>10.644736590000001</v>
      </c>
      <c r="E117" s="10">
        <v>8.0208402999999998E-2</v>
      </c>
      <c r="F117" s="10">
        <v>9.2373690499999999</v>
      </c>
      <c r="G117" s="10">
        <v>9.3944849599999998</v>
      </c>
      <c r="H117" s="10">
        <v>9.6463799649999995</v>
      </c>
      <c r="I117" s="10">
        <v>10.09652511</v>
      </c>
      <c r="J117" s="10">
        <v>10.644736590000001</v>
      </c>
      <c r="K117" s="10">
        <v>11.251141649999999</v>
      </c>
      <c r="L117" s="10">
        <v>11.85449919</v>
      </c>
      <c r="M117" s="10">
        <v>12.24521487</v>
      </c>
      <c r="N117" s="10">
        <v>12.512045629999999</v>
      </c>
    </row>
    <row r="118" spans="1:14" x14ac:dyDescent="0.25">
      <c r="A118" s="10">
        <v>2</v>
      </c>
      <c r="B118" s="10">
        <v>80.5</v>
      </c>
      <c r="C118" s="10">
        <v>-0.83925027900000004</v>
      </c>
      <c r="D118" s="10">
        <v>10.866571459999999</v>
      </c>
      <c r="E118" s="10">
        <v>7.9687206999999996E-2</v>
      </c>
      <c r="F118" s="10">
        <v>9.4358783899999992</v>
      </c>
      <c r="G118" s="10">
        <v>9.5959213759999997</v>
      </c>
      <c r="H118" s="10">
        <v>9.8523430659999995</v>
      </c>
      <c r="I118" s="10">
        <v>10.31005891</v>
      </c>
      <c r="J118" s="10">
        <v>10.866571459999999</v>
      </c>
      <c r="K118" s="10">
        <v>11.4809532</v>
      </c>
      <c r="L118" s="10">
        <v>12.09096109</v>
      </c>
      <c r="M118" s="10">
        <v>12.48528658</v>
      </c>
      <c r="N118" s="10">
        <v>12.754263959999999</v>
      </c>
    </row>
    <row r="119" spans="1:14" x14ac:dyDescent="0.25">
      <c r="A119" s="10">
        <v>2</v>
      </c>
      <c r="B119" s="10">
        <v>81.5</v>
      </c>
      <c r="C119" s="10">
        <v>-0.82539501299999996</v>
      </c>
      <c r="D119" s="10">
        <v>11.087887139999999</v>
      </c>
      <c r="E119" s="10">
        <v>7.9225952000000002E-2</v>
      </c>
      <c r="F119" s="10">
        <v>9.634213141</v>
      </c>
      <c r="G119" s="10">
        <v>9.7970506830000001</v>
      </c>
      <c r="H119" s="10">
        <v>10.057834059999999</v>
      </c>
      <c r="I119" s="10">
        <v>10.52297639</v>
      </c>
      <c r="J119" s="10">
        <v>11.087887139999999</v>
      </c>
      <c r="K119" s="10">
        <v>11.710720029999999</v>
      </c>
      <c r="L119" s="10">
        <v>12.32825177</v>
      </c>
      <c r="M119" s="10">
        <v>12.726974670000001</v>
      </c>
      <c r="N119" s="10">
        <v>12.99873959</v>
      </c>
    </row>
    <row r="120" spans="1:14" x14ac:dyDescent="0.25">
      <c r="A120" s="10">
        <v>2</v>
      </c>
      <c r="B120" s="10">
        <v>82.5</v>
      </c>
      <c r="C120" s="10">
        <v>-0.82348766699999998</v>
      </c>
      <c r="D120" s="10">
        <v>11.308903969999999</v>
      </c>
      <c r="E120" s="10">
        <v>7.8832728000000005E-2</v>
      </c>
      <c r="F120" s="10">
        <v>9.8325522169999999</v>
      </c>
      <c r="G120" s="10">
        <v>9.9980355650000003</v>
      </c>
      <c r="H120" s="10">
        <v>10.263000740000001</v>
      </c>
      <c r="I120" s="10">
        <v>10.73543239</v>
      </c>
      <c r="J120" s="10">
        <v>11.308903969999999</v>
      </c>
      <c r="K120" s="10">
        <v>11.94080449</v>
      </c>
      <c r="L120" s="10">
        <v>12.56694308</v>
      </c>
      <c r="M120" s="10">
        <v>12.971020530000001</v>
      </c>
      <c r="N120" s="10">
        <v>13.246344049999999</v>
      </c>
    </row>
    <row r="121" spans="1:14" x14ac:dyDescent="0.25">
      <c r="A121" s="10">
        <v>2</v>
      </c>
      <c r="B121" s="10">
        <v>83.5</v>
      </c>
      <c r="C121" s="10">
        <v>-0.83499706699999998</v>
      </c>
      <c r="D121" s="10">
        <v>11.52985331</v>
      </c>
      <c r="E121" s="10">
        <v>7.8514591999999994E-2</v>
      </c>
      <c r="F121" s="10">
        <v>10.03108351</v>
      </c>
      <c r="G121" s="10">
        <v>10.199049329999999</v>
      </c>
      <c r="H121" s="10">
        <v>10.46800322</v>
      </c>
      <c r="I121" s="10">
        <v>10.947594779999999</v>
      </c>
      <c r="J121" s="10">
        <v>11.52985331</v>
      </c>
      <c r="K121" s="10">
        <v>12.17157684</v>
      </c>
      <c r="L121" s="10">
        <v>12.807613829999999</v>
      </c>
      <c r="M121" s="10">
        <v>13.21817476</v>
      </c>
      <c r="N121" s="10">
        <v>13.49796154</v>
      </c>
    </row>
    <row r="122" spans="1:14" x14ac:dyDescent="0.25">
      <c r="A122" s="10">
        <v>2</v>
      </c>
      <c r="B122" s="10">
        <v>84.5</v>
      </c>
      <c r="C122" s="10">
        <v>-0.86112549500000002</v>
      </c>
      <c r="D122" s="10">
        <v>11.750978720000001</v>
      </c>
      <c r="E122" s="10">
        <v>7.8277371999999998E-2</v>
      </c>
      <c r="F122" s="10">
        <v>10.23000087</v>
      </c>
      <c r="G122" s="10">
        <v>10.400274619999999</v>
      </c>
      <c r="H122" s="10">
        <v>10.67301464</v>
      </c>
      <c r="I122" s="10">
        <v>11.159646520000001</v>
      </c>
      <c r="J122" s="10">
        <v>11.750978720000001</v>
      </c>
      <c r="K122" s="10">
        <v>12.40341329</v>
      </c>
      <c r="L122" s="10">
        <v>13.050844570000001</v>
      </c>
      <c r="M122" s="10">
        <v>13.469190530000001</v>
      </c>
      <c r="N122" s="10">
        <v>13.754481950000001</v>
      </c>
    </row>
    <row r="123" spans="1:14" x14ac:dyDescent="0.25">
      <c r="A123" s="10">
        <v>2</v>
      </c>
      <c r="B123" s="10">
        <v>85.5</v>
      </c>
      <c r="C123" s="10">
        <v>-0.90275587999999996</v>
      </c>
      <c r="D123" s="10">
        <v>11.97253416</v>
      </c>
      <c r="E123" s="10">
        <v>7.8125430999999995E-2</v>
      </c>
      <c r="F123" s="10">
        <v>10.42950375</v>
      </c>
      <c r="G123" s="10">
        <v>10.601903719999999</v>
      </c>
      <c r="H123" s="10">
        <v>10.878221979999999</v>
      </c>
      <c r="I123" s="10">
        <v>11.371786070000001</v>
      </c>
      <c r="J123" s="10">
        <v>11.97253416</v>
      </c>
      <c r="K123" s="10">
        <v>12.636691320000001</v>
      </c>
      <c r="L123" s="10">
        <v>13.297211219999999</v>
      </c>
      <c r="M123" s="10">
        <v>13.72481792</v>
      </c>
      <c r="N123" s="10">
        <v>14.01679695</v>
      </c>
    </row>
    <row r="124" spans="1:14" x14ac:dyDescent="0.25">
      <c r="A124" s="10">
        <v>2</v>
      </c>
      <c r="B124" s="10">
        <v>86.5</v>
      </c>
      <c r="C124" s="10">
        <v>-0.96030895500000002</v>
      </c>
      <c r="D124" s="10">
        <v>12.19478883</v>
      </c>
      <c r="E124" s="10">
        <v>7.8061601999999994E-2</v>
      </c>
      <c r="F124" s="10">
        <v>10.629791279999999</v>
      </c>
      <c r="G124" s="10">
        <v>10.804135349999999</v>
      </c>
      <c r="H124" s="10">
        <v>11.083826370000001</v>
      </c>
      <c r="I124" s="10">
        <v>11.5842315</v>
      </c>
      <c r="J124" s="10">
        <v>12.19478883</v>
      </c>
      <c r="K124" s="10">
        <v>12.87179128</v>
      </c>
      <c r="L124" s="10">
        <v>13.54728098</v>
      </c>
      <c r="M124" s="10">
        <v>13.98579574</v>
      </c>
      <c r="N124" s="10">
        <v>14.285789149999999</v>
      </c>
    </row>
    <row r="125" spans="1:14" x14ac:dyDescent="0.25">
      <c r="A125" s="10">
        <v>2</v>
      </c>
      <c r="B125" s="10">
        <v>87.5</v>
      </c>
      <c r="C125" s="10">
        <v>-1.033704489</v>
      </c>
      <c r="D125" s="10">
        <v>12.41802682</v>
      </c>
      <c r="E125" s="10">
        <v>7.8087088999999998E-2</v>
      </c>
      <c r="F125" s="10">
        <v>10.831061289999999</v>
      </c>
      <c r="G125" s="10">
        <v>11.007174259999999</v>
      </c>
      <c r="H125" s="10">
        <v>11.290043369999999</v>
      </c>
      <c r="I125" s="10">
        <v>11.79722112</v>
      </c>
      <c r="J125" s="10">
        <v>12.41802682</v>
      </c>
      <c r="K125" s="10">
        <v>13.109093530000001</v>
      </c>
      <c r="L125" s="10">
        <v>13.801606769999999</v>
      </c>
      <c r="M125" s="10">
        <v>14.252845280000001</v>
      </c>
      <c r="N125" s="10">
        <v>14.56232653</v>
      </c>
    </row>
    <row r="126" spans="1:14" x14ac:dyDescent="0.25">
      <c r="A126" s="10">
        <v>2</v>
      </c>
      <c r="B126" s="10">
        <v>88.5</v>
      </c>
      <c r="C126" s="10">
        <v>-1.122303405</v>
      </c>
      <c r="D126" s="10">
        <v>12.64254963</v>
      </c>
      <c r="E126" s="10">
        <v>7.8201514999999999E-2</v>
      </c>
      <c r="F126" s="10">
        <v>11.03350713</v>
      </c>
      <c r="G126" s="10">
        <v>11.21122918</v>
      </c>
      <c r="H126" s="10">
        <v>11.49710258</v>
      </c>
      <c r="I126" s="10">
        <v>12.011015280000001</v>
      </c>
      <c r="J126" s="10">
        <v>12.64254963</v>
      </c>
      <c r="K126" s="10">
        <v>13.34897889</v>
      </c>
      <c r="L126" s="10">
        <v>14.060723189999999</v>
      </c>
      <c r="M126" s="10">
        <v>14.526662979999999</v>
      </c>
      <c r="N126" s="10">
        <v>14.847253159999999</v>
      </c>
    </row>
    <row r="127" spans="1:14" x14ac:dyDescent="0.25">
      <c r="A127" s="10">
        <v>2</v>
      </c>
      <c r="B127" s="10">
        <v>89.5</v>
      </c>
      <c r="C127" s="10">
        <v>-1.224887418</v>
      </c>
      <c r="D127" s="10">
        <v>12.868678510000001</v>
      </c>
      <c r="E127" s="10">
        <v>7.8403059999999997E-2</v>
      </c>
      <c r="F127" s="10">
        <v>11.23731521</v>
      </c>
      <c r="G127" s="10">
        <v>11.41651085</v>
      </c>
      <c r="H127" s="10">
        <v>11.705246669999999</v>
      </c>
      <c r="I127" s="10">
        <v>12.22589739</v>
      </c>
      <c r="J127" s="10">
        <v>12.868678510000001</v>
      </c>
      <c r="K127" s="10">
        <v>13.591829669999999</v>
      </c>
      <c r="L127" s="10">
        <v>14.32514317</v>
      </c>
      <c r="M127" s="10">
        <v>14.807913210000001</v>
      </c>
      <c r="N127" s="10">
        <v>15.141379580000001</v>
      </c>
    </row>
    <row r="128" spans="1:14" x14ac:dyDescent="0.25">
      <c r="A128" s="10">
        <v>2</v>
      </c>
      <c r="B128" s="10">
        <v>90.5</v>
      </c>
      <c r="C128" s="10">
        <v>-1.339655646</v>
      </c>
      <c r="D128" s="10">
        <v>13.09675786</v>
      </c>
      <c r="E128" s="10">
        <v>7.8688751000000001E-2</v>
      </c>
      <c r="F128" s="10">
        <v>11.442661960000001</v>
      </c>
      <c r="G128" s="10">
        <v>11.62322932</v>
      </c>
      <c r="H128" s="10">
        <v>11.914729660000001</v>
      </c>
      <c r="I128" s="10">
        <v>12.44217465</v>
      </c>
      <c r="J128" s="10">
        <v>13.09675786</v>
      </c>
      <c r="K128" s="10">
        <v>13.83803305</v>
      </c>
      <c r="L128" s="10">
        <v>14.59535621</v>
      </c>
      <c r="M128" s="10">
        <v>15.097220800000001</v>
      </c>
      <c r="N128" s="10">
        <v>15.44547079</v>
      </c>
    </row>
    <row r="129" spans="1:14" x14ac:dyDescent="0.25">
      <c r="A129" s="10">
        <v>2</v>
      </c>
      <c r="B129" s="10">
        <v>91.5</v>
      </c>
      <c r="C129" s="10">
        <v>-1.464342037</v>
      </c>
      <c r="D129" s="10">
        <v>13.32715202</v>
      </c>
      <c r="E129" s="10">
        <v>7.9054696999999993E-2</v>
      </c>
      <c r="F129" s="10">
        <v>11.649716789999999</v>
      </c>
      <c r="G129" s="10">
        <v>11.83159463</v>
      </c>
      <c r="H129" s="10">
        <v>12.12581512</v>
      </c>
      <c r="I129" s="10">
        <v>12.66017439</v>
      </c>
      <c r="J129" s="10">
        <v>13.32715202</v>
      </c>
      <c r="K129" s="10">
        <v>14.087978919999999</v>
      </c>
      <c r="L129" s="10">
        <v>14.871825490000001</v>
      </c>
      <c r="M129" s="10">
        <v>15.39516617</v>
      </c>
      <c r="N129" s="10">
        <v>15.760239820000001</v>
      </c>
    </row>
    <row r="130" spans="1:14" x14ac:dyDescent="0.25">
      <c r="A130" s="10">
        <v>2</v>
      </c>
      <c r="B130" s="10">
        <v>92.5</v>
      </c>
      <c r="C130" s="10">
        <v>-1.596224732</v>
      </c>
      <c r="D130" s="10">
        <v>13.560251559999999</v>
      </c>
      <c r="E130" s="10">
        <v>7.9496621000000003E-2</v>
      </c>
      <c r="F130" s="10">
        <v>11.85863674</v>
      </c>
      <c r="G130" s="10">
        <v>12.04181213</v>
      </c>
      <c r="H130" s="10">
        <v>12.338772990000001</v>
      </c>
      <c r="I130" s="10">
        <v>12.880245009999999</v>
      </c>
      <c r="J130" s="10">
        <v>13.560251559999999</v>
      </c>
      <c r="K130" s="10">
        <v>14.342068490000001</v>
      </c>
      <c r="L130" s="10">
        <v>15.154990039999999</v>
      </c>
      <c r="M130" s="10">
        <v>15.70227723</v>
      </c>
      <c r="N130" s="10">
        <v>16.086329800000001</v>
      </c>
    </row>
    <row r="131" spans="1:14" x14ac:dyDescent="0.25">
      <c r="A131" s="10">
        <v>2</v>
      </c>
      <c r="B131" s="10">
        <v>93.5</v>
      </c>
      <c r="C131" s="10">
        <v>-1.7323055919999999</v>
      </c>
      <c r="D131" s="10">
        <v>13.79646793</v>
      </c>
      <c r="E131" s="10">
        <v>8.0010179000000001E-2</v>
      </c>
      <c r="F131" s="10">
        <v>12.06957102</v>
      </c>
      <c r="G131" s="10">
        <v>12.25408376</v>
      </c>
      <c r="H131" s="10">
        <v>12.55387711</v>
      </c>
      <c r="I131" s="10">
        <v>13.102750070000001</v>
      </c>
      <c r="J131" s="10">
        <v>13.79646793</v>
      </c>
      <c r="K131" s="10">
        <v>14.6007123</v>
      </c>
      <c r="L131" s="10">
        <v>15.44526407</v>
      </c>
      <c r="M131" s="10">
        <v>16.01902591</v>
      </c>
      <c r="N131" s="10">
        <v>16.424306550000001</v>
      </c>
    </row>
    <row r="132" spans="1:14" x14ac:dyDescent="0.25">
      <c r="A132" s="10">
        <v>2</v>
      </c>
      <c r="B132" s="10">
        <v>94.5</v>
      </c>
      <c r="C132" s="10">
        <v>-1.8694406649999999</v>
      </c>
      <c r="D132" s="10">
        <v>14.03623165</v>
      </c>
      <c r="E132" s="10">
        <v>8.0591345999999994E-2</v>
      </c>
      <c r="F132" s="10">
        <v>12.28266198</v>
      </c>
      <c r="G132" s="10">
        <v>12.46860734</v>
      </c>
      <c r="H132" s="10">
        <v>12.77140239</v>
      </c>
      <c r="I132" s="10">
        <v>13.328064380000001</v>
      </c>
      <c r="J132" s="10">
        <v>14.03623165</v>
      </c>
      <c r="K132" s="10">
        <v>14.86433237</v>
      </c>
      <c r="L132" s="10">
        <v>15.74303877</v>
      </c>
      <c r="M132" s="10">
        <v>16.34582383</v>
      </c>
      <c r="N132" s="10">
        <v>16.77464616</v>
      </c>
    </row>
    <row r="133" spans="1:14" x14ac:dyDescent="0.25">
      <c r="A133" s="10">
        <v>2</v>
      </c>
      <c r="B133" s="10">
        <v>95.5</v>
      </c>
      <c r="C133" s="10">
        <v>-2.0045586929999999</v>
      </c>
      <c r="D133" s="10">
        <v>14.27998232</v>
      </c>
      <c r="E133" s="10">
        <v>8.1236502000000002E-2</v>
      </c>
      <c r="F133" s="10">
        <v>12.49805271</v>
      </c>
      <c r="G133" s="10">
        <v>12.685580310000001</v>
      </c>
      <c r="H133" s="10">
        <v>12.991623369999999</v>
      </c>
      <c r="I133" s="10">
        <v>13.556566139999999</v>
      </c>
      <c r="J133" s="10">
        <v>14.27998232</v>
      </c>
      <c r="K133" s="10">
        <v>15.133355659999999</v>
      </c>
      <c r="L133" s="10">
        <v>16.048680749999999</v>
      </c>
      <c r="M133" s="10">
        <v>16.683021010000001</v>
      </c>
      <c r="N133" s="10">
        <v>17.137730990000001</v>
      </c>
    </row>
    <row r="134" spans="1:14" x14ac:dyDescent="0.25">
      <c r="A134" s="10">
        <v>2</v>
      </c>
      <c r="B134" s="10">
        <v>96.5</v>
      </c>
      <c r="C134" s="10">
        <v>-2.1347641689999999</v>
      </c>
      <c r="D134" s="10">
        <v>14.5281658</v>
      </c>
      <c r="E134" s="10">
        <v>8.1942619999999994E-2</v>
      </c>
      <c r="F134" s="10">
        <v>12.715887670000001</v>
      </c>
      <c r="G134" s="10">
        <v>12.9051993</v>
      </c>
      <c r="H134" s="10">
        <v>13.214812330000001</v>
      </c>
      <c r="I134" s="10">
        <v>13.788633559999999</v>
      </c>
      <c r="J134" s="10">
        <v>14.5281658</v>
      </c>
      <c r="K134" s="10">
        <v>15.40821452</v>
      </c>
      <c r="L134" s="10">
        <v>16.362533849999998</v>
      </c>
      <c r="M134" s="10">
        <v>17.0309025</v>
      </c>
      <c r="N134" s="10">
        <v>17.513837370000001</v>
      </c>
    </row>
    <row r="135" spans="1:14" x14ac:dyDescent="0.25">
      <c r="A135" s="10">
        <v>2</v>
      </c>
      <c r="B135" s="10">
        <v>97.5</v>
      </c>
      <c r="C135" s="10">
        <v>-2.257524917</v>
      </c>
      <c r="D135" s="10">
        <v>14.78122196</v>
      </c>
      <c r="E135" s="10">
        <v>8.2707037999999997E-2</v>
      </c>
      <c r="F135" s="10">
        <v>12.93632124</v>
      </c>
      <c r="G135" s="10">
        <v>13.127665439999999</v>
      </c>
      <c r="H135" s="10">
        <v>13.44123956</v>
      </c>
      <c r="I135" s="10">
        <v>14.02463766</v>
      </c>
      <c r="J135" s="10">
        <v>14.78122196</v>
      </c>
      <c r="K135" s="10">
        <v>15.689335639999999</v>
      </c>
      <c r="L135" s="10">
        <v>16.684914970000001</v>
      </c>
      <c r="M135" s="10">
        <v>17.389688159999999</v>
      </c>
      <c r="N135" s="10">
        <v>17.903135120000002</v>
      </c>
    </row>
    <row r="136" spans="1:14" x14ac:dyDescent="0.25">
      <c r="A136" s="10">
        <v>2</v>
      </c>
      <c r="B136" s="10">
        <v>98.5</v>
      </c>
      <c r="C136" s="10">
        <v>-2.3707622490000002</v>
      </c>
      <c r="D136" s="10">
        <v>15.03957746</v>
      </c>
      <c r="E136" s="10">
        <v>8.3527226999999996E-2</v>
      </c>
      <c r="F136" s="10">
        <v>13.159521760000001</v>
      </c>
      <c r="G136" s="10">
        <v>13.35318702</v>
      </c>
      <c r="H136" s="10">
        <v>13.671173810000001</v>
      </c>
      <c r="I136" s="10">
        <v>14.264938600000001</v>
      </c>
      <c r="J136" s="10">
        <v>15.03957746</v>
      </c>
      <c r="K136" s="10">
        <v>15.977132689999999</v>
      </c>
      <c r="L136" s="10">
        <v>17.01611063</v>
      </c>
      <c r="M136" s="10">
        <v>17.75953058</v>
      </c>
      <c r="N136" s="10">
        <v>18.305682969999999</v>
      </c>
    </row>
    <row r="137" spans="1:14" x14ac:dyDescent="0.25">
      <c r="A137" s="10">
        <v>2</v>
      </c>
      <c r="B137" s="10">
        <v>99.5</v>
      </c>
      <c r="C137" s="10">
        <v>-2.472965302</v>
      </c>
      <c r="D137" s="10">
        <v>15.30363303</v>
      </c>
      <c r="E137" s="10">
        <v>8.4400264000000003E-2</v>
      </c>
      <c r="F137" s="10">
        <v>13.385680430000001</v>
      </c>
      <c r="G137" s="10">
        <v>13.58198599</v>
      </c>
      <c r="H137" s="10">
        <v>13.904884600000001</v>
      </c>
      <c r="I137" s="10">
        <v>14.509880559999999</v>
      </c>
      <c r="J137" s="10">
        <v>15.30363303</v>
      </c>
      <c r="K137" s="10">
        <v>16.271990899999999</v>
      </c>
      <c r="L137" s="10">
        <v>17.356367819999999</v>
      </c>
      <c r="M137" s="10">
        <v>18.14051413</v>
      </c>
      <c r="N137" s="10">
        <v>18.721433040000001</v>
      </c>
    </row>
    <row r="138" spans="1:14" x14ac:dyDescent="0.25">
      <c r="A138" s="10">
        <v>2</v>
      </c>
      <c r="B138" s="10">
        <v>100.5</v>
      </c>
      <c r="C138" s="10">
        <v>-2.5631404249999998</v>
      </c>
      <c r="D138" s="10">
        <v>15.573763400000001</v>
      </c>
      <c r="E138" s="10">
        <v>8.5322653999999998E-2</v>
      </c>
      <c r="F138" s="10">
        <v>13.615009349999999</v>
      </c>
      <c r="G138" s="10">
        <v>13.814297209999999</v>
      </c>
      <c r="H138" s="10">
        <v>14.14264285</v>
      </c>
      <c r="I138" s="10">
        <v>14.759793</v>
      </c>
      <c r="J138" s="10">
        <v>15.573763400000001</v>
      </c>
      <c r="K138" s="10">
        <v>16.574264450000001</v>
      </c>
      <c r="L138" s="10">
        <v>17.705890069999999</v>
      </c>
      <c r="M138" s="10">
        <v>18.532649800000002</v>
      </c>
      <c r="N138" s="10">
        <v>19.15022213</v>
      </c>
    </row>
    <row r="139" spans="1:14" x14ac:dyDescent="0.25">
      <c r="A139" s="10">
        <v>2</v>
      </c>
      <c r="B139" s="10">
        <v>101.5</v>
      </c>
      <c r="C139" s="10">
        <v>-2.6408739369999998</v>
      </c>
      <c r="D139" s="10">
        <v>15.850304299999999</v>
      </c>
      <c r="E139" s="10">
        <v>8.6289668E-2</v>
      </c>
      <c r="F139" s="10">
        <v>13.84775164</v>
      </c>
      <c r="G139" s="10">
        <v>14.05037619</v>
      </c>
      <c r="H139" s="10">
        <v>14.38472456</v>
      </c>
      <c r="I139" s="10">
        <v>15.014986690000001</v>
      </c>
      <c r="J139" s="10">
        <v>15.850304299999999</v>
      </c>
      <c r="K139" s="10">
        <v>16.884257529999999</v>
      </c>
      <c r="L139" s="10">
        <v>18.06482316</v>
      </c>
      <c r="M139" s="10">
        <v>18.935872809999999</v>
      </c>
      <c r="N139" s="10">
        <v>19.591781739999998</v>
      </c>
    </row>
    <row r="140" spans="1:14" x14ac:dyDescent="0.25">
      <c r="A140" s="10">
        <v>2</v>
      </c>
      <c r="B140" s="10">
        <v>102.5</v>
      </c>
      <c r="C140" s="10">
        <v>-2.7061788990000002</v>
      </c>
      <c r="D140" s="10">
        <v>16.133559300000002</v>
      </c>
      <c r="E140" s="10">
        <v>8.7295416000000001E-2</v>
      </c>
      <c r="F140" s="10">
        <v>14.08417388</v>
      </c>
      <c r="G140" s="10">
        <v>14.290494539999999</v>
      </c>
      <c r="H140" s="10">
        <v>14.631410369999999</v>
      </c>
      <c r="I140" s="10">
        <v>15.27575841</v>
      </c>
      <c r="J140" s="10">
        <v>16.133559300000002</v>
      </c>
      <c r="K140" s="10">
        <v>17.202228609999999</v>
      </c>
      <c r="L140" s="10">
        <v>18.433252899999999</v>
      </c>
      <c r="M140" s="10">
        <v>19.350034409999999</v>
      </c>
      <c r="N140" s="10">
        <v>20.045723819999999</v>
      </c>
    </row>
    <row r="141" spans="1:14" x14ac:dyDescent="0.25">
      <c r="A141" s="10">
        <v>2</v>
      </c>
      <c r="B141" s="10">
        <v>103.5</v>
      </c>
      <c r="C141" s="10">
        <v>-2.759500412</v>
      </c>
      <c r="D141" s="10">
        <v>16.423790369999999</v>
      </c>
      <c r="E141" s="10">
        <v>8.8332358E-2</v>
      </c>
      <c r="F141" s="10">
        <v>14.32457385</v>
      </c>
      <c r="G141" s="10">
        <v>14.53494603</v>
      </c>
      <c r="H141" s="10">
        <v>14.88298893</v>
      </c>
      <c r="I141" s="10">
        <v>15.54238872</v>
      </c>
      <c r="J141" s="10">
        <v>16.423790369999999</v>
      </c>
      <c r="K141" s="10">
        <v>17.528374620000001</v>
      </c>
      <c r="L141" s="10">
        <v>18.8111906</v>
      </c>
      <c r="M141" s="10">
        <v>19.77489735</v>
      </c>
      <c r="N141" s="10">
        <v>20.511549250000002</v>
      </c>
    </row>
    <row r="142" spans="1:14" x14ac:dyDescent="0.25">
      <c r="A142" s="10">
        <v>2</v>
      </c>
      <c r="B142" s="10">
        <v>104.5</v>
      </c>
      <c r="C142" s="10">
        <v>-2.8015788929999998</v>
      </c>
      <c r="D142" s="10">
        <v>16.721223080000001</v>
      </c>
      <c r="E142" s="10">
        <v>8.9391425999999996E-2</v>
      </c>
      <c r="F142" s="10">
        <v>14.56927503</v>
      </c>
      <c r="G142" s="10">
        <v>14.784043309999999</v>
      </c>
      <c r="H142" s="10">
        <v>15.139756439999999</v>
      </c>
      <c r="I142" s="10">
        <v>15.8151455</v>
      </c>
      <c r="J142" s="10">
        <v>16.721223080000001</v>
      </c>
      <c r="K142" s="10">
        <v>17.862833429999998</v>
      </c>
      <c r="L142" s="10">
        <v>19.1985691</v>
      </c>
      <c r="M142" s="10">
        <v>20.210127310000001</v>
      </c>
      <c r="N142" s="10">
        <v>20.988636960000001</v>
      </c>
    </row>
    <row r="143" spans="1:14" x14ac:dyDescent="0.25">
      <c r="A143" s="10">
        <v>2</v>
      </c>
      <c r="B143" s="10">
        <v>105.5</v>
      </c>
      <c r="C143" s="10">
        <v>-2.8333760689999998</v>
      </c>
      <c r="D143" s="10">
        <v>17.026046170000001</v>
      </c>
      <c r="E143" s="10">
        <v>9.0461996000000003E-2</v>
      </c>
      <c r="F143" s="10">
        <v>14.81862634</v>
      </c>
      <c r="G143" s="10">
        <v>15.03811803</v>
      </c>
      <c r="H143" s="10">
        <v>15.40201748</v>
      </c>
      <c r="I143" s="10">
        <v>16.094284850000001</v>
      </c>
      <c r="J143" s="10">
        <v>17.026046170000001</v>
      </c>
      <c r="K143" s="10">
        <v>18.20567994</v>
      </c>
      <c r="L143" s="10">
        <v>19.5952351</v>
      </c>
      <c r="M143" s="10">
        <v>20.65528582</v>
      </c>
      <c r="N143" s="10">
        <v>21.476240480000001</v>
      </c>
    </row>
    <row r="144" spans="1:14" x14ac:dyDescent="0.25">
      <c r="A144" s="10">
        <v>2</v>
      </c>
      <c r="B144" s="10">
        <v>106.5</v>
      </c>
      <c r="C144" s="10">
        <v>-2.8559871979999998</v>
      </c>
      <c r="D144" s="10">
        <v>17.338413689999999</v>
      </c>
      <c r="E144" s="10">
        <v>9.1532009999999997E-2</v>
      </c>
      <c r="F144" s="10">
        <v>15.07299942</v>
      </c>
      <c r="G144" s="10">
        <v>15.297519149999999</v>
      </c>
      <c r="H144" s="10">
        <v>15.670084640000001</v>
      </c>
      <c r="I144" s="10">
        <v>16.380052719999998</v>
      </c>
      <c r="J144" s="10">
        <v>17.338413689999999</v>
      </c>
      <c r="K144" s="10">
        <v>18.55692603</v>
      </c>
      <c r="L144" s="10">
        <v>20.00094429</v>
      </c>
      <c r="M144" s="10">
        <v>21.109822479999998</v>
      </c>
      <c r="N144" s="10">
        <v>21.97348019</v>
      </c>
    </row>
    <row r="145" spans="1:14" x14ac:dyDescent="0.25">
      <c r="A145" s="10">
        <v>2</v>
      </c>
      <c r="B145" s="10">
        <v>107.5</v>
      </c>
      <c r="C145" s="10">
        <v>-2.870584724</v>
      </c>
      <c r="D145" s="10">
        <v>17.658444859999999</v>
      </c>
      <c r="E145" s="10">
        <v>9.2588053000000003E-2</v>
      </c>
      <c r="F145" s="10">
        <v>15.332788130000001</v>
      </c>
      <c r="G145" s="10">
        <v>15.56261274</v>
      </c>
      <c r="H145" s="10">
        <v>15.94427872</v>
      </c>
      <c r="I145" s="10">
        <v>16.672685260000002</v>
      </c>
      <c r="J145" s="10">
        <v>17.658444859999999</v>
      </c>
      <c r="K145" s="10">
        <v>18.916518020000002</v>
      </c>
      <c r="L145" s="10">
        <v>20.415355160000001</v>
      </c>
      <c r="M145" s="10">
        <v>21.573067930000001</v>
      </c>
      <c r="N145" s="10">
        <v>22.479338460000001</v>
      </c>
    </row>
    <row r="146" spans="1:14" x14ac:dyDescent="0.25">
      <c r="A146" s="10">
        <v>2</v>
      </c>
      <c r="B146" s="10">
        <v>108.5</v>
      </c>
      <c r="C146" s="10">
        <v>-2.8783411970000001</v>
      </c>
      <c r="D146" s="10">
        <v>17.986227849999999</v>
      </c>
      <c r="E146" s="10">
        <v>9.3615621999999996E-2</v>
      </c>
      <c r="F146" s="10">
        <v>15.59840399</v>
      </c>
      <c r="G146" s="10">
        <v>15.83377861</v>
      </c>
      <c r="H146" s="10">
        <v>16.224927300000001</v>
      </c>
      <c r="I146" s="10">
        <v>16.97241047</v>
      </c>
      <c r="J146" s="10">
        <v>17.986227849999999</v>
      </c>
      <c r="K146" s="10">
        <v>19.284340060000002</v>
      </c>
      <c r="L146" s="10">
        <v>20.838027459999999</v>
      </c>
      <c r="M146" s="10">
        <v>22.04422649</v>
      </c>
      <c r="N146" s="10">
        <v>22.99264818</v>
      </c>
    </row>
    <row r="147" spans="1:14" x14ac:dyDescent="0.25">
      <c r="A147" s="10">
        <v>2</v>
      </c>
      <c r="B147" s="10">
        <v>109.5</v>
      </c>
      <c r="C147" s="10">
        <v>-2.8804048230000001</v>
      </c>
      <c r="D147" s="10">
        <v>18.32181829</v>
      </c>
      <c r="E147" s="10">
        <v>9.4599184000000003E-2</v>
      </c>
      <c r="F147" s="10">
        <v>15.87027673</v>
      </c>
      <c r="G147" s="10">
        <v>16.111410790000001</v>
      </c>
      <c r="H147" s="10">
        <v>16.512364900000001</v>
      </c>
      <c r="I147" s="10">
        <v>17.279447690000001</v>
      </c>
      <c r="J147" s="10">
        <v>18.32181829</v>
      </c>
      <c r="K147" s="10">
        <v>19.66021061</v>
      </c>
      <c r="L147" s="10">
        <v>21.2684158</v>
      </c>
      <c r="M147" s="10">
        <v>22.5223689</v>
      </c>
      <c r="N147" s="10">
        <v>23.51208703</v>
      </c>
    </row>
    <row r="148" spans="1:14" x14ac:dyDescent="0.25">
      <c r="A148" s="10">
        <v>2</v>
      </c>
      <c r="B148" s="10">
        <v>110.5</v>
      </c>
      <c r="C148" s="10">
        <v>-2.877853767</v>
      </c>
      <c r="D148" s="10">
        <v>18.665241940000001</v>
      </c>
      <c r="E148" s="10">
        <v>9.5522441999999999E-2</v>
      </c>
      <c r="F148" s="10">
        <v>16.148850450000001</v>
      </c>
      <c r="G148" s="10">
        <v>16.395914479999998</v>
      </c>
      <c r="H148" s="10">
        <v>16.80693136</v>
      </c>
      <c r="I148" s="10">
        <v>17.594008299999999</v>
      </c>
      <c r="J148" s="10">
        <v>18.665241940000001</v>
      </c>
      <c r="K148" s="10">
        <v>20.043885379999999</v>
      </c>
      <c r="L148" s="10">
        <v>21.705869400000001</v>
      </c>
      <c r="M148" s="10">
        <v>23.006427370000001</v>
      </c>
      <c r="N148" s="10">
        <v>24.036168809999999</v>
      </c>
    </row>
    <row r="149" spans="1:14" x14ac:dyDescent="0.25">
      <c r="A149" s="10">
        <v>2</v>
      </c>
      <c r="B149" s="10">
        <v>111.5</v>
      </c>
      <c r="C149" s="10">
        <v>-2.8716765839999998</v>
      </c>
      <c r="D149" s="10">
        <v>19.016494569999999</v>
      </c>
      <c r="E149" s="10">
        <v>9.6368447999999995E-2</v>
      </c>
      <c r="F149" s="10">
        <v>16.434582559999999</v>
      </c>
      <c r="G149" s="10">
        <v>16.687705300000001</v>
      </c>
      <c r="H149" s="10">
        <v>17.108971350000001</v>
      </c>
      <c r="I149" s="10">
        <v>17.916295590000001</v>
      </c>
      <c r="J149" s="10">
        <v>19.016494569999999</v>
      </c>
      <c r="K149" s="10">
        <v>20.435056169999999</v>
      </c>
      <c r="L149" s="10">
        <v>22.14962753</v>
      </c>
      <c r="M149" s="10">
        <v>23.495187649999998</v>
      </c>
      <c r="N149" s="10">
        <v>24.563233140000001</v>
      </c>
    </row>
    <row r="150" spans="1:14" x14ac:dyDescent="0.25">
      <c r="A150" s="10">
        <v>2</v>
      </c>
      <c r="B150" s="10">
        <v>112.5</v>
      </c>
      <c r="C150" s="10">
        <v>-2.8627746599999999</v>
      </c>
      <c r="D150" s="10">
        <v>19.375539570000001</v>
      </c>
      <c r="E150" s="10">
        <v>9.7119646000000004E-2</v>
      </c>
      <c r="F150" s="10">
        <v>16.727944829999998</v>
      </c>
      <c r="G150" s="10">
        <v>16.987209839999998</v>
      </c>
      <c r="H150" s="10">
        <v>17.41883434</v>
      </c>
      <c r="I150" s="10">
        <v>18.24650364</v>
      </c>
      <c r="J150" s="10">
        <v>19.375539570000001</v>
      </c>
      <c r="K150" s="10">
        <v>20.833346899999999</v>
      </c>
      <c r="L150" s="10">
        <v>22.59881442</v>
      </c>
      <c r="M150" s="10">
        <v>23.98728419</v>
      </c>
      <c r="N150" s="10">
        <v>25.091442749999999</v>
      </c>
    </row>
    <row r="151" spans="1:14" x14ac:dyDescent="0.25">
      <c r="A151" s="10">
        <v>2</v>
      </c>
      <c r="B151" s="10">
        <v>113.5</v>
      </c>
      <c r="C151" s="10">
        <v>-2.8519150039999999</v>
      </c>
      <c r="D151" s="10">
        <v>19.74231348</v>
      </c>
      <c r="E151" s="10">
        <v>9.7758210999999998E-2</v>
      </c>
      <c r="F151" s="10">
        <v>17.029416479999998</v>
      </c>
      <c r="G151" s="10">
        <v>17.294860459999999</v>
      </c>
      <c r="H151" s="10">
        <v>17.736871910000001</v>
      </c>
      <c r="I151" s="10">
        <v>18.584818840000001</v>
      </c>
      <c r="J151" s="10">
        <v>19.74231348</v>
      </c>
      <c r="K151" s="10">
        <v>21.23832075</v>
      </c>
      <c r="L151" s="10">
        <v>23.052441689999998</v>
      </c>
      <c r="M151" s="10">
        <v>24.481193470000001</v>
      </c>
      <c r="N151" s="10">
        <v>25.61876629</v>
      </c>
    </row>
    <row r="152" spans="1:14" x14ac:dyDescent="0.25">
      <c r="A152" s="10">
        <v>2</v>
      </c>
      <c r="B152" s="10">
        <v>114.5</v>
      </c>
      <c r="C152" s="10">
        <v>-2.839760032</v>
      </c>
      <c r="D152" s="10">
        <v>20.116720140000002</v>
      </c>
      <c r="E152" s="10">
        <v>9.8265915999999995E-2</v>
      </c>
      <c r="F152" s="10">
        <v>17.33948852</v>
      </c>
      <c r="G152" s="10">
        <v>17.611098349999999</v>
      </c>
      <c r="H152" s="10">
        <v>18.063438909999999</v>
      </c>
      <c r="I152" s="10">
        <v>18.931417790000001</v>
      </c>
      <c r="J152" s="10">
        <v>20.116720140000002</v>
      </c>
      <c r="K152" s="10">
        <v>21.649471330000001</v>
      </c>
      <c r="L152" s="10">
        <v>23.509399389999999</v>
      </c>
      <c r="M152" s="10">
        <v>24.975228730000001</v>
      </c>
      <c r="N152" s="10">
        <v>26.142979629999999</v>
      </c>
    </row>
    <row r="153" spans="1:14" x14ac:dyDescent="0.25">
      <c r="A153" s="10">
        <v>2</v>
      </c>
      <c r="B153" s="10">
        <v>115.5</v>
      </c>
      <c r="C153" s="10">
        <v>-2.8268241889999999</v>
      </c>
      <c r="D153" s="10">
        <v>20.498636300000001</v>
      </c>
      <c r="E153" s="10">
        <v>9.8624433999999997E-2</v>
      </c>
      <c r="F153" s="10">
        <v>17.65865664</v>
      </c>
      <c r="G153" s="10">
        <v>17.936368250000001</v>
      </c>
      <c r="H153" s="10">
        <v>18.398890810000001</v>
      </c>
      <c r="I153" s="10">
        <v>19.28646882</v>
      </c>
      <c r="J153" s="10">
        <v>20.498636300000001</v>
      </c>
      <c r="K153" s="10">
        <v>22.066229669999998</v>
      </c>
      <c r="L153" s="10">
        <v>23.968458349999999</v>
      </c>
      <c r="M153" s="10">
        <v>25.467533580000001</v>
      </c>
      <c r="N153" s="10">
        <v>26.66164921</v>
      </c>
    </row>
    <row r="154" spans="1:14" x14ac:dyDescent="0.25">
      <c r="A154" s="10">
        <v>2</v>
      </c>
      <c r="B154" s="10">
        <v>116.5</v>
      </c>
      <c r="C154" s="10">
        <v>-2.813480089</v>
      </c>
      <c r="D154" s="10">
        <v>20.887909140000001</v>
      </c>
      <c r="E154" s="10">
        <v>9.881529E-2</v>
      </c>
      <c r="F154" s="10">
        <v>17.98742223</v>
      </c>
      <c r="G154" s="10">
        <v>18.27111906</v>
      </c>
      <c r="H154" s="10">
        <v>18.74358385</v>
      </c>
      <c r="I154" s="10">
        <v>19.650131219999999</v>
      </c>
      <c r="J154" s="10">
        <v>20.887909140000001</v>
      </c>
      <c r="K154" s="10">
        <v>22.487959669999999</v>
      </c>
      <c r="L154" s="10">
        <v>24.42826397</v>
      </c>
      <c r="M154" s="10">
        <v>25.95607618</v>
      </c>
      <c r="N154" s="10">
        <v>27.17212889</v>
      </c>
    </row>
    <row r="155" spans="1:14" x14ac:dyDescent="0.25">
      <c r="A155" s="10">
        <v>2</v>
      </c>
      <c r="B155" s="10">
        <v>117.5</v>
      </c>
      <c r="C155" s="10">
        <v>-2.7999245859999999</v>
      </c>
      <c r="D155" s="10">
        <v>21.284359649999999</v>
      </c>
      <c r="E155" s="10">
        <v>9.8820000000000005E-2</v>
      </c>
      <c r="F155" s="10">
        <v>18.32628747</v>
      </c>
      <c r="G155" s="10">
        <v>18.615800270000001</v>
      </c>
      <c r="H155" s="10">
        <v>19.097873379999999</v>
      </c>
      <c r="I155" s="10">
        <v>20.022556349999999</v>
      </c>
      <c r="J155" s="10">
        <v>21.284359649999999</v>
      </c>
      <c r="K155" s="10">
        <v>22.913961319999999</v>
      </c>
      <c r="L155" s="10">
        <v>24.887335199999999</v>
      </c>
      <c r="M155" s="10">
        <v>26.43864271</v>
      </c>
      <c r="N155" s="10">
        <v>27.671548219999998</v>
      </c>
    </row>
    <row r="156" spans="1:14" x14ac:dyDescent="0.25">
      <c r="A156" s="10">
        <v>2</v>
      </c>
      <c r="B156" s="10">
        <v>118.5</v>
      </c>
      <c r="C156" s="10">
        <v>-2.786142221</v>
      </c>
      <c r="D156" s="10">
        <v>21.687785399999999</v>
      </c>
      <c r="E156" s="10">
        <v>9.8620142999999993E-2</v>
      </c>
      <c r="F156" s="10">
        <v>18.67575115</v>
      </c>
      <c r="G156" s="10">
        <v>18.970859069999999</v>
      </c>
      <c r="H156" s="10">
        <v>19.46211272</v>
      </c>
      <c r="I156" s="10">
        <v>20.403889070000002</v>
      </c>
      <c r="J156" s="10">
        <v>21.687785399999999</v>
      </c>
      <c r="K156" s="10">
        <v>23.343472380000001</v>
      </c>
      <c r="L156" s="10">
        <v>25.344061790000001</v>
      </c>
      <c r="M156" s="10">
        <v>26.91283039</v>
      </c>
      <c r="N156" s="10">
        <v>28.156803180000001</v>
      </c>
    </row>
    <row r="157" spans="1:14" x14ac:dyDescent="0.25">
      <c r="A157" s="10">
        <v>2</v>
      </c>
      <c r="B157" s="10">
        <v>119.5</v>
      </c>
      <c r="C157" s="10">
        <v>-2.771843402</v>
      </c>
      <c r="D157" s="10">
        <v>22.09796571</v>
      </c>
      <c r="E157" s="10">
        <v>9.8197431000000002E-2</v>
      </c>
      <c r="F157" s="10">
        <v>19.036302280000001</v>
      </c>
      <c r="G157" s="10">
        <v>19.336735860000001</v>
      </c>
      <c r="H157" s="10">
        <v>19.836651639999999</v>
      </c>
      <c r="I157" s="10">
        <v>20.79427025</v>
      </c>
      <c r="J157" s="10">
        <v>22.09796571</v>
      </c>
      <c r="K157" s="10">
        <v>23.775672190000002</v>
      </c>
      <c r="L157" s="10">
        <v>25.796701939999998</v>
      </c>
      <c r="M157" s="10">
        <v>27.376039729999999</v>
      </c>
      <c r="N157" s="10">
        <v>28.62454542</v>
      </c>
    </row>
    <row r="158" spans="1:14" x14ac:dyDescent="0.25">
      <c r="A158" s="10">
        <v>2</v>
      </c>
      <c r="B158" s="10">
        <v>120.5</v>
      </c>
      <c r="C158" s="10">
        <v>-2.7563655950000001</v>
      </c>
      <c r="D158" s="10">
        <v>22.514669770000001</v>
      </c>
      <c r="E158" s="10">
        <v>9.7533788999999996E-2</v>
      </c>
      <c r="F158" s="10">
        <v>19.4084109</v>
      </c>
      <c r="G158" s="10">
        <v>19.71385824</v>
      </c>
      <c r="H158" s="10">
        <v>20.22183471</v>
      </c>
      <c r="I158" s="10">
        <v>21.193841339999999</v>
      </c>
      <c r="J158" s="10">
        <v>22.514669770000001</v>
      </c>
      <c r="K158" s="10">
        <v>24.209687939999998</v>
      </c>
      <c r="L158" s="10">
        <v>26.24338024</v>
      </c>
      <c r="M158" s="10">
        <v>27.825465269999999</v>
      </c>
      <c r="N158" s="10">
        <v>29.071170049999999</v>
      </c>
    </row>
    <row r="159" spans="1:14" x14ac:dyDescent="0.25">
      <c r="A159" s="10">
        <v>2</v>
      </c>
      <c r="B159" s="10">
        <v>121.5</v>
      </c>
      <c r="C159" s="10">
        <v>-2.7385148830000001</v>
      </c>
      <c r="D159" s="10">
        <v>22.937669710000002</v>
      </c>
      <c r="E159" s="10">
        <v>9.6611429999999998E-2</v>
      </c>
      <c r="F159" s="10">
        <v>19.79251446</v>
      </c>
      <c r="G159" s="10">
        <v>20.102632079999999</v>
      </c>
      <c r="H159" s="10">
        <v>20.617999350000002</v>
      </c>
      <c r="I159" s="10">
        <v>21.6027518</v>
      </c>
      <c r="J159" s="10">
        <v>22.937669710000002</v>
      </c>
      <c r="K159" s="10">
        <v>24.644604730000001</v>
      </c>
      <c r="L159" s="10">
        <v>26.682085489999999</v>
      </c>
      <c r="M159" s="10">
        <v>28.258084289999999</v>
      </c>
      <c r="N159" s="10">
        <v>29.492801249999999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4B981-2DDD-45E7-8F22-CD61B28D45DB}">
  <sheetPr codeName="Sheet3"/>
  <dimension ref="A1:O79"/>
  <sheetViews>
    <sheetView workbookViewId="0">
      <selection activeCell="C9" sqref="C9"/>
    </sheetView>
  </sheetViews>
  <sheetFormatPr defaultRowHeight="13.2" x14ac:dyDescent="0.25"/>
  <cols>
    <col min="1" max="1" width="8.88671875" style="10"/>
    <col min="2" max="2" width="9.88671875" style="10" customWidth="1"/>
    <col min="3" max="16384" width="8.88671875" style="10"/>
  </cols>
  <sheetData>
    <row r="1" spans="1:14" x14ac:dyDescent="0.25">
      <c r="A1" s="10" t="s">
        <v>2</v>
      </c>
      <c r="B1" s="13" t="s">
        <v>32</v>
      </c>
      <c r="C1" s="10" t="s">
        <v>3</v>
      </c>
      <c r="D1" s="10" t="s">
        <v>4</v>
      </c>
      <c r="E1" s="10" t="s">
        <v>5</v>
      </c>
      <c r="F1" s="10" t="s">
        <v>6</v>
      </c>
      <c r="G1" s="10" t="s">
        <v>7</v>
      </c>
      <c r="H1" s="10" t="s">
        <v>8</v>
      </c>
      <c r="I1" s="10" t="s">
        <v>9</v>
      </c>
      <c r="J1" s="10" t="s">
        <v>10</v>
      </c>
      <c r="K1" s="10" t="s">
        <v>11</v>
      </c>
      <c r="L1" s="10" t="s">
        <v>12</v>
      </c>
      <c r="M1" s="10" t="s">
        <v>13</v>
      </c>
      <c r="N1" s="10" t="s">
        <v>14</v>
      </c>
    </row>
    <row r="2" spans="1:14" x14ac:dyDescent="0.25">
      <c r="A2" s="10">
        <v>1</v>
      </c>
      <c r="B2" s="13">
        <v>0</v>
      </c>
      <c r="C2" s="10">
        <v>4.4278250369999999</v>
      </c>
      <c r="D2" s="10">
        <v>35.81366835</v>
      </c>
      <c r="E2" s="10">
        <v>5.2172542000000002E-2</v>
      </c>
      <c r="F2" s="10">
        <v>31.487623209999999</v>
      </c>
      <c r="G2" s="10">
        <v>32.148811049999999</v>
      </c>
      <c r="H2" s="10">
        <v>33.083894919999999</v>
      </c>
      <c r="I2" s="10">
        <v>34.469518030000003</v>
      </c>
      <c r="J2" s="10">
        <v>35.81366835</v>
      </c>
      <c r="K2" s="10">
        <v>37.004261960000001</v>
      </c>
      <c r="L2" s="10">
        <v>37.973794210000001</v>
      </c>
      <c r="M2" s="10">
        <v>38.515740000000001</v>
      </c>
      <c r="N2" s="10">
        <v>38.854172169999998</v>
      </c>
    </row>
    <row r="3" spans="1:14" x14ac:dyDescent="0.25">
      <c r="A3" s="10">
        <v>1</v>
      </c>
      <c r="B3" s="13">
        <v>4.1666666666666664E-2</v>
      </c>
      <c r="C3" s="10">
        <v>4.3109274639999997</v>
      </c>
      <c r="D3" s="10">
        <v>37.193610540000002</v>
      </c>
      <c r="E3" s="10">
        <v>4.7259148000000001E-2</v>
      </c>
      <c r="F3" s="10">
        <v>33.25005839</v>
      </c>
      <c r="G3" s="10">
        <v>33.833915750000003</v>
      </c>
      <c r="H3" s="10">
        <v>34.672527170000002</v>
      </c>
      <c r="I3" s="10">
        <v>35.939867710000001</v>
      </c>
      <c r="J3" s="10">
        <v>37.193610540000002</v>
      </c>
      <c r="K3" s="10">
        <v>38.321254799999998</v>
      </c>
      <c r="L3" s="10">
        <v>39.249885020000001</v>
      </c>
      <c r="M3" s="10">
        <v>39.772615649999999</v>
      </c>
      <c r="N3" s="10">
        <v>40.100284449999997</v>
      </c>
    </row>
    <row r="4" spans="1:14" x14ac:dyDescent="0.25">
      <c r="A4" s="10">
        <v>1</v>
      </c>
      <c r="B4" s="13">
        <v>0.125</v>
      </c>
      <c r="C4" s="10">
        <v>3.8695768020000001</v>
      </c>
      <c r="D4" s="10">
        <v>39.20742929</v>
      </c>
      <c r="E4" s="10">
        <v>4.0947903000000001E-2</v>
      </c>
      <c r="F4" s="10">
        <v>35.781262269999999</v>
      </c>
      <c r="G4" s="10">
        <v>36.264276029999998</v>
      </c>
      <c r="H4" s="10">
        <v>36.973768450000001</v>
      </c>
      <c r="I4" s="10">
        <v>38.078776070000004</v>
      </c>
      <c r="J4" s="10">
        <v>39.20742929</v>
      </c>
      <c r="K4" s="10">
        <v>40.249867500000001</v>
      </c>
      <c r="L4" s="10">
        <v>41.126050489999997</v>
      </c>
      <c r="M4" s="10">
        <v>41.625814149999997</v>
      </c>
      <c r="N4" s="10">
        <v>41.941378729999997</v>
      </c>
    </row>
    <row r="5" spans="1:14" x14ac:dyDescent="0.25">
      <c r="A5" s="10">
        <v>1</v>
      </c>
      <c r="B5" s="13">
        <v>0.20833333333333334</v>
      </c>
      <c r="C5" s="10">
        <v>3.3055930390000001</v>
      </c>
      <c r="D5" s="10">
        <v>40.652331949999997</v>
      </c>
      <c r="E5" s="10">
        <v>3.7027721999999999E-2</v>
      </c>
      <c r="F5" s="10">
        <v>37.558797480000003</v>
      </c>
      <c r="G5" s="10">
        <v>37.97958783</v>
      </c>
      <c r="H5" s="10">
        <v>38.607244289999997</v>
      </c>
      <c r="I5" s="10">
        <v>39.60636994</v>
      </c>
      <c r="J5" s="10">
        <v>40.652331949999997</v>
      </c>
      <c r="K5" s="10">
        <v>41.639679440000002</v>
      </c>
      <c r="L5" s="10">
        <v>42.484355039999997</v>
      </c>
      <c r="M5" s="10">
        <v>42.97189144</v>
      </c>
      <c r="N5" s="10">
        <v>43.281807749999999</v>
      </c>
    </row>
    <row r="6" spans="1:14" x14ac:dyDescent="0.25">
      <c r="A6" s="10">
        <v>1</v>
      </c>
      <c r="B6" s="13">
        <v>0.29166666666666669</v>
      </c>
      <c r="C6" s="10">
        <v>2.7205902970000002</v>
      </c>
      <c r="D6" s="10">
        <v>41.765169589999999</v>
      </c>
      <c r="E6" s="10">
        <v>3.4364245000000002E-2</v>
      </c>
      <c r="F6" s="10">
        <v>38.89944028</v>
      </c>
      <c r="G6" s="10">
        <v>39.27893049</v>
      </c>
      <c r="H6" s="10">
        <v>39.851228050000003</v>
      </c>
      <c r="I6" s="10">
        <v>40.77712846</v>
      </c>
      <c r="J6" s="10">
        <v>41.765169589999999</v>
      </c>
      <c r="K6" s="10">
        <v>42.714549519999998</v>
      </c>
      <c r="L6" s="10">
        <v>43.539016199999999</v>
      </c>
      <c r="M6" s="10">
        <v>44.019844540000001</v>
      </c>
      <c r="N6" s="10">
        <v>44.327332300000002</v>
      </c>
    </row>
    <row r="7" spans="1:14" x14ac:dyDescent="0.25">
      <c r="A7" s="10">
        <v>1</v>
      </c>
      <c r="B7" s="13">
        <v>0.375</v>
      </c>
      <c r="C7" s="10">
        <v>2.1680482400000001</v>
      </c>
      <c r="D7" s="10">
        <v>42.661161479999997</v>
      </c>
      <c r="E7" s="10">
        <v>3.2462175000000003E-2</v>
      </c>
      <c r="F7" s="10">
        <v>39.956733</v>
      </c>
      <c r="G7" s="10">
        <v>40.307655560000001</v>
      </c>
      <c r="H7" s="10">
        <v>40.841135800000004</v>
      </c>
      <c r="I7" s="10">
        <v>41.714833669999997</v>
      </c>
      <c r="J7" s="10">
        <v>42.661161479999997</v>
      </c>
      <c r="K7" s="10">
        <v>43.583582669999998</v>
      </c>
      <c r="L7" s="10">
        <v>44.394715349999998</v>
      </c>
      <c r="M7" s="10">
        <v>44.871972839999998</v>
      </c>
      <c r="N7" s="10">
        <v>45.178769459999998</v>
      </c>
    </row>
    <row r="8" spans="1:14" x14ac:dyDescent="0.25">
      <c r="A8" s="10">
        <v>1</v>
      </c>
      <c r="B8" s="13">
        <v>0.45833333333333331</v>
      </c>
      <c r="C8" s="10">
        <v>1.6754656889999999</v>
      </c>
      <c r="D8" s="10">
        <v>43.404887309999999</v>
      </c>
      <c r="E8" s="10">
        <v>3.1064702E-2</v>
      </c>
      <c r="F8" s="10">
        <v>40.816423800000003</v>
      </c>
      <c r="G8" s="10">
        <v>41.147142680000002</v>
      </c>
      <c r="H8" s="10">
        <v>41.652905629999999</v>
      </c>
      <c r="I8" s="10">
        <v>42.488888719999999</v>
      </c>
      <c r="J8" s="10">
        <v>43.404887309999999</v>
      </c>
      <c r="K8" s="10">
        <v>44.308010000000003</v>
      </c>
      <c r="L8" s="10">
        <v>45.110343350000001</v>
      </c>
      <c r="M8" s="10">
        <v>45.585926239999999</v>
      </c>
      <c r="N8" s="10">
        <v>45.89299742</v>
      </c>
    </row>
    <row r="9" spans="1:14" x14ac:dyDescent="0.25">
      <c r="A9" s="10">
        <v>1</v>
      </c>
      <c r="B9" s="13">
        <v>0.54166666666666663</v>
      </c>
      <c r="C9" s="10">
        <v>1.2551603220000001</v>
      </c>
      <c r="D9" s="10">
        <v>44.036099229999998</v>
      </c>
      <c r="E9" s="10">
        <v>3.0022670000000001E-2</v>
      </c>
      <c r="F9" s="10">
        <v>41.531093970000001</v>
      </c>
      <c r="G9" s="10">
        <v>41.84741554</v>
      </c>
      <c r="H9" s="10">
        <v>42.33330145</v>
      </c>
      <c r="I9" s="10">
        <v>43.14204136</v>
      </c>
      <c r="J9" s="10">
        <v>44.036099229999998</v>
      </c>
      <c r="K9" s="10">
        <v>44.925548880000001</v>
      </c>
      <c r="L9" s="10">
        <v>45.722254579999998</v>
      </c>
      <c r="M9" s="10">
        <v>46.197358080000001</v>
      </c>
      <c r="N9" s="10">
        <v>46.50523827</v>
      </c>
    </row>
    <row r="10" spans="1:14" x14ac:dyDescent="0.25">
      <c r="A10" s="10">
        <v>1</v>
      </c>
      <c r="B10" s="13">
        <v>0.625</v>
      </c>
      <c r="C10" s="10">
        <v>0.91054113999999997</v>
      </c>
      <c r="D10" s="10">
        <v>44.580969119999999</v>
      </c>
      <c r="E10" s="10">
        <v>2.9242173E-2</v>
      </c>
      <c r="F10" s="10">
        <v>42.13520784</v>
      </c>
      <c r="G10" s="10">
        <v>42.441340269999998</v>
      </c>
      <c r="H10" s="10">
        <v>42.913111280000003</v>
      </c>
      <c r="I10" s="10">
        <v>43.702454279999998</v>
      </c>
      <c r="J10" s="10">
        <v>44.580969119999999</v>
      </c>
      <c r="K10" s="10">
        <v>45.46103549</v>
      </c>
      <c r="L10" s="10">
        <v>46.254428869999998</v>
      </c>
      <c r="M10" s="10">
        <v>46.729827200000003</v>
      </c>
      <c r="N10" s="10">
        <v>47.038798249999999</v>
      </c>
    </row>
    <row r="11" spans="1:14" x14ac:dyDescent="0.25">
      <c r="A11" s="10">
        <v>1</v>
      </c>
      <c r="B11" s="13">
        <v>0.70833333333333337</v>
      </c>
      <c r="C11" s="10">
        <v>0.63951047400000005</v>
      </c>
      <c r="D11" s="10">
        <v>45.057612149999997</v>
      </c>
      <c r="E11" s="10">
        <v>2.8660453999999998E-2</v>
      </c>
      <c r="F11" s="10">
        <v>42.652526719999997</v>
      </c>
      <c r="G11" s="10">
        <v>42.951623830000003</v>
      </c>
      <c r="H11" s="10">
        <v>43.413647040000001</v>
      </c>
      <c r="I11" s="10">
        <v>44.18963565</v>
      </c>
      <c r="J11" s="10">
        <v>45.057612149999997</v>
      </c>
      <c r="K11" s="10">
        <v>45.931658550000002</v>
      </c>
      <c r="L11" s="10">
        <v>46.723490759999997</v>
      </c>
      <c r="M11" s="10">
        <v>47.199700040000003</v>
      </c>
      <c r="N11" s="10">
        <v>47.509896949999998</v>
      </c>
    </row>
    <row r="12" spans="1:14" x14ac:dyDescent="0.25">
      <c r="A12" s="10">
        <v>1</v>
      </c>
      <c r="B12" s="13">
        <v>0.79166666666666663</v>
      </c>
      <c r="C12" s="10">
        <v>0.43697886400000002</v>
      </c>
      <c r="D12" s="10">
        <v>45.479075600000002</v>
      </c>
      <c r="E12" s="10">
        <v>2.8233600000000001E-2</v>
      </c>
      <c r="F12" s="10">
        <v>43.100085399999998</v>
      </c>
      <c r="G12" s="10">
        <v>43.394578660000001</v>
      </c>
      <c r="H12" s="10">
        <v>43.850250549999998</v>
      </c>
      <c r="I12" s="10">
        <v>44.617644310000003</v>
      </c>
      <c r="J12" s="10">
        <v>45.479075600000002</v>
      </c>
      <c r="K12" s="10">
        <v>46.349792690000001</v>
      </c>
      <c r="L12" s="10">
        <v>47.141423369999998</v>
      </c>
      <c r="M12" s="10">
        <v>47.618795579999997</v>
      </c>
      <c r="N12" s="10">
        <v>47.930267460000003</v>
      </c>
    </row>
    <row r="13" spans="1:14" x14ac:dyDescent="0.25">
      <c r="A13" s="10">
        <v>1</v>
      </c>
      <c r="B13" s="13">
        <v>0.875</v>
      </c>
      <c r="C13" s="10">
        <v>0.296275856</v>
      </c>
      <c r="D13" s="10">
        <v>45.85505706</v>
      </c>
      <c r="E13" s="10">
        <v>2.7929763999999999E-2</v>
      </c>
      <c r="F13" s="10">
        <v>43.49049033</v>
      </c>
      <c r="G13" s="10">
        <v>43.782298869999998</v>
      </c>
      <c r="H13" s="10">
        <v>44.23431798</v>
      </c>
      <c r="I13" s="10">
        <v>44.996935190000002</v>
      </c>
      <c r="J13" s="10">
        <v>45.85505706</v>
      </c>
      <c r="K13" s="10">
        <v>46.724630769999997</v>
      </c>
      <c r="L13" s="10">
        <v>47.517138799999998</v>
      </c>
      <c r="M13" s="10">
        <v>47.995920750000003</v>
      </c>
      <c r="N13" s="10">
        <v>48.308669090000002</v>
      </c>
    </row>
    <row r="14" spans="1:14" x14ac:dyDescent="0.25">
      <c r="A14" s="10">
        <v>1</v>
      </c>
      <c r="B14" s="13">
        <v>0.95833333333333337</v>
      </c>
      <c r="C14" s="10">
        <v>0.21010725099999999</v>
      </c>
      <c r="D14" s="10">
        <v>46.192954270000001</v>
      </c>
      <c r="E14" s="10">
        <v>2.7725178999999999E-2</v>
      </c>
      <c r="F14" s="10">
        <v>43.833316719999999</v>
      </c>
      <c r="G14" s="10">
        <v>44.123985959999999</v>
      </c>
      <c r="H14" s="10">
        <v>44.574535570000002</v>
      </c>
      <c r="I14" s="10">
        <v>45.335486789999997</v>
      </c>
      <c r="J14" s="10">
        <v>46.192954270000001</v>
      </c>
      <c r="K14" s="10">
        <v>47.063181610000001</v>
      </c>
      <c r="L14" s="10">
        <v>47.857438330000001</v>
      </c>
      <c r="M14" s="10">
        <v>48.337808850000002</v>
      </c>
      <c r="N14" s="10">
        <v>48.651811070000001</v>
      </c>
    </row>
    <row r="15" spans="1:14" x14ac:dyDescent="0.25">
      <c r="A15" s="10">
        <v>1</v>
      </c>
      <c r="B15" s="13">
        <v>1.0416666666666667</v>
      </c>
      <c r="C15" s="10">
        <v>0.17114702400000001</v>
      </c>
      <c r="D15" s="10">
        <v>46.498534380000002</v>
      </c>
      <c r="E15" s="10">
        <v>2.7601686E-2</v>
      </c>
      <c r="F15" s="10">
        <v>44.135997799999998</v>
      </c>
      <c r="G15" s="10">
        <v>44.426793949999997</v>
      </c>
      <c r="H15" s="10">
        <v>44.877668120000003</v>
      </c>
      <c r="I15" s="10">
        <v>45.639520400000002</v>
      </c>
      <c r="J15" s="10">
        <v>46.498534380000002</v>
      </c>
      <c r="K15" s="10">
        <v>47.370906390000002</v>
      </c>
      <c r="L15" s="10">
        <v>48.167625899999997</v>
      </c>
      <c r="M15" s="10">
        <v>48.649719760000004</v>
      </c>
      <c r="N15" s="10">
        <v>48.964943669999997</v>
      </c>
    </row>
    <row r="16" spans="1:14" x14ac:dyDescent="0.25">
      <c r="A16" s="10">
        <v>1</v>
      </c>
      <c r="B16" s="13">
        <v>1.125</v>
      </c>
      <c r="C16" s="10">
        <v>0.172393886</v>
      </c>
      <c r="D16" s="10">
        <v>46.776376839999998</v>
      </c>
      <c r="E16" s="10">
        <v>2.7545147999999998E-2</v>
      </c>
      <c r="F16" s="10">
        <v>44.404412010000001</v>
      </c>
      <c r="G16" s="10">
        <v>44.696388259999999</v>
      </c>
      <c r="H16" s="10">
        <v>45.149081160000001</v>
      </c>
      <c r="I16" s="10">
        <v>45.913976519999999</v>
      </c>
      <c r="J16" s="10">
        <v>46.776376839999998</v>
      </c>
      <c r="K16" s="10">
        <v>47.652139890000001</v>
      </c>
      <c r="L16" s="10">
        <v>48.451914700000003</v>
      </c>
      <c r="M16" s="10">
        <v>48.935838230000002</v>
      </c>
      <c r="N16" s="10">
        <v>49.252250760000003</v>
      </c>
    </row>
    <row r="17" spans="1:14" x14ac:dyDescent="0.25">
      <c r="A17" s="10">
        <v>1</v>
      </c>
      <c r="B17" s="13">
        <v>1.2083333333333333</v>
      </c>
      <c r="C17" s="10">
        <v>0.20737154099999999</v>
      </c>
      <c r="D17" s="10">
        <v>47.030175989999996</v>
      </c>
      <c r="E17" s="10">
        <v>2.7544381999999999E-2</v>
      </c>
      <c r="F17" s="10">
        <v>44.643283099999998</v>
      </c>
      <c r="G17" s="10">
        <v>44.937327019999998</v>
      </c>
      <c r="H17" s="10">
        <v>45.393097689999998</v>
      </c>
      <c r="I17" s="10">
        <v>46.162840439999997</v>
      </c>
      <c r="J17" s="10">
        <v>47.030175989999996</v>
      </c>
      <c r="K17" s="10">
        <v>47.910378199999997</v>
      </c>
      <c r="L17" s="10">
        <v>48.713705220000001</v>
      </c>
      <c r="M17" s="10">
        <v>49.199546410000004</v>
      </c>
      <c r="N17" s="10">
        <v>49.51711865</v>
      </c>
    </row>
    <row r="18" spans="1:14" x14ac:dyDescent="0.25">
      <c r="A18" s="10">
        <v>1</v>
      </c>
      <c r="B18" s="13">
        <v>1.2916666666666667</v>
      </c>
      <c r="C18" s="10">
        <v>0.27022612600000001</v>
      </c>
      <c r="D18" s="10">
        <v>47.2629533</v>
      </c>
      <c r="E18" s="10">
        <v>2.7590416999999999E-2</v>
      </c>
      <c r="F18" s="10">
        <v>44.856460069999997</v>
      </c>
      <c r="G18" s="10">
        <v>45.153328399999999</v>
      </c>
      <c r="H18" s="10">
        <v>45.613248550000002</v>
      </c>
      <c r="I18" s="10">
        <v>46.389370929999998</v>
      </c>
      <c r="J18" s="10">
        <v>47.2629533</v>
      </c>
      <c r="K18" s="10">
        <v>48.148480419999999</v>
      </c>
      <c r="L18" s="10">
        <v>48.955780330000003</v>
      </c>
      <c r="M18" s="10">
        <v>49.443615530000002</v>
      </c>
      <c r="N18" s="10">
        <v>49.76232529</v>
      </c>
    </row>
    <row r="19" spans="1:14" x14ac:dyDescent="0.25">
      <c r="A19" s="10">
        <v>1</v>
      </c>
      <c r="B19" s="13">
        <v>1.375</v>
      </c>
      <c r="C19" s="10">
        <v>0.35575727400000001</v>
      </c>
      <c r="D19" s="10">
        <v>47.477209889999997</v>
      </c>
      <c r="E19" s="10">
        <v>2.7675979999999999E-2</v>
      </c>
      <c r="F19" s="10">
        <v>45.047117700000001</v>
      </c>
      <c r="G19" s="10">
        <v>45.347462159999999</v>
      </c>
      <c r="H19" s="10">
        <v>45.812452270000001</v>
      </c>
      <c r="I19" s="10">
        <v>46.596264599999998</v>
      </c>
      <c r="J19" s="10">
        <v>47.477209889999997</v>
      </c>
      <c r="K19" s="10">
        <v>48.36881356</v>
      </c>
      <c r="L19" s="10">
        <v>49.180445470000002</v>
      </c>
      <c r="M19" s="10">
        <v>49.670343680000002</v>
      </c>
      <c r="N19" s="10">
        <v>49.990176609999999</v>
      </c>
    </row>
    <row r="20" spans="1:14" x14ac:dyDescent="0.25">
      <c r="A20" s="10">
        <v>1</v>
      </c>
      <c r="B20" s="13">
        <v>1.4583333333333333</v>
      </c>
      <c r="C20" s="10">
        <v>0.45940762699999999</v>
      </c>
      <c r="D20" s="10">
        <v>47.67503833</v>
      </c>
      <c r="E20" s="10">
        <v>2.7795114999999999E-2</v>
      </c>
      <c r="F20" s="10">
        <v>45.217903069999998</v>
      </c>
      <c r="G20" s="10">
        <v>45.522290079999998</v>
      </c>
      <c r="H20" s="10">
        <v>45.993146850000002</v>
      </c>
      <c r="I20" s="10">
        <v>46.78577645</v>
      </c>
      <c r="J20" s="10">
        <v>47.67503833</v>
      </c>
      <c r="K20" s="10">
        <v>48.573358540000001</v>
      </c>
      <c r="L20" s="10">
        <v>49.389631379999997</v>
      </c>
      <c r="M20" s="10">
        <v>49.881656970000002</v>
      </c>
      <c r="N20" s="10">
        <v>50.202606750000001</v>
      </c>
    </row>
    <row r="21" spans="1:14" x14ac:dyDescent="0.25">
      <c r="A21" s="10">
        <v>1</v>
      </c>
      <c r="B21" s="13">
        <v>1.5416666666666667</v>
      </c>
      <c r="C21" s="10">
        <v>0.57722761499999997</v>
      </c>
      <c r="D21" s="10">
        <v>47.858206060000001</v>
      </c>
      <c r="E21" s="10">
        <v>2.79429E-2</v>
      </c>
      <c r="F21" s="10">
        <v>45.371044650000002</v>
      </c>
      <c r="G21" s="10">
        <v>45.67997038</v>
      </c>
      <c r="H21" s="10">
        <v>46.1573882</v>
      </c>
      <c r="I21" s="10">
        <v>46.959809960000001</v>
      </c>
      <c r="J21" s="10">
        <v>47.858206060000001</v>
      </c>
      <c r="K21" s="10">
        <v>48.763789330000002</v>
      </c>
      <c r="L21" s="10">
        <v>49.584970689999999</v>
      </c>
      <c r="M21" s="10">
        <v>50.07918514</v>
      </c>
      <c r="N21" s="10">
        <v>50.401253019999999</v>
      </c>
    </row>
    <row r="22" spans="1:14" x14ac:dyDescent="0.25">
      <c r="A22" s="10">
        <v>1</v>
      </c>
      <c r="B22" s="13">
        <v>1.625</v>
      </c>
      <c r="C22" s="10">
        <v>0.70582677800000004</v>
      </c>
      <c r="D22" s="10">
        <v>48.028218670000001</v>
      </c>
      <c r="E22" s="10">
        <v>2.8115240999999999E-2</v>
      </c>
      <c r="F22" s="10">
        <v>45.508434770000001</v>
      </c>
      <c r="G22" s="10">
        <v>45.822336970000002</v>
      </c>
      <c r="H22" s="10">
        <v>46.306924629999997</v>
      </c>
      <c r="I22" s="10">
        <v>47.119985399999997</v>
      </c>
      <c r="J22" s="10">
        <v>48.028218670000001</v>
      </c>
      <c r="K22" s="10">
        <v>48.941532840000001</v>
      </c>
      <c r="L22" s="10">
        <v>49.767856000000002</v>
      </c>
      <c r="M22" s="10">
        <v>50.26431891</v>
      </c>
      <c r="N22" s="10">
        <v>50.587513039999997</v>
      </c>
    </row>
    <row r="23" spans="1:14" x14ac:dyDescent="0.25">
      <c r="A23" s="10">
        <v>1</v>
      </c>
      <c r="B23" s="13">
        <v>1.7083333333333333</v>
      </c>
      <c r="C23" s="10">
        <v>0.84231905500000004</v>
      </c>
      <c r="D23" s="10">
        <v>48.186368639999998</v>
      </c>
      <c r="E23" s="10">
        <v>2.8308706999999999E-2</v>
      </c>
      <c r="F23" s="10">
        <v>45.631692889999997</v>
      </c>
      <c r="G23" s="10">
        <v>45.950960160000001</v>
      </c>
      <c r="H23" s="10">
        <v>46.4432543</v>
      </c>
      <c r="I23" s="10">
        <v>47.267692500000003</v>
      </c>
      <c r="J23" s="10">
        <v>48.186368639999998</v>
      </c>
      <c r="K23" s="10">
        <v>49.107814949999998</v>
      </c>
      <c r="L23" s="10">
        <v>49.939484479999997</v>
      </c>
      <c r="M23" s="10">
        <v>50.438254190000002</v>
      </c>
      <c r="N23" s="10">
        <v>50.762588710000003</v>
      </c>
    </row>
    <row r="24" spans="1:14" x14ac:dyDescent="0.25">
      <c r="A24" s="10">
        <v>1</v>
      </c>
      <c r="B24" s="13">
        <v>1.7916666666666667</v>
      </c>
      <c r="C24" s="10">
        <v>0.98426683299999995</v>
      </c>
      <c r="D24" s="10">
        <v>48.333773200000003</v>
      </c>
      <c r="E24" s="10">
        <v>2.8520407000000001E-2</v>
      </c>
      <c r="F24" s="10">
        <v>45.742214769999997</v>
      </c>
      <c r="G24" s="10">
        <v>46.067194020000002</v>
      </c>
      <c r="H24" s="10">
        <v>46.56766983</v>
      </c>
      <c r="I24" s="10">
        <v>47.404131399999997</v>
      </c>
      <c r="J24" s="10">
        <v>48.333773200000003</v>
      </c>
      <c r="K24" s="10">
        <v>49.263696410000001</v>
      </c>
      <c r="L24" s="10">
        <v>50.100892680000001</v>
      </c>
      <c r="M24" s="10">
        <v>50.602026479999999</v>
      </c>
      <c r="N24" s="10">
        <v>50.927520680000001</v>
      </c>
    </row>
    <row r="25" spans="1:14" x14ac:dyDescent="0.25">
      <c r="A25" s="10">
        <v>1</v>
      </c>
      <c r="B25" s="13">
        <v>1.875</v>
      </c>
      <c r="C25" s="10">
        <v>1.129626698</v>
      </c>
      <c r="D25" s="10">
        <v>48.471404319999998</v>
      </c>
      <c r="E25" s="10">
        <v>2.8747895999999998E-2</v>
      </c>
      <c r="F25" s="10">
        <v>45.841211119999997</v>
      </c>
      <c r="G25" s="10">
        <v>46.172213579999998</v>
      </c>
      <c r="H25" s="10">
        <v>46.681293570000001</v>
      </c>
      <c r="I25" s="10">
        <v>47.530345089999997</v>
      </c>
      <c r="J25" s="10">
        <v>48.471404319999998</v>
      </c>
      <c r="K25" s="10">
        <v>49.410100980000003</v>
      </c>
      <c r="L25" s="10">
        <v>50.252983829999998</v>
      </c>
      <c r="M25" s="10">
        <v>50.756538130000003</v>
      </c>
      <c r="N25" s="10">
        <v>51.083215500000001</v>
      </c>
    </row>
    <row r="26" spans="1:14" x14ac:dyDescent="0.25">
      <c r="A26" s="10">
        <v>1</v>
      </c>
      <c r="B26" s="13">
        <v>1.9583333333333333</v>
      </c>
      <c r="C26" s="10">
        <v>1.276691223</v>
      </c>
      <c r="D26" s="10">
        <v>48.600112230000001</v>
      </c>
      <c r="E26" s="10">
        <v>2.8989088999999999E-2</v>
      </c>
      <c r="F26" s="10">
        <v>45.929738569999998</v>
      </c>
      <c r="G26" s="10">
        <v>46.267044560000002</v>
      </c>
      <c r="H26" s="10">
        <v>46.78510558</v>
      </c>
      <c r="I26" s="10">
        <v>47.647244919999999</v>
      </c>
      <c r="J26" s="10">
        <v>48.600112230000001</v>
      </c>
      <c r="K26" s="10">
        <v>49.54783776</v>
      </c>
      <c r="L26" s="10">
        <v>50.396549649999997</v>
      </c>
      <c r="M26" s="10">
        <v>50.902580110000002</v>
      </c>
      <c r="N26" s="10">
        <v>51.230467670000003</v>
      </c>
    </row>
    <row r="27" spans="1:14" x14ac:dyDescent="0.25">
      <c r="A27" s="10">
        <v>1</v>
      </c>
      <c r="B27" s="13">
        <v>2.0416666666666665</v>
      </c>
      <c r="C27" s="10">
        <v>1.4240848530000001</v>
      </c>
      <c r="D27" s="10">
        <v>48.720646209999998</v>
      </c>
      <c r="E27" s="10">
        <v>2.9242206999999999E-2</v>
      </c>
      <c r="F27" s="10">
        <v>46.008722859999999</v>
      </c>
      <c r="G27" s="10">
        <v>46.352586440000003</v>
      </c>
      <c r="H27" s="10">
        <v>46.879966410000002</v>
      </c>
      <c r="I27" s="10">
        <v>47.755632669999997</v>
      </c>
      <c r="J27" s="10">
        <v>48.720646209999998</v>
      </c>
      <c r="K27" s="10">
        <v>49.67762038</v>
      </c>
      <c r="L27" s="10">
        <v>50.532288049999998</v>
      </c>
      <c r="M27" s="10">
        <v>51.040848709999999</v>
      </c>
      <c r="N27" s="10">
        <v>51.369975680000003</v>
      </c>
    </row>
    <row r="28" spans="1:14" x14ac:dyDescent="0.25">
      <c r="A28" s="10">
        <v>1</v>
      </c>
      <c r="B28" s="13">
        <v>2.125</v>
      </c>
      <c r="C28" s="10">
        <v>1.5706212909999999</v>
      </c>
      <c r="D28" s="10">
        <v>48.833666289999996</v>
      </c>
      <c r="E28" s="10">
        <v>2.9505723000000001E-2</v>
      </c>
      <c r="F28" s="10">
        <v>46.078982330000002</v>
      </c>
      <c r="G28" s="10">
        <v>46.429633510000002</v>
      </c>
      <c r="H28" s="10">
        <v>46.966634880000001</v>
      </c>
      <c r="I28" s="10">
        <v>47.856214360000003</v>
      </c>
      <c r="J28" s="10">
        <v>48.833666289999996</v>
      </c>
      <c r="K28" s="10">
        <v>49.800078849999998</v>
      </c>
      <c r="L28" s="10">
        <v>50.6608169</v>
      </c>
      <c r="M28" s="10">
        <v>51.17196156</v>
      </c>
      <c r="N28" s="10">
        <v>51.502359769999998</v>
      </c>
    </row>
    <row r="29" spans="1:14" x14ac:dyDescent="0.25">
      <c r="A29" s="10">
        <v>1</v>
      </c>
      <c r="B29" s="13">
        <v>2.2083333333333335</v>
      </c>
      <c r="C29" s="10">
        <v>1.7153939979999999</v>
      </c>
      <c r="D29" s="10">
        <v>48.939760890000002</v>
      </c>
      <c r="E29" s="10">
        <v>2.9778322999999999E-2</v>
      </c>
      <c r="F29" s="10">
        <v>46.141239740000003</v>
      </c>
      <c r="G29" s="10">
        <v>46.498888340000001</v>
      </c>
      <c r="H29" s="10">
        <v>47.045783700000001</v>
      </c>
      <c r="I29" s="10">
        <v>47.9496179</v>
      </c>
      <c r="J29" s="10">
        <v>48.939760890000002</v>
      </c>
      <c r="K29" s="10">
        <v>49.915775080000003</v>
      </c>
      <c r="L29" s="10">
        <v>50.78268619</v>
      </c>
      <c r="M29" s="10">
        <v>51.296466909999999</v>
      </c>
      <c r="N29" s="10">
        <v>51.628169229999997</v>
      </c>
    </row>
    <row r="30" spans="1:14" x14ac:dyDescent="0.25">
      <c r="A30" s="10">
        <v>1</v>
      </c>
      <c r="B30" s="13">
        <v>2.2916666666666665</v>
      </c>
      <c r="C30" s="10">
        <v>1.857652984</v>
      </c>
      <c r="D30" s="10">
        <v>49.039453829999999</v>
      </c>
      <c r="E30" s="10">
        <v>3.0058871000000001E-2</v>
      </c>
      <c r="F30" s="10">
        <v>46.196138849999997</v>
      </c>
      <c r="G30" s="10">
        <v>46.56097639</v>
      </c>
      <c r="H30" s="10">
        <v>47.118011330000002</v>
      </c>
      <c r="I30" s="10">
        <v>48.036401720000001</v>
      </c>
      <c r="J30" s="10">
        <v>49.039453829999999</v>
      </c>
      <c r="K30" s="10">
        <v>50.025210229999999</v>
      </c>
      <c r="L30" s="10">
        <v>50.898387270000001</v>
      </c>
      <c r="M30" s="10">
        <v>51.414854910000003</v>
      </c>
      <c r="N30" s="10">
        <v>51.747895190000001</v>
      </c>
    </row>
    <row r="31" spans="1:14" x14ac:dyDescent="0.25">
      <c r="A31" s="10">
        <v>1</v>
      </c>
      <c r="B31" s="13">
        <v>2.375</v>
      </c>
      <c r="C31" s="10">
        <v>1.9968105629999999</v>
      </c>
      <c r="D31" s="10">
        <v>49.13321432</v>
      </c>
      <c r="E31" s="10">
        <v>3.0346384000000001E-2</v>
      </c>
      <c r="F31" s="10">
        <v>46.244254349999999</v>
      </c>
      <c r="G31" s="10">
        <v>46.616456149999998</v>
      </c>
      <c r="H31" s="10">
        <v>47.18385241</v>
      </c>
      <c r="I31" s="10">
        <v>48.117065259999997</v>
      </c>
      <c r="J31" s="10">
        <v>49.13321432</v>
      </c>
      <c r="K31" s="10">
        <v>50.128833849999999</v>
      </c>
      <c r="L31" s="10">
        <v>51.008360920000001</v>
      </c>
      <c r="M31" s="10">
        <v>51.527564910000002</v>
      </c>
      <c r="N31" s="10">
        <v>51.861977500000002</v>
      </c>
    </row>
    <row r="32" spans="1:14" x14ac:dyDescent="0.25">
      <c r="A32" s="10">
        <v>1</v>
      </c>
      <c r="B32" s="13">
        <v>2.4583333333333335</v>
      </c>
      <c r="C32" s="10">
        <v>2.132411346</v>
      </c>
      <c r="D32" s="10">
        <v>49.221464089999998</v>
      </c>
      <c r="E32" s="10">
        <v>3.0640006000000001E-2</v>
      </c>
      <c r="F32" s="10">
        <v>46.286101289999998</v>
      </c>
      <c r="G32" s="10">
        <v>46.665828169999997</v>
      </c>
      <c r="H32" s="10">
        <v>47.243786249999999</v>
      </c>
      <c r="I32" s="10">
        <v>48.19205668</v>
      </c>
      <c r="J32" s="10">
        <v>49.221464089999998</v>
      </c>
      <c r="K32" s="10">
        <v>50.227050519999999</v>
      </c>
      <c r="L32" s="10">
        <v>51.113003990000003</v>
      </c>
      <c r="M32" s="10">
        <v>51.634992259999997</v>
      </c>
      <c r="N32" s="10">
        <v>51.970811640000001</v>
      </c>
    </row>
    <row r="33" spans="1:15" x14ac:dyDescent="0.25">
      <c r="A33" s="10">
        <v>1</v>
      </c>
      <c r="B33" s="13">
        <v>2.5416666666666665</v>
      </c>
      <c r="C33" s="10">
        <v>2.2641110090000001</v>
      </c>
      <c r="D33" s="10">
        <v>49.304583479999998</v>
      </c>
      <c r="E33" s="10">
        <v>3.0938991999999998E-2</v>
      </c>
      <c r="F33" s="10">
        <v>46.32214286</v>
      </c>
      <c r="G33" s="10">
        <v>46.709542669999998</v>
      </c>
      <c r="H33" s="10">
        <v>47.29824404</v>
      </c>
      <c r="I33" s="10">
        <v>48.261779519999997</v>
      </c>
      <c r="J33" s="10">
        <v>49.304583479999998</v>
      </c>
      <c r="K33" s="10">
        <v>50.32022568</v>
      </c>
      <c r="L33" s="10">
        <v>51.212674999999997</v>
      </c>
      <c r="M33" s="10">
        <v>51.737493890000003</v>
      </c>
      <c r="N33" s="10">
        <v>52.074754400000003</v>
      </c>
    </row>
    <row r="34" spans="1:15" x14ac:dyDescent="0.25">
      <c r="A34" s="10">
        <v>1</v>
      </c>
      <c r="B34" s="13">
        <v>2.625</v>
      </c>
      <c r="C34" s="10">
        <v>2.3916580519999999</v>
      </c>
      <c r="D34" s="10">
        <v>49.38291658</v>
      </c>
      <c r="E34" s="10">
        <v>3.1242692999999998E-2</v>
      </c>
      <c r="F34" s="10">
        <v>46.352796959999999</v>
      </c>
      <c r="G34" s="10">
        <v>46.748005800000001</v>
      </c>
      <c r="H34" s="10">
        <v>47.347614890000003</v>
      </c>
      <c r="I34" s="10">
        <v>48.326598279999999</v>
      </c>
      <c r="J34" s="10">
        <v>49.38291658</v>
      </c>
      <c r="K34" s="10">
        <v>50.408690399999998</v>
      </c>
      <c r="L34" s="10">
        <v>51.307698879999997</v>
      </c>
      <c r="M34" s="10">
        <v>51.835393109999998</v>
      </c>
      <c r="N34" s="10">
        <v>52.174128680000003</v>
      </c>
    </row>
    <row r="35" spans="1:15" x14ac:dyDescent="0.25">
      <c r="A35" s="10">
        <v>1</v>
      </c>
      <c r="B35" s="13">
        <v>2.7083333333333335</v>
      </c>
      <c r="C35" s="10">
        <v>2.5148782220000001</v>
      </c>
      <c r="D35" s="10">
        <v>49.456775690000001</v>
      </c>
      <c r="E35" s="10">
        <v>3.1550536999999997E-2</v>
      </c>
      <c r="F35" s="10">
        <v>46.378441760000001</v>
      </c>
      <c r="G35" s="10">
        <v>46.781585149999998</v>
      </c>
      <c r="H35" s="10">
        <v>47.392250990000001</v>
      </c>
      <c r="I35" s="10">
        <v>48.386843220000003</v>
      </c>
      <c r="J35" s="10">
        <v>49.456775690000001</v>
      </c>
      <c r="K35" s="10">
        <v>50.492745589999998</v>
      </c>
      <c r="L35" s="10">
        <v>51.398370960000001</v>
      </c>
      <c r="M35" s="10">
        <v>51.928983580000001</v>
      </c>
      <c r="N35" s="10">
        <v>52.269227579999999</v>
      </c>
    </row>
    <row r="36" spans="1:15" x14ac:dyDescent="0.25">
      <c r="A36" s="10">
        <v>1</v>
      </c>
      <c r="B36" s="13">
        <v>2.7916666666666665</v>
      </c>
      <c r="C36" s="10">
        <v>2.6336612260000001</v>
      </c>
      <c r="D36" s="10">
        <v>49.526445000000002</v>
      </c>
      <c r="E36" s="10">
        <v>3.1862026000000002E-2</v>
      </c>
      <c r="F36" s="10">
        <v>46.399420429999999</v>
      </c>
      <c r="G36" s="10">
        <v>46.810614270000002</v>
      </c>
      <c r="H36" s="10">
        <v>47.43247203</v>
      </c>
      <c r="I36" s="10">
        <v>48.442814390000002</v>
      </c>
      <c r="J36" s="10">
        <v>49.526445000000002</v>
      </c>
      <c r="K36" s="10">
        <v>50.572665450000002</v>
      </c>
      <c r="L36" s="10">
        <v>51.484960479999998</v>
      </c>
      <c r="M36" s="10">
        <v>52.018532839999999</v>
      </c>
      <c r="N36" s="10">
        <v>52.360317889999997</v>
      </c>
    </row>
    <row r="37" spans="1:15" x14ac:dyDescent="0.25">
      <c r="A37" s="10">
        <v>1</v>
      </c>
      <c r="B37" s="13">
        <v>2.875</v>
      </c>
      <c r="C37" s="10">
        <v>2.7479494450000002</v>
      </c>
      <c r="D37" s="10">
        <v>49.592183849999998</v>
      </c>
      <c r="E37" s="10">
        <v>3.2176719999999999E-2</v>
      </c>
      <c r="F37" s="10">
        <v>46.416045240000003</v>
      </c>
      <c r="G37" s="10">
        <v>46.835396670000002</v>
      </c>
      <c r="H37" s="10">
        <v>47.468568939999997</v>
      </c>
      <c r="I37" s="10">
        <v>48.494785129999997</v>
      </c>
      <c r="J37" s="10">
        <v>49.592183849999998</v>
      </c>
      <c r="K37" s="10">
        <v>50.648700570000003</v>
      </c>
      <c r="L37" s="10">
        <v>51.567713470000001</v>
      </c>
      <c r="M37" s="10">
        <v>52.104285230000002</v>
      </c>
      <c r="N37" s="10">
        <v>52.447643110000001</v>
      </c>
    </row>
    <row r="38" spans="1:15" x14ac:dyDescent="0.25">
      <c r="A38" s="10">
        <v>1</v>
      </c>
      <c r="B38" s="13">
        <v>2.9583333333333335</v>
      </c>
      <c r="C38" s="10">
        <v>2.8577283750000002</v>
      </c>
      <c r="D38" s="10">
        <v>49.654229520000001</v>
      </c>
      <c r="E38" s="10">
        <v>3.2494230999999998E-2</v>
      </c>
      <c r="F38" s="10">
        <v>46.428601049999997</v>
      </c>
      <c r="G38" s="10">
        <v>46.856209190000001</v>
      </c>
      <c r="H38" s="10">
        <v>47.50080715</v>
      </c>
      <c r="I38" s="10">
        <v>48.543005090000001</v>
      </c>
      <c r="J38" s="10">
        <v>49.654229520000001</v>
      </c>
      <c r="K38" s="10">
        <v>50.721080469999997</v>
      </c>
      <c r="L38" s="10">
        <v>51.646855360000004</v>
      </c>
      <c r="M38" s="10">
        <v>52.186464479999998</v>
      </c>
      <c r="N38" s="10">
        <v>52.531426029999999</v>
      </c>
    </row>
    <row r="39" spans="1:15" x14ac:dyDescent="0.25">
      <c r="A39" s="10">
        <v>1</v>
      </c>
      <c r="B39" s="13">
        <v>3</v>
      </c>
      <c r="C39" s="10">
        <v>2.9109320950000002</v>
      </c>
      <c r="D39" s="10">
        <v>49.683936109999998</v>
      </c>
      <c r="E39" s="10">
        <v>3.2653934000000003E-2</v>
      </c>
      <c r="F39" s="10">
        <v>46.433435340000003</v>
      </c>
      <c r="G39" s="10">
        <v>46.865206710000002</v>
      </c>
      <c r="H39" s="10">
        <v>47.515555919999997</v>
      </c>
      <c r="I39" s="10">
        <v>48.565780709999999</v>
      </c>
      <c r="J39" s="10">
        <v>49.683936109999998</v>
      </c>
      <c r="K39" s="10">
        <v>50.755966270000002</v>
      </c>
      <c r="L39" s="10">
        <v>51.685137490000002</v>
      </c>
      <c r="M39" s="10">
        <v>52.226279009999999</v>
      </c>
      <c r="N39" s="10">
        <v>52.57205364</v>
      </c>
    </row>
    <row r="40" spans="1:15" x14ac:dyDescent="0.25">
      <c r="O40" s="13"/>
    </row>
    <row r="41" spans="1:15" x14ac:dyDescent="0.25">
      <c r="A41" s="10" t="s">
        <v>2</v>
      </c>
      <c r="B41" s="13" t="s">
        <v>32</v>
      </c>
      <c r="C41" s="10" t="s">
        <v>3</v>
      </c>
      <c r="D41" s="10" t="s">
        <v>4</v>
      </c>
      <c r="E41" s="10" t="s">
        <v>5</v>
      </c>
      <c r="F41" s="10" t="s">
        <v>6</v>
      </c>
      <c r="G41" s="10" t="s">
        <v>7</v>
      </c>
      <c r="H41" s="10" t="s">
        <v>8</v>
      </c>
      <c r="I41" s="10" t="s">
        <v>9</v>
      </c>
      <c r="J41" s="10" t="s">
        <v>10</v>
      </c>
      <c r="K41" s="10" t="s">
        <v>11</v>
      </c>
      <c r="L41" s="10" t="s">
        <v>12</v>
      </c>
      <c r="M41" s="10" t="s">
        <v>13</v>
      </c>
      <c r="N41" s="10" t="s">
        <v>14</v>
      </c>
    </row>
    <row r="42" spans="1:15" x14ac:dyDescent="0.25">
      <c r="A42" s="10">
        <v>2</v>
      </c>
      <c r="B42" s="13">
        <v>0</v>
      </c>
      <c r="C42" s="10">
        <v>-1.2987496890000001</v>
      </c>
      <c r="D42" s="10">
        <v>34.711561699999997</v>
      </c>
      <c r="E42" s="10">
        <v>4.6905108000000001E-2</v>
      </c>
      <c r="F42" s="10">
        <v>31.93019666</v>
      </c>
      <c r="G42" s="10">
        <v>32.25089861</v>
      </c>
      <c r="H42" s="10">
        <v>32.759485269999999</v>
      </c>
      <c r="I42" s="10">
        <v>33.651865540000003</v>
      </c>
      <c r="J42" s="10">
        <v>34.711561699999997</v>
      </c>
      <c r="K42" s="10">
        <v>35.851240439999998</v>
      </c>
      <c r="L42" s="10">
        <v>36.9534983</v>
      </c>
      <c r="M42" s="10">
        <v>37.651377220000001</v>
      </c>
      <c r="N42" s="10">
        <v>38.121102710000002</v>
      </c>
    </row>
    <row r="43" spans="1:15" x14ac:dyDescent="0.25">
      <c r="A43" s="10">
        <v>2</v>
      </c>
      <c r="B43" s="13">
        <v>4.1666666666666664E-2</v>
      </c>
      <c r="C43" s="10">
        <v>-1.440271514</v>
      </c>
      <c r="D43" s="10">
        <v>36.034538759999997</v>
      </c>
      <c r="E43" s="10">
        <v>4.2999603999999997E-2</v>
      </c>
      <c r="F43" s="10">
        <v>33.380705249999998</v>
      </c>
      <c r="G43" s="10">
        <v>33.687435069999999</v>
      </c>
      <c r="H43" s="10">
        <v>34.173458609999997</v>
      </c>
      <c r="I43" s="10">
        <v>35.025083969999997</v>
      </c>
      <c r="J43" s="10">
        <v>36.034538759999997</v>
      </c>
      <c r="K43" s="10">
        <v>37.118067549999999</v>
      </c>
      <c r="L43" s="10">
        <v>38.164050879999998</v>
      </c>
      <c r="M43" s="10">
        <v>38.825350489999998</v>
      </c>
      <c r="N43" s="10">
        <v>39.27005698</v>
      </c>
    </row>
    <row r="44" spans="1:15" x14ac:dyDescent="0.25">
      <c r="A44" s="10">
        <v>2</v>
      </c>
      <c r="B44" s="13">
        <v>0.125</v>
      </c>
      <c r="C44" s="10">
        <v>-1.5810163479999999</v>
      </c>
      <c r="D44" s="10">
        <v>37.976719869999997</v>
      </c>
      <c r="E44" s="10">
        <v>3.8067862000000001E-2</v>
      </c>
      <c r="F44" s="10">
        <v>35.486270930000003</v>
      </c>
      <c r="G44" s="10">
        <v>35.775603670000002</v>
      </c>
      <c r="H44" s="10">
        <v>36.233256920000002</v>
      </c>
      <c r="I44" s="10">
        <v>37.032815659999997</v>
      </c>
      <c r="J44" s="10">
        <v>37.976719869999997</v>
      </c>
      <c r="K44" s="10">
        <v>38.985330400000002</v>
      </c>
      <c r="L44" s="10">
        <v>39.95458524</v>
      </c>
      <c r="M44" s="10">
        <v>40.565171489999997</v>
      </c>
      <c r="N44" s="10">
        <v>40.974824239999997</v>
      </c>
    </row>
    <row r="45" spans="1:15" x14ac:dyDescent="0.25">
      <c r="A45" s="10">
        <v>2</v>
      </c>
      <c r="B45" s="13">
        <v>0.20833333333333334</v>
      </c>
      <c r="C45" s="10">
        <v>-1.5931363860000001</v>
      </c>
      <c r="D45" s="10">
        <v>39.380126300000001</v>
      </c>
      <c r="E45" s="10">
        <v>3.5079612000000003E-2</v>
      </c>
      <c r="F45" s="10">
        <v>36.98550023</v>
      </c>
      <c r="G45" s="10">
        <v>37.265219819999999</v>
      </c>
      <c r="H45" s="10">
        <v>37.706854929999999</v>
      </c>
      <c r="I45" s="10">
        <v>38.47603153</v>
      </c>
      <c r="J45" s="10">
        <v>39.380126300000001</v>
      </c>
      <c r="K45" s="10">
        <v>40.341454949999999</v>
      </c>
      <c r="L45" s="10">
        <v>41.260630300000003</v>
      </c>
      <c r="M45" s="10">
        <v>41.837322180000001</v>
      </c>
      <c r="N45" s="10">
        <v>42.223214579999997</v>
      </c>
    </row>
    <row r="46" spans="1:15" x14ac:dyDescent="0.25">
      <c r="A46" s="10">
        <v>2</v>
      </c>
      <c r="B46" s="13">
        <v>0.29166666666666669</v>
      </c>
      <c r="C46" s="10">
        <v>-1.5214924270000001</v>
      </c>
      <c r="D46" s="10">
        <v>40.467737329999999</v>
      </c>
      <c r="E46" s="10">
        <v>3.3096443000000003E-2</v>
      </c>
      <c r="F46" s="10">
        <v>38.131143129999998</v>
      </c>
      <c r="G46" s="10">
        <v>38.405609869999999</v>
      </c>
      <c r="H46" s="10">
        <v>38.838136859999999</v>
      </c>
      <c r="I46" s="10">
        <v>39.589049969999998</v>
      </c>
      <c r="J46" s="10">
        <v>40.467737329999999</v>
      </c>
      <c r="K46" s="10">
        <v>41.397320950000001</v>
      </c>
      <c r="L46" s="10">
        <v>42.281529069999998</v>
      </c>
      <c r="M46" s="10">
        <v>42.833956489999998</v>
      </c>
      <c r="N46" s="10">
        <v>43.20260356</v>
      </c>
    </row>
    <row r="47" spans="1:15" x14ac:dyDescent="0.25">
      <c r="A47" s="10">
        <v>2</v>
      </c>
      <c r="B47" s="13">
        <v>0.375</v>
      </c>
      <c r="C47" s="10">
        <v>-1.394565915</v>
      </c>
      <c r="D47" s="10">
        <v>41.348410080000001</v>
      </c>
      <c r="E47" s="10">
        <v>3.1709630000000003E-2</v>
      </c>
      <c r="F47" s="10">
        <v>39.046191960000002</v>
      </c>
      <c r="G47" s="10">
        <v>39.31813786</v>
      </c>
      <c r="H47" s="10">
        <v>39.74588078</v>
      </c>
      <c r="I47" s="10">
        <v>40.486108299999998</v>
      </c>
      <c r="J47" s="10">
        <v>41.348410080000001</v>
      </c>
      <c r="K47" s="10">
        <v>42.256037499999998</v>
      </c>
      <c r="L47" s="10">
        <v>43.114891049999997</v>
      </c>
      <c r="M47" s="10">
        <v>43.649240820000003</v>
      </c>
      <c r="N47" s="10">
        <v>44.004859590000002</v>
      </c>
    </row>
    <row r="48" spans="1:15" x14ac:dyDescent="0.25">
      <c r="A48" s="10">
        <v>2</v>
      </c>
      <c r="B48" s="13">
        <v>0.45833333333333331</v>
      </c>
      <c r="C48" s="10">
        <v>-1.231713389</v>
      </c>
      <c r="D48" s="10">
        <v>42.083350699999997</v>
      </c>
      <c r="E48" s="10">
        <v>3.0709039E-2</v>
      </c>
      <c r="F48" s="10">
        <v>39.799595740000001</v>
      </c>
      <c r="G48" s="10">
        <v>40.070859210000002</v>
      </c>
      <c r="H48" s="10">
        <v>40.496724229999998</v>
      </c>
      <c r="I48" s="10">
        <v>41.231357379999999</v>
      </c>
      <c r="J48" s="10">
        <v>42.083350699999997</v>
      </c>
      <c r="K48" s="10">
        <v>42.975660660000003</v>
      </c>
      <c r="L48" s="10">
        <v>43.815746410000003</v>
      </c>
      <c r="M48" s="10">
        <v>44.336300659999999</v>
      </c>
      <c r="N48" s="10">
        <v>44.68183088</v>
      </c>
    </row>
    <row r="49" spans="1:14" x14ac:dyDescent="0.25">
      <c r="A49" s="10">
        <v>2</v>
      </c>
      <c r="B49" s="13">
        <v>0.54166666666666663</v>
      </c>
      <c r="C49" s="10">
        <v>-1.0465826279999999</v>
      </c>
      <c r="D49" s="10">
        <v>42.710336030000001</v>
      </c>
      <c r="E49" s="10">
        <v>2.9974303000000001E-2</v>
      </c>
      <c r="F49" s="10">
        <v>40.433794939999999</v>
      </c>
      <c r="G49" s="10">
        <v>40.70567458</v>
      </c>
      <c r="H49" s="10">
        <v>41.131712530000001</v>
      </c>
      <c r="I49" s="10">
        <v>41.864345139999998</v>
      </c>
      <c r="J49" s="10">
        <v>42.710336030000001</v>
      </c>
      <c r="K49" s="10">
        <v>43.592070710000002</v>
      </c>
      <c r="L49" s="10">
        <v>44.418145989999999</v>
      </c>
      <c r="M49" s="10">
        <v>44.928028560000001</v>
      </c>
      <c r="N49" s="10">
        <v>45.26562921</v>
      </c>
    </row>
    <row r="50" spans="1:14" x14ac:dyDescent="0.25">
      <c r="A50" s="10">
        <v>2</v>
      </c>
      <c r="B50" s="13">
        <v>0.625</v>
      </c>
      <c r="C50" s="10">
        <v>-0.84893269199999999</v>
      </c>
      <c r="D50" s="10">
        <v>43.254288819999999</v>
      </c>
      <c r="E50" s="10">
        <v>2.9430992E-2</v>
      </c>
      <c r="F50" s="10">
        <v>40.976715259999999</v>
      </c>
      <c r="G50" s="10">
        <v>41.250160880000003</v>
      </c>
      <c r="H50" s="10">
        <v>41.677870919999997</v>
      </c>
      <c r="I50" s="10">
        <v>42.411132989999999</v>
      </c>
      <c r="J50" s="10">
        <v>43.254288819999999</v>
      </c>
      <c r="K50" s="10">
        <v>44.128969099999999</v>
      </c>
      <c r="L50" s="10">
        <v>44.94460711</v>
      </c>
      <c r="M50" s="10">
        <v>45.446187049999999</v>
      </c>
      <c r="N50" s="10">
        <v>45.77750554</v>
      </c>
    </row>
    <row r="51" spans="1:14" x14ac:dyDescent="0.25">
      <c r="A51" s="10">
        <v>2</v>
      </c>
      <c r="B51" s="13">
        <v>0.70833333333333337</v>
      </c>
      <c r="C51" s="10">
        <v>-0.64577912400000004</v>
      </c>
      <c r="D51" s="10">
        <v>43.73249646</v>
      </c>
      <c r="E51" s="10">
        <v>2.9030378999999999E-2</v>
      </c>
      <c r="F51" s="10">
        <v>41.447677380000002</v>
      </c>
      <c r="G51" s="10">
        <v>41.723401750000001</v>
      </c>
      <c r="H51" s="10">
        <v>42.153908729999998</v>
      </c>
      <c r="I51" s="10">
        <v>42.889777969999997</v>
      </c>
      <c r="J51" s="10">
        <v>43.73249646</v>
      </c>
      <c r="K51" s="10">
        <v>44.602815990000003</v>
      </c>
      <c r="L51" s="10">
        <v>45.410783170000002</v>
      </c>
      <c r="M51" s="10">
        <v>45.905911580000001</v>
      </c>
      <c r="N51" s="10">
        <v>46.23224218</v>
      </c>
    </row>
    <row r="52" spans="1:14" x14ac:dyDescent="0.25">
      <c r="A52" s="10">
        <v>2</v>
      </c>
      <c r="B52" s="13">
        <v>0.79166666666666663</v>
      </c>
      <c r="C52" s="10">
        <v>-0.44216541199999998</v>
      </c>
      <c r="D52" s="10">
        <v>44.157428369999998</v>
      </c>
      <c r="E52" s="10">
        <v>2.8739112000000001E-2</v>
      </c>
      <c r="F52" s="10">
        <v>41.86058302</v>
      </c>
      <c r="G52" s="10">
        <v>42.1391311</v>
      </c>
      <c r="H52" s="10">
        <v>42.573295629999997</v>
      </c>
      <c r="I52" s="10">
        <v>43.313290569999999</v>
      </c>
      <c r="J52" s="10">
        <v>44.157428369999998</v>
      </c>
      <c r="K52" s="10">
        <v>45.025497999999999</v>
      </c>
      <c r="L52" s="10">
        <v>45.827988810000001</v>
      </c>
      <c r="M52" s="10">
        <v>46.318146849999998</v>
      </c>
      <c r="N52" s="10">
        <v>46.640530239999997</v>
      </c>
    </row>
    <row r="53" spans="1:14" x14ac:dyDescent="0.25">
      <c r="A53" s="10">
        <v>2</v>
      </c>
      <c r="B53" s="13">
        <v>0.875</v>
      </c>
      <c r="C53" s="10">
        <v>-0.24163206000000001</v>
      </c>
      <c r="D53" s="10">
        <v>44.538367940000001</v>
      </c>
      <c r="E53" s="10">
        <v>2.8533537000000001E-2</v>
      </c>
      <c r="F53" s="10">
        <v>42.225753050000002</v>
      </c>
      <c r="G53" s="10">
        <v>42.507547979999998</v>
      </c>
      <c r="H53" s="10">
        <v>42.946039169999999</v>
      </c>
      <c r="I53" s="10">
        <v>43.691346039999999</v>
      </c>
      <c r="J53" s="10">
        <v>44.538367940000001</v>
      </c>
      <c r="K53" s="10">
        <v>45.405874240000003</v>
      </c>
      <c r="L53" s="10">
        <v>46.204663099999998</v>
      </c>
      <c r="M53" s="10">
        <v>46.69105794</v>
      </c>
      <c r="N53" s="10">
        <v>47.010345809999997</v>
      </c>
    </row>
    <row r="54" spans="1:14" x14ac:dyDescent="0.25">
      <c r="A54" s="10">
        <v>2</v>
      </c>
      <c r="B54" s="13">
        <v>0.95833333333333337</v>
      </c>
      <c r="C54" s="10">
        <v>-4.6673786000000002E-2</v>
      </c>
      <c r="D54" s="10">
        <v>44.88240562</v>
      </c>
      <c r="E54" s="10">
        <v>2.8396382000000001E-2</v>
      </c>
      <c r="F54" s="10">
        <v>42.55105219</v>
      </c>
      <c r="G54" s="10">
        <v>42.836425679999998</v>
      </c>
      <c r="H54" s="10">
        <v>43.279769309999999</v>
      </c>
      <c r="I54" s="10">
        <v>44.031326579999998</v>
      </c>
      <c r="J54" s="10">
        <v>44.88240562</v>
      </c>
      <c r="K54" s="10">
        <v>45.750718450000001</v>
      </c>
      <c r="L54" s="10">
        <v>46.547264130000002</v>
      </c>
      <c r="M54" s="10">
        <v>47.030895600000001</v>
      </c>
      <c r="N54" s="10">
        <v>47.34779597</v>
      </c>
    </row>
    <row r="55" spans="1:14" x14ac:dyDescent="0.25">
      <c r="A55" s="10">
        <v>2</v>
      </c>
      <c r="B55" s="13">
        <v>1.0416666666666667</v>
      </c>
      <c r="C55" s="10">
        <v>0.141031094</v>
      </c>
      <c r="D55" s="10">
        <v>45.19507651</v>
      </c>
      <c r="E55" s="10">
        <v>2.8314722000000001E-2</v>
      </c>
      <c r="F55" s="10">
        <v>42.84260355</v>
      </c>
      <c r="G55" s="10">
        <v>43.131817660000003</v>
      </c>
      <c r="H55" s="10">
        <v>43.580430620000001</v>
      </c>
      <c r="I55" s="10">
        <v>44.338988829999998</v>
      </c>
      <c r="J55" s="10">
        <v>45.19507651</v>
      </c>
      <c r="K55" s="10">
        <v>46.065323739999997</v>
      </c>
      <c r="L55" s="10">
        <v>46.860841729999997</v>
      </c>
      <c r="M55" s="10">
        <v>47.342548559999997</v>
      </c>
      <c r="N55" s="10">
        <v>47.657657239999999</v>
      </c>
    </row>
    <row r="56" spans="1:14" x14ac:dyDescent="0.25">
      <c r="A56" s="10">
        <v>2</v>
      </c>
      <c r="B56" s="13">
        <v>1.125</v>
      </c>
      <c r="C56" s="10">
        <v>0.32040316899999999</v>
      </c>
      <c r="D56" s="10">
        <v>45.480781469999997</v>
      </c>
      <c r="E56" s="10">
        <v>2.8278681999999999E-2</v>
      </c>
      <c r="F56" s="10">
        <v>43.105262719999999</v>
      </c>
      <c r="G56" s="10">
        <v>43.398525530000001</v>
      </c>
      <c r="H56" s="10">
        <v>43.852740449999999</v>
      </c>
      <c r="I56" s="10">
        <v>44.618905050000002</v>
      </c>
      <c r="J56" s="10">
        <v>45.480781469999997</v>
      </c>
      <c r="K56" s="10">
        <v>46.353902599999998</v>
      </c>
      <c r="L56" s="10">
        <v>47.149417280000002</v>
      </c>
      <c r="M56" s="10">
        <v>47.629910780000003</v>
      </c>
      <c r="N56" s="10">
        <v>47.943734399999997</v>
      </c>
    </row>
    <row r="57" spans="1:14" x14ac:dyDescent="0.25">
      <c r="A57" s="10">
        <v>2</v>
      </c>
      <c r="B57" s="13">
        <v>1.2083333333333333</v>
      </c>
      <c r="C57" s="10">
        <v>0.49080713300000001</v>
      </c>
      <c r="D57" s="10">
        <v>45.743075269999999</v>
      </c>
      <c r="E57" s="10">
        <v>2.8280585E-2</v>
      </c>
      <c r="F57" s="10">
        <v>43.342941449999998</v>
      </c>
      <c r="G57" s="10">
        <v>43.64041855</v>
      </c>
      <c r="H57" s="10">
        <v>44.10050201</v>
      </c>
      <c r="I57" s="10">
        <v>44.874764679999998</v>
      </c>
      <c r="J57" s="10">
        <v>45.743075269999999</v>
      </c>
      <c r="K57" s="10">
        <v>46.619860760000002</v>
      </c>
      <c r="L57" s="10">
        <v>47.41624393</v>
      </c>
      <c r="M57" s="10">
        <v>47.896132880000003</v>
      </c>
      <c r="N57" s="10">
        <v>48.209106120000001</v>
      </c>
    </row>
    <row r="58" spans="1:14" x14ac:dyDescent="0.25">
      <c r="A58" s="10">
        <v>2</v>
      </c>
      <c r="B58" s="13">
        <v>1.2916666666666667</v>
      </c>
      <c r="C58" s="10">
        <v>0.65193504999999996</v>
      </c>
      <c r="D58" s="10">
        <v>45.984869009999997</v>
      </c>
      <c r="E58" s="10">
        <v>2.8314362999999999E-2</v>
      </c>
      <c r="F58" s="10">
        <v>43.558834589999996</v>
      </c>
      <c r="G58" s="10">
        <v>43.860657850000003</v>
      </c>
      <c r="H58" s="10">
        <v>44.326823910000002</v>
      </c>
      <c r="I58" s="10">
        <v>45.109586090000001</v>
      </c>
      <c r="J58" s="10">
        <v>45.984869009999997</v>
      </c>
      <c r="K58" s="10">
        <v>46.865989650000003</v>
      </c>
      <c r="L58" s="10">
        <v>47.663989460000003</v>
      </c>
      <c r="M58" s="10">
        <v>48.143799090000002</v>
      </c>
      <c r="N58" s="10">
        <v>48.45629769</v>
      </c>
    </row>
    <row r="59" spans="1:14" x14ac:dyDescent="0.25">
      <c r="A59" s="10">
        <v>2</v>
      </c>
      <c r="B59" s="13">
        <v>1.375</v>
      </c>
      <c r="C59" s="10">
        <v>0.80371808600000005</v>
      </c>
      <c r="D59" s="10">
        <v>46.208575580000002</v>
      </c>
      <c r="E59" s="10">
        <v>2.8375159E-2</v>
      </c>
      <c r="F59" s="10">
        <v>43.75558315</v>
      </c>
      <c r="G59" s="10">
        <v>44.061857269999997</v>
      </c>
      <c r="H59" s="10">
        <v>44.534277920000001</v>
      </c>
      <c r="I59" s="10">
        <v>45.325868640000003</v>
      </c>
      <c r="J59" s="10">
        <v>46.208575580000002</v>
      </c>
      <c r="K59" s="10">
        <v>47.094604850000003</v>
      </c>
      <c r="L59" s="10">
        <v>47.894868039999999</v>
      </c>
      <c r="M59" s="10">
        <v>48.375054570000003</v>
      </c>
      <c r="N59" s="10">
        <v>48.687405490000003</v>
      </c>
    </row>
    <row r="60" spans="1:14" x14ac:dyDescent="0.25">
      <c r="A60" s="10">
        <v>2</v>
      </c>
      <c r="B60" s="13">
        <v>1.4583333333333333</v>
      </c>
      <c r="C60" s="10">
        <v>0.94625967899999996</v>
      </c>
      <c r="D60" s="10">
        <v>46.416216349999999</v>
      </c>
      <c r="E60" s="10">
        <v>2.8459033000000002E-2</v>
      </c>
      <c r="F60" s="10">
        <v>43.935393619999999</v>
      </c>
      <c r="G60" s="10">
        <v>44.246201329999998</v>
      </c>
      <c r="H60" s="10">
        <v>44.725014510000001</v>
      </c>
      <c r="I60" s="10">
        <v>45.525704140000002</v>
      </c>
      <c r="J60" s="10">
        <v>46.416216349999999</v>
      </c>
      <c r="K60" s="10">
        <v>47.307647709999998</v>
      </c>
      <c r="L60" s="10">
        <v>48.110736840000001</v>
      </c>
      <c r="M60" s="10">
        <v>48.591698950000001</v>
      </c>
      <c r="N60" s="10">
        <v>48.90418837</v>
      </c>
    </row>
    <row r="61" spans="1:14" x14ac:dyDescent="0.25">
      <c r="A61" s="10">
        <v>2</v>
      </c>
      <c r="B61" s="13">
        <v>1.5416666666666667</v>
      </c>
      <c r="C61" s="10">
        <v>1.079784984</v>
      </c>
      <c r="D61" s="10">
        <v>46.609500840000003</v>
      </c>
      <c r="E61" s="10">
        <v>2.8562759E-2</v>
      </c>
      <c r="F61" s="10">
        <v>44.100127069999999</v>
      </c>
      <c r="G61" s="10">
        <v>44.415533199999999</v>
      </c>
      <c r="H61" s="10">
        <v>44.90084908</v>
      </c>
      <c r="I61" s="10">
        <v>45.710860070000003</v>
      </c>
      <c r="J61" s="10">
        <v>46.609500840000003</v>
      </c>
      <c r="K61" s="10">
        <v>47.50676129</v>
      </c>
      <c r="L61" s="10">
        <v>48.313168419999997</v>
      </c>
      <c r="M61" s="10">
        <v>48.795256309999999</v>
      </c>
      <c r="N61" s="10">
        <v>49.108135969999999</v>
      </c>
    </row>
    <row r="62" spans="1:14" x14ac:dyDescent="0.25">
      <c r="A62" s="10">
        <v>2</v>
      </c>
      <c r="B62" s="13">
        <v>1.625</v>
      </c>
      <c r="C62" s="10">
        <v>1.2046026869999999</v>
      </c>
      <c r="D62" s="10">
        <v>46.789887219999997</v>
      </c>
      <c r="E62" s="10">
        <v>2.8683666E-2</v>
      </c>
      <c r="F62" s="10">
        <v>44.251366650000001</v>
      </c>
      <c r="G62" s="10">
        <v>44.571421309999998</v>
      </c>
      <c r="H62" s="10">
        <v>45.063327280000003</v>
      </c>
      <c r="I62" s="10">
        <v>45.882842660000001</v>
      </c>
      <c r="J62" s="10">
        <v>46.789887219999997</v>
      </c>
      <c r="K62" s="10">
        <v>47.693348059999998</v>
      </c>
      <c r="L62" s="10">
        <v>48.503505650000001</v>
      </c>
      <c r="M62" s="10">
        <v>48.987028369999997</v>
      </c>
      <c r="N62" s="10">
        <v>49.300520689999999</v>
      </c>
    </row>
    <row r="63" spans="1:14" x14ac:dyDescent="0.25">
      <c r="A63" s="10">
        <v>2</v>
      </c>
      <c r="B63" s="13">
        <v>1.7083333333333333</v>
      </c>
      <c r="C63" s="10">
        <v>1.321076285</v>
      </c>
      <c r="D63" s="10">
        <v>46.95862881</v>
      </c>
      <c r="E63" s="10">
        <v>2.8819524999999999E-2</v>
      </c>
      <c r="F63" s="10">
        <v>44.390469469999999</v>
      </c>
      <c r="G63" s="10">
        <v>44.715210650000003</v>
      </c>
      <c r="H63" s="10">
        <v>45.213775310000003</v>
      </c>
      <c r="I63" s="10">
        <v>46.042945439999997</v>
      </c>
      <c r="J63" s="10">
        <v>46.95862881</v>
      </c>
      <c r="K63" s="10">
        <v>47.868614280000003</v>
      </c>
      <c r="L63" s="10">
        <v>48.68290399</v>
      </c>
      <c r="M63" s="10">
        <v>49.168135380000002</v>
      </c>
      <c r="N63" s="10">
        <v>49.482437709999999</v>
      </c>
    </row>
    <row r="64" spans="1:14" x14ac:dyDescent="0.25">
      <c r="A64" s="10">
        <v>2</v>
      </c>
      <c r="B64" s="13">
        <v>1.7916666666666667</v>
      </c>
      <c r="C64" s="10">
        <v>1.429602576</v>
      </c>
      <c r="D64" s="10">
        <v>47.116810389999998</v>
      </c>
      <c r="E64" s="10">
        <v>2.8968458999999998E-2</v>
      </c>
      <c r="F64" s="10">
        <v>44.518607029999998</v>
      </c>
      <c r="G64" s="10">
        <v>44.848062669999997</v>
      </c>
      <c r="H64" s="10">
        <v>45.353339009999999</v>
      </c>
      <c r="I64" s="10">
        <v>46.192287030000003</v>
      </c>
      <c r="J64" s="10">
        <v>47.116810389999998</v>
      </c>
      <c r="K64" s="10">
        <v>48.033604650000001</v>
      </c>
      <c r="L64" s="10">
        <v>48.852364620000003</v>
      </c>
      <c r="M64" s="10">
        <v>49.339548209999997</v>
      </c>
      <c r="N64" s="10">
        <v>49.654836250000002</v>
      </c>
    </row>
    <row r="65" spans="1:14" x14ac:dyDescent="0.25">
      <c r="A65" s="10">
        <v>2</v>
      </c>
      <c r="B65" s="13">
        <v>1.875</v>
      </c>
      <c r="C65" s="10">
        <v>1.530595677</v>
      </c>
      <c r="D65" s="10">
        <v>47.26537682</v>
      </c>
      <c r="E65" s="10">
        <v>2.9128879E-2</v>
      </c>
      <c r="F65" s="10">
        <v>44.636797020000003</v>
      </c>
      <c r="G65" s="10">
        <v>44.970986699999997</v>
      </c>
      <c r="H65" s="10">
        <v>45.483014760000003</v>
      </c>
      <c r="I65" s="10">
        <v>46.331840960000001</v>
      </c>
      <c r="J65" s="10">
        <v>47.26537682</v>
      </c>
      <c r="K65" s="10">
        <v>48.189229709999999</v>
      </c>
      <c r="L65" s="10">
        <v>49.012760450000002</v>
      </c>
      <c r="M65" s="10">
        <v>49.502113520000002</v>
      </c>
      <c r="N65" s="10">
        <v>49.818544209999999</v>
      </c>
    </row>
    <row r="66" spans="1:14" x14ac:dyDescent="0.25">
      <c r="A66" s="10">
        <v>2</v>
      </c>
      <c r="B66" s="13">
        <v>1.9583333333333333</v>
      </c>
      <c r="C66" s="10">
        <v>1.624475262</v>
      </c>
      <c r="D66" s="10">
        <v>47.40515585</v>
      </c>
      <c r="E66" s="10">
        <v>2.9299426E-2</v>
      </c>
      <c r="F66" s="10">
        <v>44.745928659999997</v>
      </c>
      <c r="G66" s="10">
        <v>45.084865010000001</v>
      </c>
      <c r="H66" s="10">
        <v>45.603673960000002</v>
      </c>
      <c r="I66" s="10">
        <v>46.462459440000003</v>
      </c>
      <c r="J66" s="10">
        <v>47.40515585</v>
      </c>
      <c r="K66" s="10">
        <v>48.336287599999999</v>
      </c>
      <c r="L66" s="10">
        <v>49.164856980000003</v>
      </c>
      <c r="M66" s="10">
        <v>49.656573940000001</v>
      </c>
      <c r="N66" s="10">
        <v>49.974287879999999</v>
      </c>
    </row>
    <row r="67" spans="1:14" x14ac:dyDescent="0.25">
      <c r="A67" s="10">
        <v>2</v>
      </c>
      <c r="B67" s="13">
        <v>2.0416666666666665</v>
      </c>
      <c r="C67" s="10">
        <v>1.7116580299999999</v>
      </c>
      <c r="D67" s="10">
        <v>47.536876489999997</v>
      </c>
      <c r="E67" s="10">
        <v>2.9478937E-2</v>
      </c>
      <c r="F67" s="10">
        <v>44.846783100000003</v>
      </c>
      <c r="G67" s="10">
        <v>45.190472919999998</v>
      </c>
      <c r="H67" s="10">
        <v>45.716082849999999</v>
      </c>
      <c r="I67" s="10">
        <v>46.584892420000003</v>
      </c>
      <c r="J67" s="10">
        <v>47.536876489999997</v>
      </c>
      <c r="K67" s="10">
        <v>48.475481690000002</v>
      </c>
      <c r="L67" s="10">
        <v>49.309329079999998</v>
      </c>
      <c r="M67" s="10">
        <v>49.803584360000002</v>
      </c>
      <c r="N67" s="10">
        <v>50.122707820000002</v>
      </c>
    </row>
    <row r="68" spans="1:14" x14ac:dyDescent="0.25">
      <c r="A68" s="10">
        <v>2</v>
      </c>
      <c r="B68" s="13">
        <v>2.125</v>
      </c>
      <c r="C68" s="10">
        <v>1.7925516159999999</v>
      </c>
      <c r="D68" s="10">
        <v>47.661183960000002</v>
      </c>
      <c r="E68" s="10">
        <v>2.9666405999999999E-2</v>
      </c>
      <c r="F68" s="10">
        <v>44.94004992</v>
      </c>
      <c r="G68" s="10">
        <v>45.288495159999997</v>
      </c>
      <c r="H68" s="10">
        <v>45.820918470000002</v>
      </c>
      <c r="I68" s="10">
        <v>46.699803170000003</v>
      </c>
      <c r="J68" s="10">
        <v>47.661183960000002</v>
      </c>
      <c r="K68" s="10">
        <v>48.607434820000002</v>
      </c>
      <c r="L68" s="10">
        <v>49.446774619999999</v>
      </c>
      <c r="M68" s="10">
        <v>49.943725059999998</v>
      </c>
      <c r="N68" s="10">
        <v>50.26437172</v>
      </c>
    </row>
    <row r="69" spans="1:14" x14ac:dyDescent="0.25">
      <c r="A69" s="10">
        <v>2</v>
      </c>
      <c r="B69" s="13">
        <v>2.2083333333333335</v>
      </c>
      <c r="C69" s="10">
        <v>1.867550375</v>
      </c>
      <c r="D69" s="10">
        <v>47.778651859999997</v>
      </c>
      <c r="E69" s="10">
        <v>2.9860959999999999E-2</v>
      </c>
      <c r="F69" s="10">
        <v>45.026340650000002</v>
      </c>
      <c r="G69" s="10">
        <v>45.379539149999999</v>
      </c>
      <c r="H69" s="10">
        <v>45.91878183</v>
      </c>
      <c r="I69" s="10">
        <v>46.807780909999998</v>
      </c>
      <c r="J69" s="10">
        <v>47.778651859999997</v>
      </c>
      <c r="K69" s="10">
        <v>48.732701050000003</v>
      </c>
      <c r="L69" s="10">
        <v>49.577725649999998</v>
      </c>
      <c r="M69" s="10">
        <v>50.077512550000002</v>
      </c>
      <c r="N69" s="10">
        <v>50.399784990000001</v>
      </c>
    </row>
    <row r="70" spans="1:14" x14ac:dyDescent="0.25">
      <c r="A70" s="10">
        <v>2</v>
      </c>
      <c r="B70" s="13">
        <v>2.2916666666666665</v>
      </c>
      <c r="C70" s="10">
        <v>1.9370325799999999</v>
      </c>
      <c r="D70" s="10">
        <v>47.889792300000003</v>
      </c>
      <c r="E70" s="10">
        <v>3.0061839E-2</v>
      </c>
      <c r="F70" s="10">
        <v>45.106199889999999</v>
      </c>
      <c r="G70" s="10">
        <v>45.464146069999998</v>
      </c>
      <c r="H70" s="10">
        <v>46.010208650000003</v>
      </c>
      <c r="I70" s="10">
        <v>46.909351289999996</v>
      </c>
      <c r="J70" s="10">
        <v>47.889792300000003</v>
      </c>
      <c r="K70" s="10">
        <v>48.851775269999997</v>
      </c>
      <c r="L70" s="10">
        <v>49.702657619999997</v>
      </c>
      <c r="M70" s="10">
        <v>50.205408570000003</v>
      </c>
      <c r="N70" s="10">
        <v>50.529399509999998</v>
      </c>
    </row>
    <row r="71" spans="1:14" x14ac:dyDescent="0.25">
      <c r="A71" s="10">
        <v>2</v>
      </c>
      <c r="B71" s="13">
        <v>2.375</v>
      </c>
      <c r="C71" s="10">
        <v>2.001358669</v>
      </c>
      <c r="D71" s="10">
        <v>47.995064220000003</v>
      </c>
      <c r="E71" s="10">
        <v>3.0268375E-2</v>
      </c>
      <c r="F71" s="10">
        <v>45.180114519999997</v>
      </c>
      <c r="G71" s="10">
        <v>45.542799950000003</v>
      </c>
      <c r="H71" s="10">
        <v>46.09567835</v>
      </c>
      <c r="I71" s="10">
        <v>47.004985130000001</v>
      </c>
      <c r="J71" s="10">
        <v>47.995064220000003</v>
      </c>
      <c r="K71" s="10">
        <v>48.965101279999999</v>
      </c>
      <c r="L71" s="10">
        <v>49.821997039999999</v>
      </c>
      <c r="M71" s="10">
        <v>50.327827409999998</v>
      </c>
      <c r="N71" s="10">
        <v>50.65362082</v>
      </c>
    </row>
    <row r="72" spans="1:14" x14ac:dyDescent="0.25">
      <c r="A72" s="10">
        <v>2</v>
      </c>
      <c r="B72" s="13">
        <v>2.4583333333333335</v>
      </c>
      <c r="C72" s="10">
        <v>2.060870301</v>
      </c>
      <c r="D72" s="10">
        <v>48.09488048</v>
      </c>
      <c r="E72" s="10">
        <v>3.0479985000000001E-2</v>
      </c>
      <c r="F72" s="10">
        <v>45.248521459999999</v>
      </c>
      <c r="G72" s="10">
        <v>45.615935280000002</v>
      </c>
      <c r="H72" s="10">
        <v>46.175621550000002</v>
      </c>
      <c r="I72" s="10">
        <v>47.095105599999997</v>
      </c>
      <c r="J72" s="10">
        <v>48.09488048</v>
      </c>
      <c r="K72" s="10">
        <v>49.073078459999998</v>
      </c>
      <c r="L72" s="10">
        <v>49.936127949999999</v>
      </c>
      <c r="M72" s="10">
        <v>50.44514221</v>
      </c>
      <c r="N72" s="10">
        <v>50.772814250000003</v>
      </c>
    </row>
    <row r="73" spans="1:14" x14ac:dyDescent="0.25">
      <c r="A73" s="10">
        <v>2</v>
      </c>
      <c r="B73" s="13">
        <v>2.5416666666666665</v>
      </c>
      <c r="C73" s="10">
        <v>2.1158899820000001</v>
      </c>
      <c r="D73" s="10">
        <v>48.189613649999998</v>
      </c>
      <c r="E73" s="10">
        <v>3.0696149999999998E-2</v>
      </c>
      <c r="F73" s="10">
        <v>45.31181411</v>
      </c>
      <c r="G73" s="10">
        <v>45.683943450000001</v>
      </c>
      <c r="H73" s="10">
        <v>46.250426330000003</v>
      </c>
      <c r="I73" s="10">
        <v>47.180094390000001</v>
      </c>
      <c r="J73" s="10">
        <v>48.189613649999998</v>
      </c>
      <c r="K73" s="10">
        <v>49.17606748</v>
      </c>
      <c r="L73" s="10">
        <v>50.045397289999997</v>
      </c>
      <c r="M73" s="10">
        <v>50.557690180000002</v>
      </c>
      <c r="N73" s="10">
        <v>50.887310030000002</v>
      </c>
    </row>
    <row r="74" spans="1:14" x14ac:dyDescent="0.25">
      <c r="A74" s="10">
        <v>2</v>
      </c>
      <c r="B74" s="13">
        <v>2.625</v>
      </c>
      <c r="C74" s="10">
        <v>2.16672113</v>
      </c>
      <c r="D74" s="10">
        <v>48.279601100000001</v>
      </c>
      <c r="E74" s="10">
        <v>3.0916413E-2</v>
      </c>
      <c r="F74" s="10">
        <v>45.370347819999999</v>
      </c>
      <c r="G74" s="10">
        <v>45.747178130000002</v>
      </c>
      <c r="H74" s="10">
        <v>46.320443570000002</v>
      </c>
      <c r="I74" s="10">
        <v>47.260296869999998</v>
      </c>
      <c r="J74" s="10">
        <v>48.279601100000001</v>
      </c>
      <c r="K74" s="10">
        <v>49.274395050000003</v>
      </c>
      <c r="L74" s="10">
        <v>50.150119480000001</v>
      </c>
      <c r="M74" s="10">
        <v>50.665776989999998</v>
      </c>
      <c r="N74" s="10">
        <v>50.99740757</v>
      </c>
    </row>
    <row r="75" spans="1:14" x14ac:dyDescent="0.25">
      <c r="A75" s="10">
        <v>2</v>
      </c>
      <c r="B75" s="13">
        <v>2.7083333333333335</v>
      </c>
      <c r="C75" s="10">
        <v>2.2136484400000001</v>
      </c>
      <c r="D75" s="10">
        <v>48.365149170000002</v>
      </c>
      <c r="E75" s="10">
        <v>3.1140368000000002E-2</v>
      </c>
      <c r="F75" s="10">
        <v>45.424444549999997</v>
      </c>
      <c r="G75" s="10">
        <v>45.805959870000002</v>
      </c>
      <c r="H75" s="10">
        <v>46.38599146</v>
      </c>
      <c r="I75" s="10">
        <v>47.336026459999999</v>
      </c>
      <c r="J75" s="10">
        <v>48.365149170000002</v>
      </c>
      <c r="K75" s="10">
        <v>49.36835799</v>
      </c>
      <c r="L75" s="10">
        <v>50.250580309999997</v>
      </c>
      <c r="M75" s="10">
        <v>50.769680600000001</v>
      </c>
      <c r="N75" s="10">
        <v>51.103379189999998</v>
      </c>
    </row>
    <row r="76" spans="1:14" x14ac:dyDescent="0.25">
      <c r="A76" s="10">
        <v>2</v>
      </c>
      <c r="B76" s="13">
        <v>2.7916666666666665</v>
      </c>
      <c r="C76" s="10">
        <v>2.2569432159999998</v>
      </c>
      <c r="D76" s="10">
        <v>48.446537030000002</v>
      </c>
      <c r="E76" s="10">
        <v>3.1367651000000003E-2</v>
      </c>
      <c r="F76" s="10">
        <v>45.47439662</v>
      </c>
      <c r="G76" s="10">
        <v>45.86057993</v>
      </c>
      <c r="H76" s="10">
        <v>46.447359429999999</v>
      </c>
      <c r="I76" s="10">
        <v>47.407568560000001</v>
      </c>
      <c r="J76" s="10">
        <v>48.446537030000002</v>
      </c>
      <c r="K76" s="10">
        <v>49.458226920000001</v>
      </c>
      <c r="L76" s="10">
        <v>50.347040309999997</v>
      </c>
      <c r="M76" s="10">
        <v>50.869654339999997</v>
      </c>
      <c r="N76" s="10">
        <v>51.205473069999996</v>
      </c>
    </row>
    <row r="77" spans="1:14" x14ac:dyDescent="0.25">
      <c r="A77" s="10">
        <v>2</v>
      </c>
      <c r="B77" s="13">
        <v>2.875</v>
      </c>
      <c r="C77" s="10">
        <v>2.2968440239999999</v>
      </c>
      <c r="D77" s="10">
        <v>48.524018939999998</v>
      </c>
      <c r="E77" s="10">
        <v>3.1597938999999998E-2</v>
      </c>
      <c r="F77" s="10">
        <v>45.520470969999998</v>
      </c>
      <c r="G77" s="10">
        <v>45.91130407</v>
      </c>
      <c r="H77" s="10">
        <v>46.504811230000001</v>
      </c>
      <c r="I77" s="10">
        <v>47.47518307</v>
      </c>
      <c r="J77" s="10">
        <v>48.524018939999998</v>
      </c>
      <c r="K77" s="10">
        <v>49.544248549999999</v>
      </c>
      <c r="L77" s="10">
        <v>50.439737549999997</v>
      </c>
      <c r="M77" s="10">
        <v>50.965930129999997</v>
      </c>
      <c r="N77" s="10">
        <v>51.303916739999998</v>
      </c>
    </row>
    <row r="78" spans="1:14" x14ac:dyDescent="0.25">
      <c r="A78" s="10">
        <v>2</v>
      </c>
      <c r="B78" s="13">
        <v>2.9583333333333335</v>
      </c>
      <c r="C78" s="10">
        <v>2.3335894339999999</v>
      </c>
      <c r="D78" s="10">
        <v>48.597828280000002</v>
      </c>
      <c r="E78" s="10">
        <v>3.1830942000000001E-2</v>
      </c>
      <c r="F78" s="10">
        <v>45.56291074</v>
      </c>
      <c r="G78" s="10">
        <v>45.958374749999997</v>
      </c>
      <c r="H78" s="10">
        <v>46.558588120000003</v>
      </c>
      <c r="I78" s="10">
        <v>47.53910827</v>
      </c>
      <c r="J78" s="10">
        <v>48.597828280000002</v>
      </c>
      <c r="K78" s="10">
        <v>49.626649319999999</v>
      </c>
      <c r="L78" s="10">
        <v>50.528890189999998</v>
      </c>
      <c r="M78" s="10">
        <v>51.058720209999997</v>
      </c>
      <c r="N78" s="10">
        <v>51.398918160000001</v>
      </c>
    </row>
    <row r="79" spans="1:14" x14ac:dyDescent="0.25">
      <c r="A79" s="10">
        <v>2</v>
      </c>
      <c r="B79" s="13">
        <v>3</v>
      </c>
      <c r="C79" s="10">
        <v>2.3508472020000002</v>
      </c>
      <c r="D79" s="10">
        <v>48.633423280000002</v>
      </c>
      <c r="E79" s="10">
        <v>3.1948377999999999E-2</v>
      </c>
      <c r="F79" s="10">
        <v>45.582838019999997</v>
      </c>
      <c r="G79" s="10">
        <v>45.980610220000003</v>
      </c>
      <c r="H79" s="10">
        <v>46.584168259999998</v>
      </c>
      <c r="I79" s="10">
        <v>47.569756320000003</v>
      </c>
      <c r="J79" s="10">
        <v>48.633423280000002</v>
      </c>
      <c r="K79" s="10">
        <v>49.66655746</v>
      </c>
      <c r="L79" s="10">
        <v>50.572200520000003</v>
      </c>
      <c r="M79" s="10">
        <v>51.103869699999997</v>
      </c>
      <c r="N79" s="10">
        <v>51.445188430000002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README</vt:lpstr>
      <vt:lpstr>measurements1</vt:lpstr>
      <vt:lpstr>measurements2</vt:lpstr>
      <vt:lpstr>weight4age</vt:lpstr>
      <vt:lpstr>length4age</vt:lpstr>
      <vt:lpstr>bmi4age</vt:lpstr>
      <vt:lpstr>weight4length</vt:lpstr>
      <vt:lpstr>head4age</vt:lpstr>
      <vt:lpstr>length(age)</vt:lpstr>
      <vt:lpstr>weight(age)</vt:lpstr>
      <vt:lpstr>weight(length)</vt:lpstr>
      <vt:lpstr>head(age)</vt:lpstr>
      <vt:lpstr>bmi(age)</vt:lpstr>
      <vt:lpstr>measurements1!birthdate</vt:lpstr>
      <vt:lpstr>measurements2!birthdate</vt:lpstr>
      <vt:lpstr>measurements1!name</vt:lpstr>
      <vt:lpstr>measurements2!name</vt:lpstr>
      <vt:lpstr>measurements1!Print_Area</vt:lpstr>
      <vt:lpstr>measurements2!Print_Area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Johan Vonk's logbook</dc:title>
  <dc:creator>Coert Vonk</dc:creator>
  <cp:lastModifiedBy>Coert Vonk</cp:lastModifiedBy>
  <cp:lastPrinted>2020-12-01T23:06:49Z</cp:lastPrinted>
  <dcterms:created xsi:type="dcterms:W3CDTF">1996-10-14T23:33:28Z</dcterms:created>
  <dcterms:modified xsi:type="dcterms:W3CDTF">2022-06-05T20:03:02Z</dcterms:modified>
</cp:coreProperties>
</file>